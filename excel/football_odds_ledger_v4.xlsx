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30720" windowHeight="13500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赛事明细" sheetId="2" state="visible" r:id="rId2"/>
    <sheet xmlns:r="http://schemas.openxmlformats.org/officeDocument/2006/relationships" name="更新日志" sheetId="3" state="visible" r:id="rId3"/>
    <sheet xmlns:r="http://schemas.openxmlformats.org/officeDocument/2006/relationships" name="分类统计" sheetId="4" state="visible" r:id="rId4"/>
    <sheet xmlns:r="http://schemas.openxmlformats.org/officeDocument/2006/relationships" name="V4等级统计" sheetId="5" state="visible" r:id="rId5"/>
    <sheet xmlns:r="http://schemas.openxmlformats.org/officeDocument/2006/relationships" name="V4模型统计" sheetId="6" state="visible" r:id="rId6"/>
    <sheet xmlns:r="http://schemas.openxmlformats.org/officeDocument/2006/relationships" name="周中周末盘口" sheetId="7" state="visible" r:id="rId7"/>
    <sheet xmlns:r="http://schemas.openxmlformats.org/officeDocument/2006/relationships" name="V4说明" sheetId="8" state="visible" r:id="rId8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;\-0.000;0.000"/>
    <numFmt numFmtId="166" formatCode="0.0000"/>
    <numFmt numFmtId="167" formatCode="0.000"/>
  </numFmts>
  <fonts count="33">
    <font>
      <name val="Carlito"/>
      <charset val="134"/>
      <sz val="11"/>
    </font>
    <font>
      <name val="Arial"/>
      <charset val="134"/>
      <b val="1"/>
      <color rgb="FFFFFFFF"/>
      <sz val="14"/>
    </font>
    <font>
      <name val="Arial"/>
      <charset val="134"/>
      <b val="1"/>
      <color rgb="FFFFFFFF"/>
      <sz val="10"/>
    </font>
    <font>
      <name val="Arial"/>
      <charset val="134"/>
      <color rgb="FF1F1F1F"/>
      <sz val="10"/>
    </font>
    <font>
      <name val="Arial"/>
      <charset val="134"/>
      <b val="1"/>
      <color rgb="FFFFFFFF"/>
      <sz val="11"/>
    </font>
    <font>
      <name val="Arial"/>
      <charset val="134"/>
      <i val="1"/>
      <color rgb="FF7F6000"/>
      <sz val="11"/>
    </font>
    <font>
      <name val="Arial"/>
      <charset val="134"/>
      <i val="1"/>
      <color rgb="FF404040"/>
      <sz val="11"/>
    </font>
    <font>
      <name val="Arial"/>
      <charset val="134"/>
      <b val="1"/>
      <color rgb="FF008000"/>
      <sz val="10"/>
    </font>
    <font>
      <name val="Arial"/>
      <charset val="134"/>
      <b val="1"/>
      <color rgb="FFC00000"/>
      <sz val="10"/>
    </font>
    <font>
      <name val="Arial"/>
      <charset val="134"/>
      <b val="1"/>
      <color rgb="FF7F6000"/>
      <sz val="10"/>
    </font>
    <font>
      <name val="Arial"/>
      <charset val="134"/>
      <b val="1"/>
      <color rgb="FF1F1F1F"/>
      <sz val="10"/>
    </font>
    <font>
      <name val="Arial"/>
      <charset val="134"/>
      <b val="1"/>
      <color rgb="FFFFFFFF"/>
      <sz val="12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3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8" borderId="3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4" applyAlignment="1">
      <alignment vertical="center"/>
    </xf>
    <xf numFmtId="0" fontId="20" fillId="0" borderId="4" applyAlignment="1">
      <alignment vertical="center"/>
    </xf>
    <xf numFmtId="0" fontId="21" fillId="0" borderId="5" applyAlignment="1">
      <alignment vertical="center"/>
    </xf>
    <xf numFmtId="0" fontId="21" fillId="0" borderId="0" applyAlignment="1">
      <alignment vertical="center"/>
    </xf>
    <xf numFmtId="0" fontId="22" fillId="9" borderId="6" applyAlignment="1">
      <alignment vertical="center"/>
    </xf>
    <xf numFmtId="0" fontId="23" fillId="10" borderId="7" applyAlignment="1">
      <alignment vertical="center"/>
    </xf>
    <xf numFmtId="0" fontId="24" fillId="10" borderId="6" applyAlignment="1">
      <alignment vertical="center"/>
    </xf>
    <xf numFmtId="0" fontId="25" fillId="11" borderId="8" applyAlignment="1">
      <alignment vertical="center"/>
    </xf>
    <xf numFmtId="0" fontId="26" fillId="0" borderId="9" applyAlignment="1">
      <alignment vertical="center"/>
    </xf>
    <xf numFmtId="0" fontId="27" fillId="0" borderId="1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1" fillId="15" borderId="0" applyAlignment="1">
      <alignment vertical="center"/>
    </xf>
    <xf numFmtId="0" fontId="32" fillId="16" borderId="0" applyAlignment="1">
      <alignment vertical="center"/>
    </xf>
    <xf numFmtId="0" fontId="32" fillId="17" borderId="0" applyAlignment="1">
      <alignment vertical="center"/>
    </xf>
    <xf numFmtId="0" fontId="31" fillId="18" borderId="0" applyAlignment="1">
      <alignment vertical="center"/>
    </xf>
    <xf numFmtId="0" fontId="31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1" fillId="22" borderId="0" applyAlignment="1">
      <alignment vertical="center"/>
    </xf>
    <xf numFmtId="0" fontId="31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1" fillId="38" borderId="0" applyAlignment="1">
      <alignment vertical="center"/>
    </xf>
    <xf numFmtId="0" fontId="0" fillId="0" borderId="0"/>
  </cellStyleXfs>
  <cellXfs count="53">
    <xf numFmtId="0" fontId="0" fillId="0" borderId="0" pivotButton="0" quotePrefix="0" xfId="49"/>
    <xf numFmtId="0" fontId="1" fillId="2" borderId="0" applyAlignment="1" pivotButton="0" quotePrefix="0" xfId="49">
      <alignment horizontal="left" vertical="center"/>
    </xf>
    <xf numFmtId="0" fontId="0" fillId="0" borderId="0" applyAlignment="1" pivotButton="0" quotePrefix="0" xfId="49">
      <alignment vertical="center"/>
    </xf>
    <xf numFmtId="0" fontId="2" fillId="3" borderId="1" applyAlignment="1" pivotButton="0" quotePrefix="0" xfId="49">
      <alignment horizontal="left" vertical="center" wrapText="1"/>
    </xf>
    <xf numFmtId="0" fontId="3" fillId="0" borderId="2" applyAlignment="1" pivotButton="0" quotePrefix="0" xfId="49">
      <alignment horizontal="left" vertical="center" wrapText="1"/>
    </xf>
    <xf numFmtId="0" fontId="4" fillId="2" borderId="0" applyAlignment="1" pivotButton="0" quotePrefix="0" xfId="49">
      <alignment horizontal="left" vertical="center"/>
    </xf>
    <xf numFmtId="0" fontId="3" fillId="0" borderId="0" applyAlignment="1" pivotButton="0" quotePrefix="0" xfId="49">
      <alignment horizontal="left" vertical="center"/>
    </xf>
    <xf numFmtId="164" fontId="3" fillId="0" borderId="0" applyAlignment="1" pivotButton="0" quotePrefix="0" xfId="49">
      <alignment horizontal="left" vertical="center"/>
    </xf>
    <xf numFmtId="165" fontId="3" fillId="0" borderId="0" applyAlignment="1" pivotButton="0" quotePrefix="0" xfId="49">
      <alignment horizontal="left" vertical="center"/>
    </xf>
    <xf numFmtId="166" fontId="3" fillId="0" borderId="0" applyAlignment="1" pivotButton="0" quotePrefix="0" xfId="49">
      <alignment horizontal="left" vertical="center"/>
    </xf>
    <xf numFmtId="0" fontId="5" fillId="4" borderId="0" applyAlignment="1" pivotButton="0" quotePrefix="0" xfId="49">
      <alignment horizontal="left" vertical="center" wrapText="1"/>
    </xf>
    <xf numFmtId="0" fontId="3" fillId="0" borderId="0" applyAlignment="1" pivotButton="0" quotePrefix="0" xfId="49">
      <alignment horizontal="left" vertical="center" wrapText="1"/>
    </xf>
    <xf numFmtId="165" fontId="3" fillId="0" borderId="0" applyAlignment="1" pivotButton="0" quotePrefix="0" xfId="49">
      <alignment horizontal="left" vertical="center" wrapText="1"/>
    </xf>
    <xf numFmtId="0" fontId="0" fillId="0" borderId="0" applyAlignment="1" pivotButton="0" quotePrefix="0" xfId="49">
      <alignment horizontal="left" vertical="center" wrapText="1"/>
    </xf>
    <xf numFmtId="0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0" fontId="6" fillId="5" borderId="0" applyAlignment="1" pivotButton="0" quotePrefix="0" xfId="49">
      <alignment horizontal="left" vertical="center" wrapText="1"/>
    </xf>
    <xf numFmtId="0" fontId="3" fillId="0" borderId="0" applyAlignment="1" pivotButton="0" quotePrefix="0" xfId="49">
      <alignment horizontal="left" vertical="center" wrapText="1"/>
    </xf>
    <xf numFmtId="2" fontId="3" fillId="0" borderId="0" applyAlignment="1" pivotButton="0" quotePrefix="0" xfId="49">
      <alignment horizontal="left" vertical="center" wrapText="1"/>
    </xf>
    <xf numFmtId="164" fontId="3" fillId="0" borderId="0" applyAlignment="1" pivotButton="0" quotePrefix="0" xfId="49">
      <alignment horizontal="left" vertical="center" wrapText="1"/>
    </xf>
    <xf numFmtId="0" fontId="7" fillId="6" borderId="0" applyAlignment="1" pivotButton="0" quotePrefix="0" xfId="49">
      <alignment horizontal="left" vertical="center" wrapText="1"/>
    </xf>
    <xf numFmtId="165" fontId="3" fillId="0" borderId="0" applyAlignment="1" pivotButton="0" quotePrefix="0" xfId="49">
      <alignment horizontal="left" vertical="center" wrapText="1"/>
    </xf>
    <xf numFmtId="166" fontId="3" fillId="0" borderId="0" applyAlignment="1" pivotButton="0" quotePrefix="0" xfId="49">
      <alignment horizontal="left" vertical="center" wrapText="1"/>
    </xf>
    <xf numFmtId="0" fontId="8" fillId="7" borderId="0" applyAlignment="1" pivotButton="0" quotePrefix="0" xfId="49">
      <alignment horizontal="left" vertical="center" wrapText="1"/>
    </xf>
    <xf numFmtId="0" fontId="9" fillId="4" borderId="0" applyAlignment="1" pivotButton="0" quotePrefix="0" xfId="49">
      <alignment horizontal="left" vertical="center" wrapText="1"/>
    </xf>
    <xf numFmtId="167" fontId="3" fillId="0" borderId="0" applyAlignment="1" pivotButton="0" quotePrefix="0" xfId="49">
      <alignment horizontal="left" vertical="center" wrapText="1"/>
    </xf>
    <xf numFmtId="2" fontId="0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7" fontId="0" fillId="0" borderId="0" applyAlignment="1" pivotButton="0" quotePrefix="0" xfId="49">
      <alignment horizontal="left" vertical="center" wrapText="1"/>
    </xf>
    <xf numFmtId="0" fontId="10" fillId="5" borderId="2" applyAlignment="1" pivotButton="0" quotePrefix="0" xfId="49">
      <alignment horizontal="left" vertical="center"/>
    </xf>
    <xf numFmtId="0" fontId="3" fillId="0" borderId="2" applyAlignment="1" pivotButton="0" quotePrefix="0" xfId="49">
      <alignment horizontal="left" vertical="center"/>
    </xf>
    <xf numFmtId="165" fontId="3" fillId="0" borderId="2" applyAlignment="1" pivotButton="0" quotePrefix="0" xfId="49">
      <alignment horizontal="left" vertical="center"/>
    </xf>
    <xf numFmtId="164" fontId="3" fillId="0" borderId="2" applyAlignment="1" pivotButton="0" quotePrefix="0" xfId="49">
      <alignment horizontal="left" vertical="center"/>
    </xf>
    <xf numFmtId="0" fontId="11" fillId="2" borderId="0" applyAlignment="1" pivotButton="0" quotePrefix="0" xfId="49">
      <alignment horizontal="left" vertical="center"/>
    </xf>
    <xf numFmtId="0" fontId="2" fillId="3" borderId="0" applyAlignment="1" pivotButton="0" quotePrefix="0" xfId="49">
      <alignment horizontal="left" vertical="center" wrapText="1"/>
    </xf>
    <xf numFmtId="0" fontId="12" fillId="0" borderId="0" applyAlignment="1" pivotButton="0" quotePrefix="0" xfId="49">
      <alignment horizontal="left" vertical="center"/>
    </xf>
    <xf numFmtId="10" fontId="12" fillId="0" borderId="0" applyAlignment="1" pivotButton="0" quotePrefix="0" xfId="49">
      <alignment horizontal="left" vertical="center"/>
    </xf>
    <xf numFmtId="165" fontId="12" fillId="0" borderId="0" applyAlignment="1" pivotButton="0" quotePrefix="0" xfId="49">
      <alignment horizontal="left" vertical="center"/>
    </xf>
    <xf numFmtId="0" fontId="12" fillId="5" borderId="0" applyAlignment="1" pivotButton="0" quotePrefix="0" xfId="49">
      <alignment horizontal="left" vertical="center" wrapText="1"/>
    </xf>
    <xf numFmtId="0" fontId="0" fillId="0" borderId="0" pivotButton="0" quotePrefix="0" xfId="0"/>
    <xf numFmtId="165" fontId="3" fillId="0" borderId="2" applyAlignment="1" pivotButton="0" quotePrefix="0" xfId="49">
      <alignment horizontal="left" vertical="center"/>
    </xf>
    <xf numFmtId="164" fontId="3" fillId="0" borderId="2" applyAlignment="1" pivotButton="0" quotePrefix="0" xfId="49">
      <alignment horizontal="left" vertical="center"/>
    </xf>
    <xf numFmtId="165" fontId="12" fillId="0" borderId="0" applyAlignment="1" pivotButton="0" quotePrefix="0" xfId="49">
      <alignment horizontal="left" vertical="center"/>
    </xf>
    <xf numFmtId="164" fontId="3" fillId="0" borderId="0" applyAlignment="1" pivotButton="0" quotePrefix="0" xfId="49">
      <alignment horizontal="left" vertical="center" wrapText="1"/>
    </xf>
    <xf numFmtId="165" fontId="3" fillId="0" borderId="0" applyAlignment="1" pivotButton="0" quotePrefix="0" xfId="49">
      <alignment horizontal="left" vertical="center" wrapText="1"/>
    </xf>
    <xf numFmtId="166" fontId="3" fillId="0" borderId="0" applyAlignment="1" pivotButton="0" quotePrefix="0" xfId="49">
      <alignment horizontal="left" vertical="center" wrapText="1"/>
    </xf>
    <xf numFmtId="167" fontId="3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167" fontId="0" fillId="0" borderId="0" applyAlignment="1" pivotButton="0" quotePrefix="0" xfId="49">
      <alignment horizontal="left" vertical="center" wrapText="1"/>
    </xf>
    <xf numFmtId="164" fontId="3" fillId="0" borderId="0" applyAlignment="1" pivotButton="0" quotePrefix="0" xfId="49">
      <alignment horizontal="left" vertical="center"/>
    </xf>
    <xf numFmtId="165" fontId="3" fillId="0" borderId="0" applyAlignment="1" pivotButton="0" quotePrefix="0" xfId="49">
      <alignment horizontal="left" vertical="center"/>
    </xf>
    <xf numFmtId="166" fontId="3" fillId="0" borderId="0" applyAlignment="1" pivotButton="0" quotePrefix="0" xfId="49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V4MatchLedger" displayName="V4MatchLedger" ref="A3:W507" headerRowCount="1" totalsRowShown="0">
  <tableColumns count="23">
    <tableColumn id="1" name="日期筛选"/>
    <tableColumn id="2" name="比赛时间"/>
    <tableColumn id="3" name="赛事分布"/>
    <tableColumn id="4" name="赛事类型"/>
    <tableColumn id="5" name="联赛/杯赛"/>
    <tableColumn id="6" name="具体比赛"/>
    <tableColumn id="7" name="即时主水"/>
    <tableColumn id="8" name="即时盘口"/>
    <tableColumn id="9" name="即时客水"/>
    <tableColumn id="10" name="即时赔率文本"/>
    <tableColumn id="11" name="V4等级/信号"/>
    <tableColumn id="12" name="投注方"/>
    <tableColumn id="13" name="模型有效胜率"/>
    <tableColumn id="14" name="投注说明"/>
    <tableColumn id="15" name="赛果"/>
    <tableColumn id="16" name="结算状态"/>
    <tableColumn id="17" name="红黑"/>
    <tableColumn id="18" name="投注水位"/>
    <tableColumn id="19" name="盈亏(u)"/>
    <tableColumn id="20" name="比分来源"/>
    <tableColumn id="21" name="反向红黑"/>
    <tableColumn id="22" name="反向水位"/>
    <tableColumn id="23" name="反向盈亏(u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4UpdateLog" displayName="V4UpdateLog" ref="A3:J37" headerRowCount="1" totalsRowShown="0">
  <tableColumns count="10">
    <tableColumn id="1" name="序号"/>
    <tableColumn id="2" name="更新时间"/>
    <tableColumn id="3" name="覆盖日期"/>
    <tableColumn id="4" name="模型"/>
    <tableColumn id="5" name="数据源"/>
    <tableColumn id="6" name="候选场次"/>
    <tableColumn id="7" name="已结算"/>
    <tableColumn id="8" name="未结算"/>
    <tableColumn id="9" name="盈亏(u)"/>
    <tableColumn id="10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4RegionStats" displayName="V4RegionStats" ref="A4:L15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4KindStats" displayName="V4KindStats" ref="A18:L20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4LeagueStats" displayName="V4LeagueStats" ref="A23:L170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4GradeStats" displayName="V4GradeStats" ref="A4:L7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V4DateStats" displayName="V4DateStats" ref="A10:L19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4LineStats" displayName="V4LineStats" ref="A4:L38" headerRowCount="1" totalsRowShown="0">
  <tableColumns count="12">
    <tableColumn id="1" name="分类"/>
    <tableColumn id="2" name="候选"/>
    <tableColumn id="3" name="已结算"/>
    <tableColumn id="4" name="未结算"/>
    <tableColumn id="5" name="红"/>
    <tableColumn id="6" name="半红"/>
    <tableColumn id="7" name="走"/>
    <tableColumn id="8" name="半黑"/>
    <tableColumn id="9" name="黑"/>
    <tableColumn id="10" name="有效胜率"/>
    <tableColumn id="11" name="盈亏(u)"/>
    <tableColumn id="12" name="RO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tabSelected="1" workbookViewId="0">
      <selection activeCell="A1" sqref="A1:E1"/>
    </sheetView>
  </sheetViews>
  <sheetFormatPr baseColWidth="8" defaultColWidth="9" defaultRowHeight="13.8"/>
  <cols>
    <col width="22" customWidth="1" style="39" min="1" max="1"/>
    <col width="56" customWidth="1" style="39" min="2" max="2"/>
    <col width="14" customWidth="1" style="39" min="3" max="3"/>
    <col width="16" customWidth="1" style="39" min="4" max="4"/>
    <col width="12" customWidth="1" style="39" min="5" max="5"/>
    <col width="10" customWidth="1" style="39" min="6" max="8"/>
    <col width="12" customWidth="1" style="39" min="9" max="10"/>
    <col width="30" customWidth="1" style="39" min="11" max="11"/>
  </cols>
  <sheetData>
    <row r="1" ht="28" customHeight="1" s="39">
      <c r="A1" s="1" t="inlineStr">
        <is>
          <t>足球亚盘 V4 纸面统计账本</t>
        </is>
      </c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22" customHeight="1" s="39">
      <c r="A3" s="29" t="inlineStr">
        <is>
          <t>数据源</t>
        </is>
      </c>
      <c r="B3" s="30" t="inlineStr">
        <is>
          <t>https://simondongxiao.github.io/odds/v4/</t>
        </is>
      </c>
      <c r="C3" s="2" t="n"/>
      <c r="D3" s="5" t="inlineStr">
        <is>
          <t>结算分布（已结算）</t>
        </is>
      </c>
      <c r="F3" s="2" t="n"/>
      <c r="G3" s="2" t="n"/>
      <c r="H3" s="2" t="n"/>
      <c r="I3" s="2" t="n"/>
      <c r="J3" s="2" t="n"/>
      <c r="K3" s="2" t="n"/>
    </row>
    <row r="4" ht="22" customHeight="1" s="39">
      <c r="A4" s="29" t="inlineStr">
        <is>
          <t>页面模型</t>
        </is>
      </c>
      <c r="B4" s="30" t="inlineStr">
        <is>
          <t>2026-10-04 12:30（北京时间；9/30至10/4增量）</t>
        </is>
      </c>
      <c r="C4" s="2" t="n"/>
      <c r="D4" s="3" t="inlineStr">
        <is>
          <t>结果</t>
        </is>
      </c>
      <c r="E4" s="3" t="inlineStr">
        <is>
          <t>场次</t>
        </is>
      </c>
      <c r="F4" s="2" t="n"/>
      <c r="G4" s="2" t="n"/>
      <c r="H4" s="2" t="n"/>
      <c r="I4" s="2" t="n"/>
      <c r="J4" s="2" t="n"/>
      <c r="K4" s="2" t="n"/>
    </row>
    <row r="5" ht="22" customHeight="1" s="39">
      <c r="A5" s="29" t="inlineStr">
        <is>
          <t>覆盖列表日</t>
        </is>
      </c>
      <c r="B5" s="30" t="inlineStr">
        <is>
          <t>覆盖记账日：2026-09-01至2026-10-04；新增9/30至10/4冻结记录；历史赛前字段不回刷</t>
        </is>
      </c>
      <c r="C5" s="2" t="n"/>
      <c r="D5" s="30" t="inlineStr">
        <is>
          <t>红</t>
        </is>
      </c>
      <c r="E5" s="30">
        <f>COUNTIFS(赛事明细!$P$4:$P$2000,"已结算",赛事明细!$Q$4:$Q$2000,"红")</f>
        <v/>
      </c>
      <c r="F5" s="2" t="n"/>
      <c r="G5" s="2" t="n"/>
      <c r="H5" s="2" t="n"/>
      <c r="I5" s="2" t="n"/>
      <c r="J5" s="2" t="n"/>
      <c r="K5" s="2" t="n"/>
    </row>
    <row r="6" ht="22" customHeight="1" s="39">
      <c r="A6" s="29" t="inlineStr">
        <is>
          <t>V4候选场次</t>
        </is>
      </c>
      <c r="B6" s="30">
        <f>COUNTA(赛事明细!E4:E2000)</f>
        <v/>
      </c>
      <c r="C6" s="2" t="n"/>
      <c r="D6" s="30" t="inlineStr">
        <is>
          <t>半红</t>
        </is>
      </c>
      <c r="E6" s="30">
        <f>COUNTIFS(赛事明细!$P$4:$P$2000,"已结算",赛事明细!$Q$4:$Q$2000,"半红")</f>
        <v/>
      </c>
      <c r="F6" s="2" t="n"/>
      <c r="G6" s="2" t="n"/>
      <c r="H6" s="2" t="n"/>
      <c r="I6" s="2" t="n"/>
      <c r="J6" s="2" t="n"/>
      <c r="K6" s="2" t="n"/>
    </row>
    <row r="7" ht="22" customHeight="1" s="39">
      <c r="A7" s="29" t="inlineStr">
        <is>
          <t>已结算场次</t>
        </is>
      </c>
      <c r="B7" s="30">
        <f>COUNTIF(赛事明细!P4:P2000,"已结算")</f>
        <v/>
      </c>
      <c r="C7" s="2" t="n"/>
      <c r="D7" s="30" t="inlineStr">
        <is>
          <t>走</t>
        </is>
      </c>
      <c r="E7" s="30">
        <f>COUNTIFS(赛事明细!$P$4:$P$2000,"已结算",赛事明细!$Q$4:$Q$2000,"走")</f>
        <v/>
      </c>
      <c r="F7" s="2" t="n"/>
      <c r="G7" s="2" t="n"/>
      <c r="H7" s="2" t="n"/>
      <c r="I7" s="2" t="n"/>
      <c r="J7" s="2" t="n"/>
      <c r="K7" s="2" t="n"/>
    </row>
    <row r="8" ht="22" customHeight="1" s="39">
      <c r="A8" s="29" t="inlineStr">
        <is>
          <t>待结算场次</t>
        </is>
      </c>
      <c r="B8" s="30">
        <f>B6-B7</f>
        <v/>
      </c>
      <c r="C8" s="2" t="n"/>
      <c r="D8" s="30" t="inlineStr">
        <is>
          <t>半黑</t>
        </is>
      </c>
      <c r="E8" s="30">
        <f>COUNTIFS(赛事明细!$P$4:$P$2000,"已结算",赛事明细!$Q$4:$Q$2000,"半黑")</f>
        <v/>
      </c>
      <c r="F8" s="2" t="n"/>
      <c r="G8" s="2" t="n"/>
      <c r="H8" s="2" t="n"/>
      <c r="I8" s="2" t="n"/>
      <c r="J8" s="2" t="n"/>
      <c r="K8" s="2" t="n"/>
    </row>
    <row r="9" ht="22" customHeight="1" s="39">
      <c r="A9" s="29" t="inlineStr">
        <is>
          <t>总盈亏（u）</t>
        </is>
      </c>
      <c r="B9" s="40">
        <f>SUM(赛事明细!S4:S2000)</f>
        <v/>
      </c>
      <c r="C9" s="2" t="n"/>
      <c r="D9" s="30" t="inlineStr">
        <is>
          <t>黑</t>
        </is>
      </c>
      <c r="E9" s="30">
        <f>COUNTIFS(赛事明细!$P$4:$P$2000,"已结算",赛事明细!$Q$4:$Q$2000,"黑")</f>
        <v/>
      </c>
      <c r="F9" s="2" t="n"/>
      <c r="G9" s="2" t="n"/>
      <c r="H9" s="2" t="n"/>
      <c r="I9" s="2" t="n"/>
      <c r="J9" s="2" t="n"/>
      <c r="K9" s="2" t="n"/>
    </row>
    <row r="10" ht="22" customHeight="1" s="39">
      <c r="A10" s="29" t="inlineStr">
        <is>
          <t>ROI</t>
        </is>
      </c>
      <c r="B10" s="41">
        <f>IFERROR(B9/B7,0)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23" customHeight="1" s="39">
      <c r="A12" s="5" t="inlineStr">
        <is>
          <t>V4页面原始覆盖</t>
        </is>
      </c>
    </row>
    <row r="13" ht="26" customHeight="1" s="39">
      <c r="A13" s="3" t="inlineStr">
        <is>
          <t>列表日</t>
        </is>
      </c>
      <c r="B13" s="3" t="inlineStr">
        <is>
          <t>总赛事</t>
        </is>
      </c>
      <c r="C13" s="3" t="inlineStr">
        <is>
          <t>真实计算</t>
        </is>
      </c>
      <c r="D13" s="3" t="inlineStr">
        <is>
          <t>A</t>
        </is>
      </c>
      <c r="E13" s="3" t="inlineStr">
        <is>
          <t>B</t>
        </is>
      </c>
      <c r="F13" s="3" t="inlineStr">
        <is>
          <t>C</t>
        </is>
      </c>
      <c r="G13" s="3" t="inlineStr">
        <is>
          <t>N</t>
        </is>
      </c>
      <c r="H13" s="3" t="inlineStr">
        <is>
          <t>中性</t>
        </is>
      </c>
      <c r="I13" s="3" t="inlineStr">
        <is>
          <t>数据缺失</t>
        </is>
      </c>
      <c r="J13" s="3" t="inlineStr">
        <is>
          <t>非赛前</t>
        </is>
      </c>
      <c r="K13" s="3" t="inlineStr">
        <is>
          <t>生成时间</t>
        </is>
      </c>
    </row>
    <row r="14" ht="22" customHeight="1" s="39">
      <c r="A14" s="6" t="inlineStr">
        <is>
          <t>2026-09-13</t>
        </is>
      </c>
      <c r="B14" s="6" t="n">
        <v>192</v>
      </c>
      <c r="C14" s="6" t="n">
        <v>160</v>
      </c>
      <c r="D14" s="6" t="n">
        <v>0</v>
      </c>
      <c r="E14" s="6" t="n">
        <v>3</v>
      </c>
      <c r="F14" s="6" t="n">
        <v>30</v>
      </c>
      <c r="G14" s="6" t="n">
        <v>127</v>
      </c>
      <c r="H14" s="6" t="n">
        <v>29</v>
      </c>
      <c r="I14" s="6" t="n">
        <v>0</v>
      </c>
      <c r="J14" s="6" t="n">
        <v>3</v>
      </c>
      <c r="K14" s="6" t="inlineStr">
        <is>
          <t>2026-09-13 13:36:05.043202 北京时间</t>
        </is>
      </c>
    </row>
    <row r="15" ht="22" customHeight="1" s="39">
      <c r="A15" s="6" t="inlineStr">
        <is>
          <t>2026-09-14</t>
        </is>
      </c>
      <c r="B15" s="6" t="n">
        <v>208</v>
      </c>
      <c r="C15" s="6" t="n">
        <v>72</v>
      </c>
      <c r="D15" s="6" t="n">
        <v>0</v>
      </c>
      <c r="E15" s="6" t="n">
        <v>1</v>
      </c>
      <c r="F15" s="6" t="n">
        <v>18</v>
      </c>
      <c r="G15" s="6" t="n">
        <v>53</v>
      </c>
      <c r="H15" s="6" t="n">
        <v>30</v>
      </c>
      <c r="I15" s="6" t="n">
        <v>52</v>
      </c>
      <c r="J15" s="6" t="n">
        <v>54</v>
      </c>
      <c r="K15" s="6" t="inlineStr">
        <is>
          <t>2026-09-14 22:16:27.477271 北京时间</t>
        </is>
      </c>
    </row>
    <row r="16" ht="22" customHeight="1" s="39">
      <c r="A16" s="6" t="inlineStr">
        <is>
          <t>2026-09-15</t>
        </is>
      </c>
      <c r="B16" s="6" t="n">
        <v>327</v>
      </c>
      <c r="C16" s="6" t="n">
        <v>116</v>
      </c>
      <c r="D16" s="6" t="n">
        <v>1</v>
      </c>
      <c r="E16" s="6" t="n">
        <v>3</v>
      </c>
      <c r="F16" s="6" t="n">
        <v>28</v>
      </c>
      <c r="G16" s="6" t="n">
        <v>84</v>
      </c>
      <c r="H16" s="6" t="n">
        <v>41</v>
      </c>
      <c r="I16" s="6" t="n">
        <v>140</v>
      </c>
      <c r="J16" s="6" t="n">
        <v>30</v>
      </c>
      <c r="K16" s="6" t="inlineStr">
        <is>
          <t>2026-09-15 18:10:05.341285 北京时间</t>
        </is>
      </c>
    </row>
    <row r="17" ht="22" customHeight="1" s="39">
      <c r="A17" s="6" t="inlineStr">
        <is>
          <t>2026-09-16</t>
        </is>
      </c>
      <c r="B17" s="6" t="n">
        <v>510</v>
      </c>
      <c r="C17" s="6" t="n">
        <v>161</v>
      </c>
      <c r="D17" s="6" t="n">
        <v>1</v>
      </c>
      <c r="E17" s="6" t="n">
        <v>1</v>
      </c>
      <c r="F17" s="6" t="n">
        <v>29</v>
      </c>
      <c r="G17" s="6" t="n">
        <v>130</v>
      </c>
      <c r="H17" s="6" t="n">
        <v>28</v>
      </c>
      <c r="I17" s="6" t="n">
        <v>128</v>
      </c>
      <c r="J17" s="6" t="n">
        <v>193</v>
      </c>
      <c r="K17" s="6" t="inlineStr">
        <is>
          <t>2026-09-16 23:55:21.710510 北京时间</t>
        </is>
      </c>
    </row>
    <row r="18" ht="22" customHeight="1" s="39">
      <c r="A18" s="6" t="inlineStr">
        <is>
          <t>2026-09-17</t>
        </is>
      </c>
      <c r="B18" s="6" t="n">
        <v>269</v>
      </c>
      <c r="C18" s="6" t="n">
        <v>83</v>
      </c>
      <c r="D18" s="6" t="n">
        <v>0</v>
      </c>
      <c r="E18" s="6" t="n">
        <v>2</v>
      </c>
      <c r="F18" s="6" t="n">
        <v>17</v>
      </c>
      <c r="G18" s="6" t="n">
        <v>64</v>
      </c>
      <c r="H18" s="6" t="n">
        <v>22</v>
      </c>
      <c r="I18" s="6" t="n">
        <v>70</v>
      </c>
      <c r="J18" s="6" t="n">
        <v>94</v>
      </c>
      <c r="K18" s="6" t="inlineStr">
        <is>
          <t>2026-09-17 22:29:30.141242 北京时间</t>
        </is>
      </c>
    </row>
    <row r="19" ht="22" customHeight="1" s="39">
      <c r="A19" s="6" t="inlineStr">
        <is>
          <t>2026-09-18</t>
        </is>
      </c>
      <c r="B19" s="6" t="n">
        <v>508</v>
      </c>
      <c r="C19" s="6" t="n">
        <v>161</v>
      </c>
      <c r="D19" s="6" t="n">
        <v>1</v>
      </c>
      <c r="E19" s="6" t="n">
        <v>4</v>
      </c>
      <c r="F19" s="6" t="n">
        <v>49</v>
      </c>
      <c r="G19" s="6" t="n">
        <v>107</v>
      </c>
      <c r="H19" s="6" t="n">
        <v>49</v>
      </c>
      <c r="I19" s="6" t="n">
        <v>285</v>
      </c>
      <c r="J19" s="6" t="n">
        <v>13</v>
      </c>
      <c r="K19" s="6" t="inlineStr">
        <is>
          <t>2026-09-18 16:00:27.683383 北京时间</t>
        </is>
      </c>
    </row>
    <row r="20" ht="22" customHeight="1" s="39">
      <c r="A20" s="6" t="inlineStr">
        <is>
          <t>2026-09-19</t>
        </is>
      </c>
      <c r="B20" s="6" t="n">
        <v>1825</v>
      </c>
      <c r="C20" s="6" t="n">
        <v>380</v>
      </c>
      <c r="D20" s="6" t="n">
        <v>1</v>
      </c>
      <c r="E20" s="6" t="n">
        <v>4</v>
      </c>
      <c r="F20" s="6" t="n">
        <v>88</v>
      </c>
      <c r="G20" s="6" t="n">
        <v>287</v>
      </c>
      <c r="H20" s="6" t="n">
        <v>119</v>
      </c>
      <c r="I20" s="6" t="n">
        <v>212</v>
      </c>
      <c r="J20" s="6" t="n">
        <v>1114</v>
      </c>
      <c r="K20" s="6" t="inlineStr">
        <is>
          <t>2026-09-19 14:12:46.996540 北京时间</t>
        </is>
      </c>
    </row>
    <row r="21" ht="22" customHeight="1" s="39">
      <c r="A21" s="6" t="inlineStr">
        <is>
          <t>2026-09-20</t>
        </is>
      </c>
      <c r="B21" s="6" t="n">
        <v>1348</v>
      </c>
      <c r="C21" s="6" t="n">
        <v>231</v>
      </c>
      <c r="D21" s="6" t="n">
        <v>1</v>
      </c>
      <c r="E21" s="6" t="n">
        <v>4</v>
      </c>
      <c r="F21" s="6" t="n">
        <v>62</v>
      </c>
      <c r="G21" s="6" t="n">
        <v>164</v>
      </c>
      <c r="H21" s="6" t="n">
        <v>68</v>
      </c>
      <c r="I21" s="6" t="n">
        <v>2</v>
      </c>
      <c r="J21" s="6" t="n">
        <v>1047</v>
      </c>
      <c r="K21" s="6" t="inlineStr">
        <is>
          <t>2026-09-20 21:55:39.015063 北京时间</t>
        </is>
      </c>
    </row>
    <row r="22" ht="22" customHeight="1" s="39">
      <c r="A22" s="6" t="inlineStr">
        <is>
          <t>2026-09-21</t>
        </is>
      </c>
      <c r="B22" s="6" t="n">
        <v>169</v>
      </c>
      <c r="C22" s="6" t="n">
        <v>12</v>
      </c>
      <c r="D22" s="6" t="n">
        <v>0</v>
      </c>
      <c r="E22" s="6" t="n">
        <v>0</v>
      </c>
      <c r="F22" s="6" t="n">
        <v>3</v>
      </c>
      <c r="G22" s="6" t="n">
        <v>9</v>
      </c>
      <c r="H22" s="6" t="n">
        <v>39</v>
      </c>
      <c r="I22" s="6" t="n">
        <v>118</v>
      </c>
      <c r="J22" s="6" t="n">
        <v>0</v>
      </c>
      <c r="K22" s="6" t="inlineStr">
        <is>
          <t>2026-09-21 08:20:31.444281 北京时间</t>
        </is>
      </c>
    </row>
    <row r="23" ht="34" customHeight="1" s="39">
      <c r="A23" s="10" t="inlineStr">
        <is>
          <t>说明：仅将 A/B/C（EV均值&gt;0）纳入纸面候选；N、Neutral、数据缺失及非赛前均不计入投注统计。P(EV&gt;0)表示模型对“期望收益为正”的概率，不是比赛胜率。V4页面标注 real_money=false。未完场场次保留在明细但不计入盈亏。</t>
        </is>
      </c>
    </row>
    <row r="24" ht="34" customHeight="1" s="39"/>
    <row r="25" ht="24" customHeight="1" s="39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4" customHeight="1" s="39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42" customHeight="1" s="39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27" customHeight="1" s="39">
      <c r="A28" s="33" t="inlineStr">
        <is>
          <t>09/13–09/21 每日更新（北京时间12:00至次日12:00）</t>
        </is>
      </c>
      <c r="G28" s="2" t="n"/>
      <c r="H28" s="2" t="n"/>
      <c r="I28" s="2" t="n"/>
      <c r="J28" s="2" t="n"/>
      <c r="K28" s="2" t="n"/>
    </row>
    <row r="29" ht="26" customHeight="1" s="39">
      <c r="A29" s="34" t="inlineStr">
        <is>
          <t>统计日</t>
        </is>
      </c>
      <c r="B29" s="34" t="inlineStr">
        <is>
          <t>入选场次</t>
        </is>
      </c>
      <c r="C29" s="34" t="inlineStr">
        <is>
          <t>已结算</t>
        </is>
      </c>
      <c r="D29" s="34" t="inlineStr">
        <is>
          <t>有效胜率</t>
        </is>
      </c>
      <c r="E29" s="34" t="inlineStr">
        <is>
          <t>盈亏(u)</t>
        </is>
      </c>
      <c r="F29" s="34" t="inlineStr">
        <is>
          <t>ROI</t>
        </is>
      </c>
    </row>
    <row r="30" ht="24" customHeight="1" s="39">
      <c r="A30" s="35" t="inlineStr">
        <is>
          <t>2026-09-13</t>
        </is>
      </c>
      <c r="B30" s="35">
        <f>COUNTIF(赛事明细!$A$4:$A$2000,A30)</f>
        <v/>
      </c>
      <c r="C30" s="35">
        <f>COUNTIFS(赛事明细!$A$4:$A$2000,A30,赛事明细!$P$4:$P$2000,"已结算")</f>
        <v/>
      </c>
      <c r="D30" s="36">
        <f>IF(C30=0,"",IFERROR((COUNTIFS(赛事明细!$A$4:$A$2000,A30,赛事明细!$P$4:$P$2000,"已结算",赛事明细!$Q$4:$Q$2000,"红")+0.5*COUNTIFS(赛事明细!$A$4:$A$2000,A30,赛事明细!$P$4:$P$2000,"已结算",赛事明细!$Q$4:$Q$2000,"半红"))/(COUNTIFS(赛事明细!$A$4:$A$2000,A30,赛事明细!$P$4:$P$2000,"已结算",赛事明细!$Q$4:$Q$2000,"红")+0.5*COUNTIFS(赛事明细!$A$4:$A$2000,A30,赛事明细!$P$4:$P$2000,"已结算",赛事明细!$Q$4:$Q$2000,"半红")+COUNTIFS(赛事明细!$A$4:$A$2000,A30,赛事明细!$P$4:$P$2000,"已结算",赛事明细!$Q$4:$Q$2000,"黑")+0.5*COUNTIFS(赛事明细!$A$4:$A$2000,A30,赛事明细!$P$4:$P$2000,"已结算",赛事明细!$Q$4:$Q$2000,"半黑")),""))</f>
        <v/>
      </c>
      <c r="E30" s="42">
        <f>SUMIFS(赛事明细!$S$4:$S$2000,赛事明细!$A$4:$A$2000,A30,赛事明细!$P$4:$P$2000,"已结算")</f>
        <v/>
      </c>
      <c r="F30" s="36">
        <f>IF(C30=0,"",IFERROR(E30/C30,""))</f>
        <v/>
      </c>
    </row>
    <row r="31" ht="24" customHeight="1" s="39">
      <c r="A31" s="35" t="inlineStr">
        <is>
          <t>2026-09-14</t>
        </is>
      </c>
      <c r="B31" s="35">
        <f>COUNTIF(赛事明细!$A$4:$A$2000,A31)</f>
        <v/>
      </c>
      <c r="C31" s="35">
        <f>COUNTIFS(赛事明细!$A$4:$A$2000,A31,赛事明细!$P$4:$P$2000,"已结算")</f>
        <v/>
      </c>
      <c r="D31" s="36">
        <f>IF(C31=0,"",IFERROR((COUNTIFS(赛事明细!$A$4:$A$2000,A31,赛事明细!$P$4:$P$2000,"已结算",赛事明细!$Q$4:$Q$2000,"红")+0.5*COUNTIFS(赛事明细!$A$4:$A$2000,A31,赛事明细!$P$4:$P$2000,"已结算",赛事明细!$Q$4:$Q$2000,"半红"))/(COUNTIFS(赛事明细!$A$4:$A$2000,A31,赛事明细!$P$4:$P$2000,"已结算",赛事明细!$Q$4:$Q$2000,"红")+0.5*COUNTIFS(赛事明细!$A$4:$A$2000,A31,赛事明细!$P$4:$P$2000,"已结算",赛事明细!$Q$4:$Q$2000,"半红")+COUNTIFS(赛事明细!$A$4:$A$2000,A31,赛事明细!$P$4:$P$2000,"已结算",赛事明细!$Q$4:$Q$2000,"黑")+0.5*COUNTIFS(赛事明细!$A$4:$A$2000,A31,赛事明细!$P$4:$P$2000,"已结算",赛事明细!$Q$4:$Q$2000,"半黑")),""))</f>
        <v/>
      </c>
      <c r="E31" s="42">
        <f>SUMIFS(赛事明细!$S$4:$S$2000,赛事明细!$A$4:$A$2000,A31,赛事明细!$P$4:$P$2000,"已结算")</f>
        <v/>
      </c>
      <c r="F31" s="36">
        <f>IF(C31=0,"",IFERROR(E31/C31,""))</f>
        <v/>
      </c>
    </row>
    <row r="32" ht="24" customHeight="1" s="39">
      <c r="A32" s="35" t="inlineStr">
        <is>
          <t>2026-09-15</t>
        </is>
      </c>
      <c r="B32" s="35">
        <f>COUNTIF(赛事明细!$A$4:$A$2000,A32)</f>
        <v/>
      </c>
      <c r="C32" s="35">
        <f>COUNTIFS(赛事明细!$A$4:$A$2000,A32,赛事明细!$P$4:$P$2000,"已结算")</f>
        <v/>
      </c>
      <c r="D32" s="36">
        <f>IF(C32=0,"",IFERROR((COUNTIFS(赛事明细!$A$4:$A$2000,A32,赛事明细!$P$4:$P$2000,"已结算",赛事明细!$Q$4:$Q$2000,"红")+0.5*COUNTIFS(赛事明细!$A$4:$A$2000,A32,赛事明细!$P$4:$P$2000,"已结算",赛事明细!$Q$4:$Q$2000,"半红"))/(COUNTIFS(赛事明细!$A$4:$A$2000,A32,赛事明细!$P$4:$P$2000,"已结算",赛事明细!$Q$4:$Q$2000,"红")+0.5*COUNTIFS(赛事明细!$A$4:$A$2000,A32,赛事明细!$P$4:$P$2000,"已结算",赛事明细!$Q$4:$Q$2000,"半红")+COUNTIFS(赛事明细!$A$4:$A$2000,A32,赛事明细!$P$4:$P$2000,"已结算",赛事明细!$Q$4:$Q$2000,"黑")+0.5*COUNTIFS(赛事明细!$A$4:$A$2000,A32,赛事明细!$P$4:$P$2000,"已结算",赛事明细!$Q$4:$Q$2000,"半黑")),""))</f>
        <v/>
      </c>
      <c r="E32" s="42">
        <f>SUMIFS(赛事明细!$S$4:$S$2000,赛事明细!$A$4:$A$2000,A32,赛事明细!$P$4:$P$2000,"已结算")</f>
        <v/>
      </c>
      <c r="F32" s="36">
        <f>IF(C32=0,"",IFERROR(E32/C32,""))</f>
        <v/>
      </c>
    </row>
    <row r="33" ht="24" customHeight="1" s="39">
      <c r="A33" s="35" t="inlineStr">
        <is>
          <t>2026-09-16</t>
        </is>
      </c>
      <c r="B33" s="35">
        <f>COUNTIF(赛事明细!$A$4:$A$2000,A33)</f>
        <v/>
      </c>
      <c r="C33" s="35">
        <f>COUNTIFS(赛事明细!$A$4:$A$2000,A33,赛事明细!$P$4:$P$2000,"已结算")</f>
        <v/>
      </c>
      <c r="D33" s="36">
        <f>IF(C33=0,"",IFERROR((COUNTIFS(赛事明细!$A$4:$A$2000,A33,赛事明细!$P$4:$P$2000,"已结算",赛事明细!$Q$4:$Q$2000,"红")+0.5*COUNTIFS(赛事明细!$A$4:$A$2000,A33,赛事明细!$P$4:$P$2000,"已结算",赛事明细!$Q$4:$Q$2000,"半红"))/(COUNTIFS(赛事明细!$A$4:$A$2000,A33,赛事明细!$P$4:$P$2000,"已结算",赛事明细!$Q$4:$Q$2000,"红")+0.5*COUNTIFS(赛事明细!$A$4:$A$2000,A33,赛事明细!$P$4:$P$2000,"已结算",赛事明细!$Q$4:$Q$2000,"半红")+COUNTIFS(赛事明细!$A$4:$A$2000,A33,赛事明细!$P$4:$P$2000,"已结算",赛事明细!$Q$4:$Q$2000,"黑")+0.5*COUNTIFS(赛事明细!$A$4:$A$2000,A33,赛事明细!$P$4:$P$2000,"已结算",赛事明细!$Q$4:$Q$2000,"半黑")),""))</f>
        <v/>
      </c>
      <c r="E33" s="42">
        <f>SUMIFS(赛事明细!$S$4:$S$2000,赛事明细!$A$4:$A$2000,A33,赛事明细!$P$4:$P$2000,"已结算")</f>
        <v/>
      </c>
      <c r="F33" s="36">
        <f>IF(C33=0,"",IFERROR(E33/C33,""))</f>
        <v/>
      </c>
    </row>
    <row r="34" ht="24" customHeight="1" s="39">
      <c r="A34" s="35" t="inlineStr">
        <is>
          <t>2026-09-17</t>
        </is>
      </c>
      <c r="B34" s="35">
        <f>COUNTIF(赛事明细!$A$4:$A$2000,A34)</f>
        <v/>
      </c>
      <c r="C34" s="35">
        <f>COUNTIFS(赛事明细!$A$4:$A$2000,A34,赛事明细!$P$4:$P$2000,"已结算")</f>
        <v/>
      </c>
      <c r="D34" s="36">
        <f>IF(C34=0,"",IFERROR((COUNTIFS(赛事明细!$A$4:$A$2000,A34,赛事明细!$P$4:$P$2000,"已结算",赛事明细!$Q$4:$Q$2000,"红")+0.5*COUNTIFS(赛事明细!$A$4:$A$2000,A34,赛事明细!$P$4:$P$2000,"已结算",赛事明细!$Q$4:$Q$2000,"半红"))/(COUNTIFS(赛事明细!$A$4:$A$2000,A34,赛事明细!$P$4:$P$2000,"已结算",赛事明细!$Q$4:$Q$2000,"红")+0.5*COUNTIFS(赛事明细!$A$4:$A$2000,A34,赛事明细!$P$4:$P$2000,"已结算",赛事明细!$Q$4:$Q$2000,"半红")+COUNTIFS(赛事明细!$A$4:$A$2000,A34,赛事明细!$P$4:$P$2000,"已结算",赛事明细!$Q$4:$Q$2000,"黑")+0.5*COUNTIFS(赛事明细!$A$4:$A$2000,A34,赛事明细!$P$4:$P$2000,"已结算",赛事明细!$Q$4:$Q$2000,"半黑")),""))</f>
        <v/>
      </c>
      <c r="E34" s="42">
        <f>SUMIFS(赛事明细!$S$4:$S$2000,赛事明细!$A$4:$A$2000,A34,赛事明细!$P$4:$P$2000,"已结算")</f>
        <v/>
      </c>
      <c r="F34" s="36">
        <f>IF(C34=0,"",IFERROR(E34/C34,""))</f>
        <v/>
      </c>
    </row>
    <row r="35" ht="24" customHeight="1" s="39">
      <c r="A35" s="35" t="inlineStr">
        <is>
          <t>2026-09-18</t>
        </is>
      </c>
      <c r="B35" s="35">
        <f>COUNTIF(赛事明细!$A$4:$A$2000,A35)</f>
        <v/>
      </c>
      <c r="C35" s="35">
        <f>COUNTIFS(赛事明细!$A$4:$A$2000,A35,赛事明细!$P$4:$P$2000,"已结算")</f>
        <v/>
      </c>
      <c r="D35" s="36">
        <f>IF(C35=0,"",IFERROR((COUNTIFS(赛事明细!$A$4:$A$2000,A35,赛事明细!$P$4:$P$2000,"已结算",赛事明细!$Q$4:$Q$2000,"红")+0.5*COUNTIFS(赛事明细!$A$4:$A$2000,A35,赛事明细!$P$4:$P$2000,"已结算",赛事明细!$Q$4:$Q$2000,"半红"))/(COUNTIFS(赛事明细!$A$4:$A$2000,A35,赛事明细!$P$4:$P$2000,"已结算",赛事明细!$Q$4:$Q$2000,"红")+0.5*COUNTIFS(赛事明细!$A$4:$A$2000,A35,赛事明细!$P$4:$P$2000,"已结算",赛事明细!$Q$4:$Q$2000,"半红")+COUNTIFS(赛事明细!$A$4:$A$2000,A35,赛事明细!$P$4:$P$2000,"已结算",赛事明细!$Q$4:$Q$2000,"黑")+0.5*COUNTIFS(赛事明细!$A$4:$A$2000,A35,赛事明细!$P$4:$P$2000,"已结算",赛事明细!$Q$4:$Q$2000,"半黑")),""))</f>
        <v/>
      </c>
      <c r="E35" s="42">
        <f>SUMIFS(赛事明细!$S$4:$S$2000,赛事明细!$A$4:$A$2000,A35,赛事明细!$P$4:$P$2000,"已结算")</f>
        <v/>
      </c>
      <c r="F35" s="36">
        <f>IF(C35=0,"",IFERROR(E35/C35,""))</f>
        <v/>
      </c>
    </row>
    <row r="36" ht="24" customHeight="1" s="39">
      <c r="A36" s="35" t="inlineStr">
        <is>
          <t>2026-09-19</t>
        </is>
      </c>
      <c r="B36" s="35">
        <f>COUNTIF(赛事明细!$A$4:$A$2000,A36)</f>
        <v/>
      </c>
      <c r="C36" s="35">
        <f>COUNTIFS(赛事明细!$A$4:$A$2000,A36,赛事明细!$P$4:$P$2000,"已结算")</f>
        <v/>
      </c>
      <c r="D36" s="36">
        <f>IF(C36=0,"",IFERROR((COUNTIFS(赛事明细!$A$4:$A$2000,A36,赛事明细!$P$4:$P$2000,"已结算",赛事明细!$Q$4:$Q$2000,"红")+0.5*COUNTIFS(赛事明细!$A$4:$A$2000,A36,赛事明细!$P$4:$P$2000,"已结算",赛事明细!$Q$4:$Q$2000,"半红"))/(COUNTIFS(赛事明细!$A$4:$A$2000,A36,赛事明细!$P$4:$P$2000,"已结算",赛事明细!$Q$4:$Q$2000,"红")+0.5*COUNTIFS(赛事明细!$A$4:$A$2000,A36,赛事明细!$P$4:$P$2000,"已结算",赛事明细!$Q$4:$Q$2000,"半红")+COUNTIFS(赛事明细!$A$4:$A$2000,A36,赛事明细!$P$4:$P$2000,"已结算",赛事明细!$Q$4:$Q$2000,"黑")+0.5*COUNTIFS(赛事明细!$A$4:$A$2000,A36,赛事明细!$P$4:$P$2000,"已结算",赛事明细!$Q$4:$Q$2000,"半黑")),""))</f>
        <v/>
      </c>
      <c r="E36" s="42">
        <f>SUMIFS(赛事明细!$S$4:$S$2000,赛事明细!$A$4:$A$2000,A36,赛事明细!$P$4:$P$2000,"已结算")</f>
        <v/>
      </c>
      <c r="F36" s="36">
        <f>IF(C36=0,"",IFERROR(E36/C36,""))</f>
        <v/>
      </c>
    </row>
    <row r="37" ht="24" customHeight="1" s="39">
      <c r="A37" s="35" t="inlineStr">
        <is>
          <t>2026-09-20</t>
        </is>
      </c>
      <c r="B37" s="35">
        <f>COUNTIF(赛事明细!$A$4:$A$2000,A37)</f>
        <v/>
      </c>
      <c r="C37" s="35">
        <f>COUNTIFS(赛事明细!$A$4:$A$2000,A37,赛事明细!$P$4:$P$2000,"已结算")</f>
        <v/>
      </c>
      <c r="D37" s="36">
        <f>IF(C37=0,"",IFERROR((COUNTIFS(赛事明细!$A$4:$A$2000,A37,赛事明细!$P$4:$P$2000,"已结算",赛事明细!$Q$4:$Q$2000,"红")+0.5*COUNTIFS(赛事明细!$A$4:$A$2000,A37,赛事明细!$P$4:$P$2000,"已结算",赛事明细!$Q$4:$Q$2000,"半红"))/(COUNTIFS(赛事明细!$A$4:$A$2000,A37,赛事明细!$P$4:$P$2000,"已结算",赛事明细!$Q$4:$Q$2000,"红")+0.5*COUNTIFS(赛事明细!$A$4:$A$2000,A37,赛事明细!$P$4:$P$2000,"已结算",赛事明细!$Q$4:$Q$2000,"半红")+COUNTIFS(赛事明细!$A$4:$A$2000,A37,赛事明细!$P$4:$P$2000,"已结算",赛事明细!$Q$4:$Q$2000,"黑")+0.5*COUNTIFS(赛事明细!$A$4:$A$2000,A37,赛事明细!$P$4:$P$2000,"已结算",赛事明细!$Q$4:$Q$2000,"半黑")),""))</f>
        <v/>
      </c>
      <c r="E37" s="42">
        <f>SUMIFS(赛事明细!$S$4:$S$2000,赛事明细!$A$4:$A$2000,A37,赛事明细!$P$4:$P$2000,"已结算")</f>
        <v/>
      </c>
      <c r="F37" s="36">
        <f>IF(C37=0,"",IFERROR(E37/C37,""))</f>
        <v/>
      </c>
    </row>
    <row r="38" ht="24" customHeight="1" s="39">
      <c r="A38" s="35" t="inlineStr">
        <is>
          <t>2026-09-21</t>
        </is>
      </c>
      <c r="B38" s="35">
        <f>COUNTIF(赛事明细!$A$4:$A$2000,A38)</f>
        <v/>
      </c>
      <c r="C38" s="35">
        <f>COUNTIFS(赛事明细!$A$4:$A$2000,A38,赛事明细!$P$4:$P$2000,"已结算")</f>
        <v/>
      </c>
      <c r="D38" s="36">
        <f>IF(C38=0,"",IFERROR((COUNTIFS(赛事明细!$A$4:$A$2000,A38,赛事明细!$P$4:$P$2000,"已结算",赛事明细!$Q$4:$Q$2000,"红")+0.5*COUNTIFS(赛事明细!$A$4:$A$2000,A38,赛事明细!$P$4:$P$2000,"已结算",赛事明细!$Q$4:$Q$2000,"半红"))/(COUNTIFS(赛事明细!$A$4:$A$2000,A38,赛事明细!$P$4:$P$2000,"已结算",赛事明细!$Q$4:$Q$2000,"红")+0.5*COUNTIFS(赛事明细!$A$4:$A$2000,A38,赛事明细!$P$4:$P$2000,"已结算",赛事明细!$Q$4:$Q$2000,"半红")+COUNTIFS(赛事明细!$A$4:$A$2000,A38,赛事明细!$P$4:$P$2000,"已结算",赛事明细!$Q$4:$Q$2000,"黑")+0.5*COUNTIFS(赛事明细!$A$4:$A$2000,A38,赛事明细!$P$4:$P$2000,"已结算",赛事明细!$Q$4:$Q$2000,"半黑")),""))</f>
        <v/>
      </c>
      <c r="E38" s="42">
        <f>SUMIFS(赛事明细!$S$4:$S$2000,赛事明细!$A$4:$A$2000,A38,赛事明细!$P$4:$P$2000,"已结算")</f>
        <v/>
      </c>
      <c r="F38" s="36">
        <f>IF(C38=0,"",IFERROR(E38/C38,""))</f>
        <v/>
      </c>
    </row>
    <row r="40" ht="42" customHeight="1" s="39">
      <c r="A40" s="38" t="inlineStr">
        <is>
          <t>均注1u；有效胜率=(红+0.5×半红)/(红+0.5×半红+黑+0.5×半黑)，走盘不进胜率分母。ROI=盈亏÷已结算场次；待核实与未完赛不计入盈亏。</t>
        </is>
      </c>
    </row>
  </sheetData>
  <mergeCells count="6">
    <mergeCell ref="A12:K12"/>
    <mergeCell ref="A28:F28"/>
    <mergeCell ref="A23:K24"/>
    <mergeCell ref="A1:E1"/>
    <mergeCell ref="A40:F40"/>
    <mergeCell ref="D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507"/>
  <sheetViews>
    <sheetView workbookViewId="0">
      <pane xSplit="6" ySplit="3" topLeftCell="G4" activePane="bottomRight" state="frozen"/>
      <selection activeCell="A1" sqref="A1"/>
      <selection pane="topRight" activeCell="A1" sqref="A1"/>
      <selection pane="bottomLeft" activeCell="A1" sqref="A1"/>
      <selection pane="bottomRight" activeCell="A1" sqref="A1:AY1"/>
    </sheetView>
  </sheetViews>
  <sheetFormatPr baseColWidth="8" defaultColWidth="9" defaultRowHeight="13.8"/>
  <cols>
    <col width="13" customWidth="1" style="39" min="1" max="1"/>
    <col width="19" customWidth="1" style="39" min="2" max="2"/>
    <col width="20" customWidth="1" style="39" min="3" max="3"/>
    <col width="10" customWidth="1" style="39" min="4" max="4"/>
    <col width="15" customWidth="1" style="39" min="5" max="5"/>
    <col width="34" customWidth="1" style="39" min="6" max="6"/>
    <col width="11" customWidth="1" style="39" min="7" max="9"/>
    <col width="19" customWidth="1" style="39" min="10" max="11"/>
    <col width="22" customWidth="1" style="39" min="12" max="12"/>
    <col width="14" customWidth="1" style="39" min="13" max="13"/>
    <col width="18" customWidth="1" style="39" min="14" max="14"/>
    <col width="10" customWidth="1" style="39" min="15" max="15"/>
    <col width="12" customWidth="1" style="39" min="16" max="16"/>
    <col width="10" customWidth="1" style="39" min="17" max="17"/>
    <col width="12" customWidth="1" style="39" min="18" max="19"/>
    <col width="44" customWidth="1" style="39" min="20" max="20"/>
    <col width="12" customWidth="1" style="39" min="21" max="22"/>
    <col width="14" customWidth="1" style="39" min="23" max="23"/>
    <col width="13" customWidth="1" style="39" min="24" max="24"/>
    <col width="29" customWidth="1" style="39" min="25" max="25"/>
    <col width="23" customWidth="1" style="39" min="26" max="26"/>
    <col width="10" customWidth="1" style="39" min="27" max="27"/>
    <col width="11" customWidth="1" style="39" min="28" max="32"/>
    <col width="12" customWidth="1" style="39" min="33" max="39"/>
    <col width="15" customWidth="1" style="39" min="40" max="40"/>
    <col width="24" customWidth="1" style="39" min="41" max="41"/>
    <col width="14" customWidth="1" style="39" min="42" max="42"/>
    <col width="12" customWidth="1" style="39" min="43" max="44"/>
    <col width="15" customWidth="1" style="39" min="45" max="47"/>
    <col width="12" customWidth="1" style="39" min="48" max="48"/>
    <col width="24" customWidth="1" style="39" min="49" max="49"/>
    <col width="42" customWidth="1" style="39" min="50" max="50"/>
    <col width="48" customWidth="1" style="39" min="51" max="51"/>
  </cols>
  <sheetData>
    <row r="1" ht="28" customHeight="1" s="39">
      <c r="A1" s="1" t="inlineStr">
        <is>
          <t>V4纸面候选赛事明细</t>
        </is>
      </c>
    </row>
    <row r="2" ht="30" customHeight="1" s="39">
      <c r="A2" s="16" t="inlineStr">
        <is>
          <t>口径：A/B/C为V4正期望纸面候选；结算按即时亚洲盘、真实投注水位、均注1u。红=+水位，半红=+0.5×水位，走=0，半黑=-0.5，黑=-1。</t>
        </is>
      </c>
    </row>
    <row r="3" ht="26" customHeight="1" s="39">
      <c r="A3" s="3" t="inlineStr">
        <is>
          <t>日期筛选</t>
        </is>
      </c>
      <c r="B3" s="3" t="inlineStr">
        <is>
          <t>比赛时间</t>
        </is>
      </c>
      <c r="C3" s="3" t="inlineStr">
        <is>
          <t>赛事分布</t>
        </is>
      </c>
      <c r="D3" s="3" t="inlineStr">
        <is>
          <t>赛事类型</t>
        </is>
      </c>
      <c r="E3" s="3" t="inlineStr">
        <is>
          <t>联赛/杯赛</t>
        </is>
      </c>
      <c r="F3" s="3" t="inlineStr">
        <is>
          <t>具体比赛</t>
        </is>
      </c>
      <c r="G3" s="3" t="inlineStr">
        <is>
          <t>即时主水</t>
        </is>
      </c>
      <c r="H3" s="3" t="inlineStr">
        <is>
          <t>即时盘口</t>
        </is>
      </c>
      <c r="I3" s="3" t="inlineStr">
        <is>
          <t>即时客水</t>
        </is>
      </c>
      <c r="J3" s="3" t="inlineStr">
        <is>
          <t>即时赔率文本</t>
        </is>
      </c>
      <c r="K3" s="3" t="inlineStr">
        <is>
          <t>V4等级/信号</t>
        </is>
      </c>
      <c r="L3" s="3" t="inlineStr">
        <is>
          <t>投注方</t>
        </is>
      </c>
      <c r="M3" s="3" t="inlineStr">
        <is>
          <t>模型有效胜率</t>
        </is>
      </c>
      <c r="N3" s="3" t="inlineStr">
        <is>
          <t>投注说明</t>
        </is>
      </c>
      <c r="O3" s="3" t="inlineStr">
        <is>
          <t>赛果</t>
        </is>
      </c>
      <c r="P3" s="3" t="inlineStr">
        <is>
          <t>结算状态</t>
        </is>
      </c>
      <c r="Q3" s="3" t="inlineStr">
        <is>
          <t>红黑</t>
        </is>
      </c>
      <c r="R3" s="3" t="inlineStr">
        <is>
          <t>投注水位</t>
        </is>
      </c>
      <c r="S3" s="3" t="inlineStr">
        <is>
          <t>盈亏(u)</t>
        </is>
      </c>
      <c r="T3" s="3" t="inlineStr">
        <is>
          <t>比分来源</t>
        </is>
      </c>
      <c r="U3" s="3" t="inlineStr">
        <is>
          <t>反向红黑</t>
        </is>
      </c>
      <c r="V3" s="3" t="inlineStr">
        <is>
          <t>反向水位</t>
        </is>
      </c>
      <c r="W3" s="3" t="inlineStr">
        <is>
          <t>反向盈亏(u)</t>
        </is>
      </c>
      <c r="X3" s="3" t="inlineStr">
        <is>
          <t>Match_ID</t>
        </is>
      </c>
      <c r="Y3" s="3" t="inlineStr">
        <is>
          <t>Model_ID</t>
        </is>
      </c>
      <c r="Z3" s="3" t="inlineStr">
        <is>
          <t>Prior_Snapshot_ID</t>
        </is>
      </c>
      <c r="AA3" s="3" t="inlineStr">
        <is>
          <t>V4等级</t>
        </is>
      </c>
      <c r="AB3" s="3" t="inlineStr">
        <is>
          <t>全赢概率</t>
        </is>
      </c>
      <c r="AC3" s="3" t="inlineStr">
        <is>
          <t>赢半概率</t>
        </is>
      </c>
      <c r="AD3" s="3" t="inlineStr">
        <is>
          <t>走盘概率</t>
        </is>
      </c>
      <c r="AE3" s="3" t="inlineStr">
        <is>
          <t>输半概率</t>
        </is>
      </c>
      <c r="AF3" s="3" t="inlineStr">
        <is>
          <t>全输概率</t>
        </is>
      </c>
      <c r="AG3" s="3" t="inlineStr">
        <is>
          <t>EV均值</t>
        </is>
      </c>
      <c r="AH3" s="3" t="inlineStr">
        <is>
          <t>EV P05</t>
        </is>
      </c>
      <c r="AI3" s="3" t="inlineStr">
        <is>
          <t>EV P10</t>
        </is>
      </c>
      <c r="AJ3" s="3" t="inlineStr">
        <is>
          <t>EV P50</t>
        </is>
      </c>
      <c r="AK3" s="3" t="inlineStr">
        <is>
          <t>EV P90</t>
        </is>
      </c>
      <c r="AL3" s="3" t="inlineStr">
        <is>
          <t>EV P95</t>
        </is>
      </c>
      <c r="AM3" s="3" t="inlineStr">
        <is>
          <t>P(EV&gt;0)</t>
        </is>
      </c>
      <c r="AN3" s="3" t="inlineStr">
        <is>
          <t>分析状态</t>
        </is>
      </c>
      <c r="AO3" s="3" t="inlineStr">
        <is>
          <t>原因代码</t>
        </is>
      </c>
      <c r="AP3" s="3" t="inlineStr">
        <is>
          <t>Decision_ID</t>
        </is>
      </c>
      <c r="AQ3" s="3" t="inlineStr">
        <is>
          <t>选中盘口</t>
        </is>
      </c>
      <c r="AR3" s="3" t="inlineStr">
        <is>
          <t>选中水位</t>
        </is>
      </c>
      <c r="AS3" s="3" t="inlineStr">
        <is>
          <t>主队盘口(结算符号)</t>
        </is>
      </c>
      <c r="AT3" s="3" t="inlineStr">
        <is>
          <t>客队盘口(结算符号)</t>
        </is>
      </c>
      <c r="AU3" s="3" t="inlineStr">
        <is>
          <t>主队水位</t>
        </is>
      </c>
      <c r="AV3" s="3" t="inlineStr">
        <is>
          <t>客队水位</t>
        </is>
      </c>
      <c r="AW3" s="3" t="inlineStr">
        <is>
          <t>生成时间</t>
        </is>
      </c>
      <c r="AX3" s="3" t="inlineStr">
        <is>
          <t>V4来源</t>
        </is>
      </c>
      <c r="AY3" s="3" t="inlineStr">
        <is>
          <t>备注</t>
        </is>
      </c>
    </row>
    <row r="4" ht="22" customHeight="1" s="39">
      <c r="A4" s="14" t="inlineStr">
        <is>
          <t>2026-09-30</t>
        </is>
      </c>
      <c r="B4" s="14" t="inlineStr">
        <is>
          <t>2026-09-30 18:30:00</t>
        </is>
      </c>
      <c r="C4" s="14" t="inlineStr">
        <is>
          <t>NATIONAL_OFFICIAL</t>
        </is>
      </c>
      <c r="D4" s="14" t="inlineStr">
        <is>
          <t>联赛</t>
        </is>
      </c>
      <c r="E4" s="14" t="inlineStr">
        <is>
          <t>亚运男足</t>
        </is>
      </c>
      <c r="F4" s="14" t="inlineStr">
        <is>
          <t>乌兹别克斯坦U23(中) vs 日本U23</t>
        </is>
      </c>
      <c r="G4" s="26" t="n">
        <v>0.96</v>
      </c>
      <c r="H4" s="26" t="n">
        <v>-1</v>
      </c>
      <c r="I4" s="26" t="n">
        <v>0.86</v>
      </c>
      <c r="J4" s="26" t="inlineStr">
        <is>
          <t>0.96/-1.0/0.86</t>
        </is>
      </c>
      <c r="K4" s="14" t="inlineStr">
        <is>
          <t>V4-B｜EV 0.24897295542477946</t>
        </is>
      </c>
      <c r="L4" s="14" t="inlineStr">
        <is>
          <t>日本U23</t>
        </is>
      </c>
      <c r="M4" s="47" t="n">
        <v>0.5394045763508223</v>
      </c>
      <c r="N4" s="14" t="inlineStr">
        <is>
          <t>V4纸面入选-B</t>
        </is>
      </c>
      <c r="O4" s="14" t="inlineStr">
        <is>
          <t>1-1</t>
        </is>
      </c>
      <c r="P4" s="14" t="inlineStr">
        <is>
          <t>已结算</t>
        </is>
      </c>
      <c r="Q4" s="14" t="inlineStr">
        <is>
          <t>黑</t>
        </is>
      </c>
      <c r="R4" s="48" t="n">
        <v>0.86</v>
      </c>
      <c r="S4" s="48">
        <f>IF(OR(Q4="",Q4="待结算"),"",IF(Q4="红",R4,IF(Q4="半红",R4*0.5,IF(Q4="走",0,IF(Q4="半黑",-0.5,-1)))))</f>
        <v/>
      </c>
      <c r="T4" s="14" t="inlineStr">
        <is>
          <t>D:\codex\v3_legacy\outputs\football_odds_trader\raw\titan007\20261001\20261001_084801_titan007_odds_snapshot.csv</t>
        </is>
      </c>
      <c r="U4" s="14">
        <f>IF(Q4="","",IF(Q4="待结算","待结算",IF(Q4="红","黑",IF(Q4="半红","半黑",IF(Q4="走","走",IF(Q4="半黑","半红","红"))))))</f>
        <v/>
      </c>
      <c r="V4" s="48">
        <f>IF(OR(U4="",U4="待结算"),"",IF(L4=LEFT(F4,FIND(" vs ",F4)-1),I4,G4))</f>
        <v/>
      </c>
      <c r="W4" s="48">
        <f>IF(OR(U4="",U4="待结算"),"",IF(U4="红",V4,IF(U4="半红",V4*0.5,IF(U4="走",0,IF(U4="半黑",-0.5,-1)))))</f>
        <v/>
      </c>
      <c r="X4" s="14" t="inlineStr">
        <is>
          <t>3095760</t>
        </is>
      </c>
      <c r="Y4" s="14" t="inlineStr">
        <is>
          <t>V4</t>
        </is>
      </c>
      <c r="Z4" s="14" t="inlineStr">
        <is>
          <t>prior-2026-09-30-v1</t>
        </is>
      </c>
      <c r="AA4" s="14" t="inlineStr">
        <is>
          <t>B</t>
        </is>
      </c>
      <c r="AB4" s="14" t="n">
        <v>0.5394045763508223</v>
      </c>
      <c r="AC4" s="14" t="n">
        <v>0</v>
      </c>
      <c r="AD4" s="14" t="n">
        <v>0.24568044341225</v>
      </c>
      <c r="AE4" s="14" t="n">
        <v>0</v>
      </c>
      <c r="AF4" s="14" t="n">
        <v>0.2149149802369277</v>
      </c>
      <c r="AG4" s="14" t="n">
        <v>0.2489729554247795</v>
      </c>
      <c r="AH4" s="14" t="n"/>
      <c r="AI4" s="14" t="n"/>
      <c r="AJ4" s="14" t="n">
        <v>0.2489729554247795</v>
      </c>
      <c r="AK4" s="14" t="n"/>
      <c r="AL4" s="14" t="n"/>
      <c r="AM4" s="14" t="n"/>
      <c r="AN4" s="14" t="inlineStr">
        <is>
          <t>FROZEN_PREMATCH_DECISION</t>
        </is>
      </c>
      <c r="AO4" s="14" t="inlineStr">
        <is>
          <t>STARTED_DECISION_LOCKED</t>
        </is>
      </c>
      <c r="AP4" s="14" t="inlineStr">
        <is>
          <t>f236e2c61ad933545fdb</t>
        </is>
      </c>
      <c r="AQ4" s="14" t="n">
        <v>-1</v>
      </c>
      <c r="AR4" s="14" t="n">
        <v>0.86</v>
      </c>
      <c r="AS4" s="14" t="n">
        <v>-1</v>
      </c>
      <c r="AT4" s="14" t="n">
        <v>1</v>
      </c>
      <c r="AU4" s="14" t="n">
        <v>0.86</v>
      </c>
      <c r="AV4" s="14" t="n">
        <v>0.96</v>
      </c>
      <c r="AW4" s="14" t="inlineStr">
        <is>
          <t>2026-09-30T16:37:34.488024+08:00</t>
        </is>
      </c>
      <c r="AX4" s="14" t="inlineStr">
        <is>
          <t>Titan007 snapshot</t>
        </is>
      </c>
      <c r="AY4" s="14" t="inlineStr">
        <is>
          <t>V4 Shadow Only；real_money=false；新增冻结记录</t>
        </is>
      </c>
    </row>
    <row r="5" ht="22" customHeight="1" s="39">
      <c r="A5" s="14" t="inlineStr">
        <is>
          <t>2026-09-30</t>
        </is>
      </c>
      <c r="B5" s="14" t="inlineStr">
        <is>
          <t>2026-09-30 20:00:00</t>
        </is>
      </c>
      <c r="C5" s="14" t="inlineStr">
        <is>
          <t>NATIONAL_OFFICIAL</t>
        </is>
      </c>
      <c r="D5" s="14" t="inlineStr">
        <is>
          <t>杯赛</t>
        </is>
      </c>
      <c r="E5" s="14" t="inlineStr">
        <is>
          <t>东盟杯</t>
        </is>
      </c>
      <c r="F5" s="14" t="inlineStr">
        <is>
          <t>中国香港(中) vs 文莱</t>
        </is>
      </c>
      <c r="G5" s="26" t="n">
        <v>0.6899999999999999</v>
      </c>
      <c r="H5" s="26" t="n">
        <v>3</v>
      </c>
      <c r="I5" s="26" t="n">
        <v>1.01</v>
      </c>
      <c r="J5" s="26" t="inlineStr">
        <is>
          <t>0.69/3.0/1.01</t>
        </is>
      </c>
      <c r="K5" s="14" t="inlineStr">
        <is>
          <t>V4-B｜EV 0.3532788752916565</t>
        </is>
      </c>
      <c r="L5" s="14" t="inlineStr">
        <is>
          <t>文莱</t>
        </is>
      </c>
      <c r="M5" s="47" t="n">
        <v>0.4554095633346871</v>
      </c>
      <c r="N5" s="14" t="inlineStr">
        <is>
          <t>V4纸面入选-B</t>
        </is>
      </c>
      <c r="O5" s="14" t="inlineStr">
        <is>
          <t>2-0</t>
        </is>
      </c>
      <c r="P5" s="14" t="inlineStr">
        <is>
          <t>已结算</t>
        </is>
      </c>
      <c r="Q5" s="14" t="inlineStr">
        <is>
          <t>红</t>
        </is>
      </c>
      <c r="R5" s="48" t="n">
        <v>1.49</v>
      </c>
      <c r="S5" s="48">
        <f>IF(OR(Q5="",Q5="待结算"),"",IF(Q5="红",R5,IF(Q5="半红",R5*0.5,IF(Q5="走",0,IF(Q5="半黑",-0.5,-1)))))</f>
        <v/>
      </c>
      <c r="T5" s="14" t="inlineStr">
        <is>
          <t>D:\codex\v3_legacy\outputs\football_odds_trader\raw\titan007\20261001\20261001_084801_titan007_odds_snapshot.csv</t>
        </is>
      </c>
      <c r="U5" s="14">
        <f>IF(Q5="","",IF(Q5="待结算","待结算",IF(Q5="红","黑",IF(Q5="半红","半黑",IF(Q5="走","走",IF(Q5="半黑","半红","红"))))))</f>
        <v/>
      </c>
      <c r="V5" s="48">
        <f>IF(OR(U5="",U5="待结算"),"",IF(L5=LEFT(F5,FIND(" vs ",F5)-1),I5,G5))</f>
        <v/>
      </c>
      <c r="W5" s="48">
        <f>IF(OR(U5="",U5="待结算"),"",IF(U5="红",V5,IF(U5="半红",V5*0.5,IF(U5="走",0,IF(U5="半黑",-0.5,-1)))))</f>
        <v/>
      </c>
      <c r="X5" s="14" t="inlineStr">
        <is>
          <t>3088957</t>
        </is>
      </c>
      <c r="Y5" s="14" t="inlineStr">
        <is>
          <t>V4</t>
        </is>
      </c>
      <c r="Z5" s="14" t="inlineStr">
        <is>
          <t>prior-2026-09-30-v1</t>
        </is>
      </c>
      <c r="AA5" s="14" t="inlineStr">
        <is>
          <t>B</t>
        </is>
      </c>
      <c r="AB5" s="14" t="n">
        <v>0.4554095633346871</v>
      </c>
      <c r="AC5" s="14" t="n">
        <v>0</v>
      </c>
      <c r="AD5" s="14" t="n">
        <v>0.2193090625882858</v>
      </c>
      <c r="AE5" s="14" t="n">
        <v>0</v>
      </c>
      <c r="AF5" s="14" t="n">
        <v>0.3252813740770272</v>
      </c>
      <c r="AG5" s="14" t="n">
        <v>0.3532788752916565</v>
      </c>
      <c r="AH5" s="14" t="n"/>
      <c r="AI5" s="14" t="n"/>
      <c r="AJ5" s="14" t="n">
        <v>0.3532788752916565</v>
      </c>
      <c r="AK5" s="14" t="n"/>
      <c r="AL5" s="14" t="n"/>
      <c r="AM5" s="14" t="n"/>
      <c r="AN5" s="14" t="inlineStr">
        <is>
          <t>EVALUATED</t>
        </is>
      </c>
      <c r="AO5" s="14" t="inlineStr">
        <is>
          <t>RECEIVING_VALIDATED_EDGE;BUCKET_PRIOR_ONLY;INTENT_INTERPRETATION_ONLY;EXPERT_MARKET</t>
        </is>
      </c>
      <c r="AP5" s="14" t="inlineStr">
        <is>
          <t>4da9c31480ad1d66fcaf</t>
        </is>
      </c>
      <c r="AQ5" s="14" t="n">
        <v>3</v>
      </c>
      <c r="AR5" s="14" t="n">
        <v>1.49</v>
      </c>
      <c r="AS5" s="14" t="n">
        <v>-3</v>
      </c>
      <c r="AT5" s="14" t="n">
        <v>3</v>
      </c>
      <c r="AU5" s="14" t="n">
        <v>0.43</v>
      </c>
      <c r="AV5" s="14" t="n">
        <v>1.49</v>
      </c>
      <c r="AW5" s="14" t="inlineStr">
        <is>
          <t>2026-09-30T19:19:53.016037+08:00</t>
        </is>
      </c>
      <c r="AX5" s="14" t="inlineStr">
        <is>
          <t>Titan007 snapshot</t>
        </is>
      </c>
      <c r="AY5" s="14" t="inlineStr">
        <is>
          <t>V4 Shadow Only；real_money=false；新增冻结记录</t>
        </is>
      </c>
    </row>
    <row r="6" ht="22" customHeight="1" s="39">
      <c r="A6" s="14" t="inlineStr">
        <is>
          <t>2026-09-30</t>
        </is>
      </c>
      <c r="B6" s="14" t="inlineStr">
        <is>
          <t>2026-09-30 22:00:00</t>
        </is>
      </c>
      <c r="C6" s="14" t="inlineStr">
        <is>
          <t>CONTINENTAL_CLUB</t>
        </is>
      </c>
      <c r="D6" s="14" t="inlineStr">
        <is>
          <t>杯赛</t>
        </is>
      </c>
      <c r="E6" s="14" t="inlineStr">
        <is>
          <t>女欧罗巴杯</t>
        </is>
      </c>
      <c r="F6" s="14" t="inlineStr">
        <is>
          <t>ZHFK阿克托比女足 vs 阿贾克斯女足</t>
        </is>
      </c>
      <c r="G6" s="26" t="n">
        <v>0.6</v>
      </c>
      <c r="H6" s="26" t="n">
        <v>4.25</v>
      </c>
      <c r="I6" s="26" t="n">
        <v>1.11</v>
      </c>
      <c r="J6" s="26" t="inlineStr">
        <is>
          <t>0.6/4.25/1.11</t>
        </is>
      </c>
      <c r="K6" s="14" t="inlineStr">
        <is>
          <t>V4-B｜EV 0.36509913088256946</t>
        </is>
      </c>
      <c r="L6" s="14" t="inlineStr">
        <is>
          <t>ZHFK阿克托比女足</t>
        </is>
      </c>
      <c r="M6" s="47" t="n">
        <v>0.7563672602274567</v>
      </c>
      <c r="N6" s="14" t="inlineStr">
        <is>
          <t>V4纸面入选-B</t>
        </is>
      </c>
      <c r="O6" s="14" t="inlineStr">
        <is>
          <t>1-0</t>
        </is>
      </c>
      <c r="P6" s="14" t="inlineStr">
        <is>
          <t>已结算</t>
        </is>
      </c>
      <c r="Q6" s="14" t="inlineStr">
        <is>
          <t>红</t>
        </is>
      </c>
      <c r="R6" s="48" t="n">
        <v>0.7</v>
      </c>
      <c r="S6" s="48">
        <f>IF(OR(Q6="",Q6="待结算"),"",IF(Q6="红",R6,IF(Q6="半红",R6*0.5,IF(Q6="走",0,IF(Q6="半黑",-0.5,-1)))))</f>
        <v/>
      </c>
      <c r="T6" s="14" t="inlineStr">
        <is>
          <t>D:\codex\v3_legacy\outputs\football_odds_trader\raw\titan007\20261001\20261001_084801_titan007_odds_snapshot.csv</t>
        </is>
      </c>
      <c r="U6" s="14">
        <f>IF(Q6="","",IF(Q6="待结算","待结算",IF(Q6="红","黑",IF(Q6="半红","半黑",IF(Q6="走","走",IF(Q6="半黑","半红","红"))))))</f>
        <v/>
      </c>
      <c r="V6" s="48">
        <f>IF(OR(U6="",U6="待结算"),"",IF(L6=LEFT(F6,FIND(" vs ",F6)-1),I6,G6))</f>
        <v/>
      </c>
      <c r="W6" s="48">
        <f>IF(OR(U6="",U6="待结算"),"",IF(U6="红",V6,IF(U6="半红",V6*0.5,IF(U6="走",0,IF(U6="半黑",-0.5,-1)))))</f>
        <v/>
      </c>
      <c r="X6" s="14" t="inlineStr">
        <is>
          <t>3086475</t>
        </is>
      </c>
      <c r="Y6" s="14" t="inlineStr">
        <is>
          <t>V4</t>
        </is>
      </c>
      <c r="Z6" s="14" t="inlineStr">
        <is>
          <t>prior-2026-09-30-v1</t>
        </is>
      </c>
      <c r="AA6" s="14" t="inlineStr">
        <is>
          <t>B</t>
        </is>
      </c>
      <c r="AB6" s="14" t="n">
        <v>0.6770924717315636</v>
      </c>
      <c r="AC6" s="14" t="n">
        <v>0.1585495769917862</v>
      </c>
      <c r="AD6" s="14" t="n">
        <v>0</v>
      </c>
      <c r="AE6" s="14" t="n">
        <v>0</v>
      </c>
      <c r="AF6" s="14" t="n">
        <v>0.1643579512766503</v>
      </c>
      <c r="AG6" s="14" t="n">
        <v>0.3650991308825695</v>
      </c>
      <c r="AH6" s="14" t="n"/>
      <c r="AI6" s="14" t="n"/>
      <c r="AJ6" s="14" t="n">
        <v>0.3650991308825695</v>
      </c>
      <c r="AK6" s="14" t="n"/>
      <c r="AL6" s="14" t="n"/>
      <c r="AM6" s="14" t="n"/>
      <c r="AN6" s="14" t="inlineStr">
        <is>
          <t>EVALUATED</t>
        </is>
      </c>
      <c r="AO6" s="14" t="inlineStr">
        <is>
          <t>RECEIVING_VALIDATED_EDGE;BUCKET_PRIOR_ONLY;INTENT_INTERPRETATION_ONLY;EXPERT_MARKET</t>
        </is>
      </c>
      <c r="AP6" s="14" t="inlineStr">
        <is>
          <t>78e40180d63eb6441799</t>
        </is>
      </c>
      <c r="AQ6" s="14" t="n">
        <v>4.25</v>
      </c>
      <c r="AR6" s="14" t="n">
        <v>0.7</v>
      </c>
      <c r="AS6" s="14" t="n">
        <v>-4.25</v>
      </c>
      <c r="AT6" s="14" t="n">
        <v>4.25</v>
      </c>
      <c r="AU6" s="14" t="n">
        <v>1</v>
      </c>
      <c r="AV6" s="14" t="n">
        <v>0.7</v>
      </c>
      <c r="AW6" s="14" t="inlineStr">
        <is>
          <t>2026-09-30T19:19:53.016037+08:00</t>
        </is>
      </c>
      <c r="AX6" s="14" t="inlineStr">
        <is>
          <t>Titan007 snapshot</t>
        </is>
      </c>
      <c r="AY6" s="14" t="inlineStr">
        <is>
          <t>V4 Shadow Only；real_money=false；新增冻结记录</t>
        </is>
      </c>
    </row>
    <row r="7" ht="22" customHeight="1" s="39">
      <c r="A7" s="14" t="inlineStr">
        <is>
          <t>2026-09-30</t>
        </is>
      </c>
      <c r="B7" s="14" t="inlineStr">
        <is>
          <t>2026-10-01 00:00:00</t>
        </is>
      </c>
      <c r="C7" s="14" t="inlineStr">
        <is>
          <t>NATIONAL_OFFICIAL</t>
        </is>
      </c>
      <c r="D7" s="14" t="inlineStr">
        <is>
          <t>杯赛</t>
        </is>
      </c>
      <c r="E7" s="14" t="inlineStr">
        <is>
          <t>非洲杯</t>
        </is>
      </c>
      <c r="F7" s="14" t="inlineStr">
        <is>
          <t>厄立特里亚 vs 南非</t>
        </is>
      </c>
      <c r="G7" s="26" t="n">
        <v>0.99</v>
      </c>
      <c r="H7" s="26" t="n">
        <v>-1.75</v>
      </c>
      <c r="I7" s="26" t="n">
        <v>0.83</v>
      </c>
      <c r="J7" s="26" t="inlineStr">
        <is>
          <t>0.99/-1.75/0.83</t>
        </is>
      </c>
      <c r="K7" s="14" t="inlineStr">
        <is>
          <t>V4-C｜EV 0.06408855400854396</t>
        </is>
      </c>
      <c r="L7" s="14" t="inlineStr">
        <is>
          <t>南非</t>
        </is>
      </c>
      <c r="M7" s="47" t="n">
        <v>0.4983600874794493</v>
      </c>
      <c r="N7" s="14" t="inlineStr">
        <is>
          <t>V4纸面入选-C</t>
        </is>
      </c>
      <c r="O7" s="14" t="inlineStr">
        <is>
          <t>0-5</t>
        </is>
      </c>
      <c r="P7" s="14" t="inlineStr">
        <is>
          <t>已结算</t>
        </is>
      </c>
      <c r="Q7" s="14" t="inlineStr">
        <is>
          <t>红</t>
        </is>
      </c>
      <c r="R7" s="48" t="n">
        <v>0.89</v>
      </c>
      <c r="S7" s="48">
        <f>IF(OR(Q7="",Q7="待结算"),"",IF(Q7="红",R7,IF(Q7="半红",R7*0.5,IF(Q7="走",0,IF(Q7="半黑",-0.5,-1)))))</f>
        <v/>
      </c>
      <c r="T7" s="14" t="inlineStr">
        <is>
          <t>D:\codex\v3_legacy\outputs\football_odds_trader\raw\titan007\20261001\20261001_084801_titan007_odds_snapshot.csv</t>
        </is>
      </c>
      <c r="U7" s="14">
        <f>IF(Q7="","",IF(Q7="待结算","待结算",IF(Q7="红","黑",IF(Q7="半红","半黑",IF(Q7="走","走",IF(Q7="半黑","半红","红"))))))</f>
        <v/>
      </c>
      <c r="V7" s="48">
        <f>IF(OR(U7="",U7="待结算"),"",IF(L7=LEFT(F7,FIND(" vs ",F7)-1),I7,G7))</f>
        <v/>
      </c>
      <c r="W7" s="48">
        <f>IF(OR(U7="",U7="待结算"),"",IF(U7="红",V7,IF(U7="半红",V7*0.5,IF(U7="走",0,IF(U7="半黑",-0.5,-1)))))</f>
        <v/>
      </c>
      <c r="X7" s="14" t="inlineStr">
        <is>
          <t>3001034</t>
        </is>
      </c>
      <c r="Y7" s="14" t="inlineStr">
        <is>
          <t>V4</t>
        </is>
      </c>
      <c r="Z7" s="14" t="inlineStr">
        <is>
          <t>prior-2026-09-30-v1</t>
        </is>
      </c>
      <c r="AA7" s="14" t="inlineStr">
        <is>
          <t>C</t>
        </is>
      </c>
      <c r="AB7" s="14" t="n">
        <v>0.3761720988070643</v>
      </c>
      <c r="AC7" s="14" t="n">
        <v>0.24437597734477</v>
      </c>
      <c r="AD7" s="14" t="n">
        <v>0</v>
      </c>
      <c r="AE7" s="14" t="n">
        <v>0</v>
      </c>
      <c r="AF7" s="14" t="n">
        <v>0.3794519238481658</v>
      </c>
      <c r="AG7" s="14" t="n">
        <v>0.06408855400854396</v>
      </c>
      <c r="AH7" s="14" t="n"/>
      <c r="AI7" s="14" t="n"/>
      <c r="AJ7" s="14" t="n">
        <v>0.06408855400854396</v>
      </c>
      <c r="AK7" s="14" t="n"/>
      <c r="AL7" s="14" t="n"/>
      <c r="AM7" s="14" t="n"/>
      <c r="AN7" s="14" t="inlineStr">
        <is>
          <t>EVALUATED</t>
        </is>
      </c>
      <c r="AO7" s="14" t="inlineStr">
        <is>
          <t>GIVING_VALIDATED_EDGE;BUCKET_PRIOR_ONLY;INTENT_INTERPRETATION_ONLY;EXPERT_MARKET</t>
        </is>
      </c>
      <c r="AP7" s="14" t="inlineStr">
        <is>
          <t>88405bfbdcdd35670865</t>
        </is>
      </c>
      <c r="AQ7" s="14" t="n">
        <v>-1.75</v>
      </c>
      <c r="AR7" s="14" t="n">
        <v>0.89</v>
      </c>
      <c r="AS7" s="14" t="n">
        <v>-1.75</v>
      </c>
      <c r="AT7" s="14" t="n">
        <v>1.75</v>
      </c>
      <c r="AU7" s="14" t="n">
        <v>0.89</v>
      </c>
      <c r="AV7" s="14" t="n">
        <v>0.93</v>
      </c>
      <c r="AW7" s="14" t="inlineStr">
        <is>
          <t>2026-09-30T19:19:53.016037+08:00</t>
        </is>
      </c>
      <c r="AX7" s="14" t="inlineStr">
        <is>
          <t>Titan007 snapshot</t>
        </is>
      </c>
      <c r="AY7" s="14" t="inlineStr">
        <is>
          <t>V4 Shadow Only；real_money=false；新增冻结记录</t>
        </is>
      </c>
    </row>
    <row r="8" ht="22" customHeight="1" s="39">
      <c r="A8" s="14" t="inlineStr">
        <is>
          <t>2026-09-30</t>
        </is>
      </c>
      <c r="B8" s="14" t="inlineStr">
        <is>
          <t>2026-10-01 00:00:00</t>
        </is>
      </c>
      <c r="C8" s="14" t="inlineStr">
        <is>
          <t>NATIONAL_YOUTH</t>
        </is>
      </c>
      <c r="D8" s="14" t="inlineStr">
        <is>
          <t>联赛</t>
        </is>
      </c>
      <c r="E8" s="14" t="inlineStr">
        <is>
          <t>欧青U21外</t>
        </is>
      </c>
      <c r="F8" s="14" t="inlineStr">
        <is>
          <t>捷克U21 vs 保加利亚U21</t>
        </is>
      </c>
      <c r="G8" s="26" t="n">
        <v>1.05</v>
      </c>
      <c r="H8" s="26" t="n">
        <v>-1.25</v>
      </c>
      <c r="I8" s="26" t="n">
        <v>0.77</v>
      </c>
      <c r="J8" s="26" t="inlineStr">
        <is>
          <t>1.05/-1.25/0.77</t>
        </is>
      </c>
      <c r="K8" s="14" t="inlineStr">
        <is>
          <t>V4-C｜EV 0.14460260331317354</t>
        </is>
      </c>
      <c r="L8" s="14" t="inlineStr">
        <is>
          <t>捷克U21</t>
        </is>
      </c>
      <c r="M8" s="47" t="n">
        <v>0.4971626865996868</v>
      </c>
      <c r="N8" s="14" t="inlineStr">
        <is>
          <t>V4纸面入选-C</t>
        </is>
      </c>
      <c r="O8" s="14" t="inlineStr">
        <is>
          <t>1-0</t>
        </is>
      </c>
      <c r="P8" s="14" t="inlineStr">
        <is>
          <t>已结算</t>
        </is>
      </c>
      <c r="Q8" s="14" t="inlineStr">
        <is>
          <t>半黑</t>
        </is>
      </c>
      <c r="R8" s="48" t="n">
        <v>1.05</v>
      </c>
      <c r="S8" s="48">
        <f>IF(OR(Q8="",Q8="待结算"),"",IF(Q8="红",R8,IF(Q8="半红",R8*0.5,IF(Q8="走",0,IF(Q8="半黑",-0.5,-1)))))</f>
        <v/>
      </c>
      <c r="T8" s="14" t="inlineStr">
        <is>
          <t>D:\codex\v3_legacy\outputs\football_odds_trader\raw\titan007\20261001\20261001_084801_titan007_odds_snapshot.csv</t>
        </is>
      </c>
      <c r="U8" s="14">
        <f>IF(Q8="","",IF(Q8="待结算","待结算",IF(Q8="红","黑",IF(Q8="半红","半黑",IF(Q8="走","走",IF(Q8="半黑","半红","红"))))))</f>
        <v/>
      </c>
      <c r="V8" s="48">
        <f>IF(OR(U8="",U8="待结算"),"",IF(L8=LEFT(F8,FIND(" vs ",F8)-1),I8,G8))</f>
        <v/>
      </c>
      <c r="W8" s="48">
        <f>IF(OR(U8="",U8="待结算"),"",IF(U8="红",V8,IF(U8="半红",V8*0.5,IF(U8="走",0,IF(U8="半黑",-0.5,-1)))))</f>
        <v/>
      </c>
      <c r="X8" s="14" t="inlineStr">
        <is>
          <t>2781256</t>
        </is>
      </c>
      <c r="Y8" s="14" t="inlineStr">
        <is>
          <t>V4</t>
        </is>
      </c>
      <c r="Z8" s="14" t="inlineStr">
        <is>
          <t>prior-2026-09-30-v1</t>
        </is>
      </c>
      <c r="AA8" s="14" t="inlineStr">
        <is>
          <t>C</t>
        </is>
      </c>
      <c r="AB8" s="14" t="n">
        <v>0.4971626865996868</v>
      </c>
      <c r="AC8" s="14" t="n">
        <v>0</v>
      </c>
      <c r="AD8" s="14" t="n">
        <v>0</v>
      </c>
      <c r="AE8" s="14" t="n">
        <v>0.2508381915676313</v>
      </c>
      <c r="AF8" s="14" t="n">
        <v>0.251999121832682</v>
      </c>
      <c r="AG8" s="14" t="n">
        <v>0.1446026033131735</v>
      </c>
      <c r="AH8" s="14" t="n"/>
      <c r="AI8" s="14" t="n"/>
      <c r="AJ8" s="14" t="n">
        <v>0.1446026033131735</v>
      </c>
      <c r="AK8" s="14" t="n"/>
      <c r="AL8" s="14" t="n"/>
      <c r="AM8" s="14" t="n"/>
      <c r="AN8" s="14" t="inlineStr">
        <is>
          <t>EVALUATED</t>
        </is>
      </c>
      <c r="AO8" s="14" t="inlineStr">
        <is>
          <t>GIVING_VALIDATED_EDGE;BUCKET_PRIOR_ONLY;INTENT_INTERPRETATION_ONLY;EXPERT_MARKET</t>
        </is>
      </c>
      <c r="AP8" s="14" t="inlineStr">
        <is>
          <t>d760fc427d99edb3e4b9</t>
        </is>
      </c>
      <c r="AQ8" s="14" t="n">
        <v>-1.25</v>
      </c>
      <c r="AR8" s="14" t="n">
        <v>1.05</v>
      </c>
      <c r="AS8" s="14" t="n">
        <v>-1.25</v>
      </c>
      <c r="AT8" s="14" t="n">
        <v>1.25</v>
      </c>
      <c r="AU8" s="14" t="n">
        <v>1.05</v>
      </c>
      <c r="AV8" s="14" t="n">
        <v>0.77</v>
      </c>
      <c r="AW8" s="14" t="inlineStr">
        <is>
          <t>2026-09-30T19:19:53.016037+08:00</t>
        </is>
      </c>
      <c r="AX8" s="14" t="inlineStr">
        <is>
          <t>Titan007 snapshot</t>
        </is>
      </c>
      <c r="AY8" s="14" t="inlineStr">
        <is>
          <t>V4 Shadow Only；real_money=false；新增冻结记录</t>
        </is>
      </c>
    </row>
    <row r="9" ht="22" customHeight="1" s="39">
      <c r="A9" s="14" t="inlineStr">
        <is>
          <t>2026-09-30</t>
        </is>
      </c>
      <c r="B9" s="14" t="inlineStr">
        <is>
          <t>2026-10-01 00:00:00</t>
        </is>
      </c>
      <c r="C9" s="14" t="inlineStr">
        <is>
          <t>CLUB_CUP</t>
        </is>
      </c>
      <c r="D9" s="14" t="inlineStr">
        <is>
          <t>杯赛</t>
        </is>
      </c>
      <c r="E9" s="14" t="inlineStr">
        <is>
          <t>皇后杯</t>
        </is>
      </c>
      <c r="F9" s="14" t="inlineStr">
        <is>
          <t>韦尔瓦女足 vs 科尔多瓦女足</t>
        </is>
      </c>
      <c r="G9" s="26" t="n">
        <v>0.99</v>
      </c>
      <c r="H9" s="26" t="n">
        <v>-1</v>
      </c>
      <c r="I9" s="26" t="n">
        <v>0.83</v>
      </c>
      <c r="J9" s="26" t="inlineStr">
        <is>
          <t>0.99/-1.0/0.83</t>
        </is>
      </c>
      <c r="K9" s="14" t="inlineStr">
        <is>
          <t>V4-C｜EV 0.06739205551642741</t>
        </is>
      </c>
      <c r="L9" s="14" t="inlineStr">
        <is>
          <t>韦尔瓦女足</t>
        </is>
      </c>
      <c r="M9" s="47" t="n">
        <v>0.4076436516403363</v>
      </c>
      <c r="N9" s="14" t="inlineStr">
        <is>
          <t>V4纸面入选-C</t>
        </is>
      </c>
      <c r="O9" s="14" t="inlineStr">
        <is>
          <t>7-1</t>
        </is>
      </c>
      <c r="P9" s="14" t="inlineStr">
        <is>
          <t>已结算</t>
        </is>
      </c>
      <c r="Q9" s="14" t="inlineStr">
        <is>
          <t>红</t>
        </is>
      </c>
      <c r="R9" s="48" t="n">
        <v>0.99</v>
      </c>
      <c r="S9" s="48">
        <f>IF(OR(Q9="",Q9="待结算"),"",IF(Q9="红",R9,IF(Q9="半红",R9*0.5,IF(Q9="走",0,IF(Q9="半黑",-0.5,-1)))))</f>
        <v/>
      </c>
      <c r="T9" s="14" t="inlineStr">
        <is>
          <t>D:\codex\v3_legacy\outputs\football_odds_trader\raw\titan007\20261001\20261001_084801_titan007_odds_snapshot.csv</t>
        </is>
      </c>
      <c r="U9" s="14">
        <f>IF(Q9="","",IF(Q9="待结算","待结算",IF(Q9="红","黑",IF(Q9="半红","半黑",IF(Q9="走","走",IF(Q9="半黑","半红","红"))))))</f>
        <v/>
      </c>
      <c r="V9" s="48">
        <f>IF(OR(U9="",U9="待结算"),"",IF(L9=LEFT(F9,FIND(" vs ",F9)-1),I9,G9))</f>
        <v/>
      </c>
      <c r="W9" s="48">
        <f>IF(OR(U9="",U9="待结算"),"",IF(U9="红",V9,IF(U9="半红",V9*0.5,IF(U9="走",0,IF(U9="半黑",-0.5,-1)))))</f>
        <v/>
      </c>
      <c r="X9" s="14" t="inlineStr">
        <is>
          <t>3094984</t>
        </is>
      </c>
      <c r="Y9" s="14" t="inlineStr">
        <is>
          <t>V4</t>
        </is>
      </c>
      <c r="Z9" s="14" t="inlineStr">
        <is>
          <t>prior-2026-09-30-v1</t>
        </is>
      </c>
      <c r="AA9" s="14" t="inlineStr">
        <is>
          <t>C</t>
        </is>
      </c>
      <c r="AB9" s="14" t="n">
        <v>0.4076436516403363</v>
      </c>
      <c r="AC9" s="14" t="n">
        <v>0</v>
      </c>
      <c r="AD9" s="14" t="n">
        <v>0.2561811887521582</v>
      </c>
      <c r="AE9" s="14" t="n">
        <v>0</v>
      </c>
      <c r="AF9" s="14" t="n">
        <v>0.3361751596075055</v>
      </c>
      <c r="AG9" s="14" t="n">
        <v>0.06739205551642741</v>
      </c>
      <c r="AH9" s="14" t="n"/>
      <c r="AI9" s="14" t="n"/>
      <c r="AJ9" s="14" t="n">
        <v>0.06739205551642741</v>
      </c>
      <c r="AK9" s="14" t="n"/>
      <c r="AL9" s="14" t="n"/>
      <c r="AM9" s="14" t="n"/>
      <c r="AN9" s="14" t="inlineStr">
        <is>
          <t>EVALUATED</t>
        </is>
      </c>
      <c r="AO9" s="14" t="inlineStr">
        <is>
          <t>GIVING_VALIDATED_EDGE;BUCKET_PRIOR_ONLY;INTENT_INTERPRETATION_ONLY;EXPERT_MARKET</t>
        </is>
      </c>
      <c r="AP9" s="14" t="inlineStr">
        <is>
          <t>acedd511b6d8e4034727</t>
        </is>
      </c>
      <c r="AQ9" s="14" t="n">
        <v>-1</v>
      </c>
      <c r="AR9" s="14" t="n">
        <v>0.99</v>
      </c>
      <c r="AS9" s="14" t="n">
        <v>-1</v>
      </c>
      <c r="AT9" s="14" t="n">
        <v>1</v>
      </c>
      <c r="AU9" s="14" t="n">
        <v>0.99</v>
      </c>
      <c r="AV9" s="14" t="n">
        <v>0.83</v>
      </c>
      <c r="AW9" s="14" t="inlineStr">
        <is>
          <t>2026-09-30T19:41:37.302854+08:00</t>
        </is>
      </c>
      <c r="AX9" s="14" t="inlineStr">
        <is>
          <t>Titan007 snapshot</t>
        </is>
      </c>
      <c r="AY9" s="14" t="inlineStr">
        <is>
          <t>V4 Shadow Only；real_money=false；新增冻结记录</t>
        </is>
      </c>
    </row>
    <row r="10" ht="22" customHeight="1" s="39">
      <c r="A10" s="14" t="inlineStr">
        <is>
          <t>2026-09-30</t>
        </is>
      </c>
      <c r="B10" s="14" t="inlineStr">
        <is>
          <t>2026-10-01 00:00:00</t>
        </is>
      </c>
      <c r="C10" s="14" t="inlineStr">
        <is>
          <t>INTERNATIONAL_FRIENDLY</t>
        </is>
      </c>
      <c r="D10" s="14" t="inlineStr">
        <is>
          <t>联赛</t>
        </is>
      </c>
      <c r="E10" s="14" t="inlineStr">
        <is>
          <t>国际友谊</t>
        </is>
      </c>
      <c r="F10" s="14" t="inlineStr">
        <is>
          <t>立陶宛 vs 安道尔</t>
        </is>
      </c>
      <c r="G10" s="26" t="n">
        <v>0.77</v>
      </c>
      <c r="H10" s="26" t="n">
        <v>-0.75</v>
      </c>
      <c r="I10" s="26" t="n">
        <v>1.05</v>
      </c>
      <c r="J10" s="26" t="inlineStr">
        <is>
          <t>0.77/-0.75/1.05</t>
        </is>
      </c>
      <c r="K10" s="14" t="inlineStr">
        <is>
          <t>V4-C｜EV 0.10638614848154226</t>
        </is>
      </c>
      <c r="L10" s="14" t="inlineStr">
        <is>
          <t>立陶宛</t>
        </is>
      </c>
      <c r="M10" s="47" t="n">
        <v>0.5368628967407503</v>
      </c>
      <c r="N10" s="14" t="inlineStr">
        <is>
          <t>V4纸面入选-C</t>
        </is>
      </c>
      <c r="O10" s="14" t="inlineStr">
        <is>
          <t>3-0</t>
        </is>
      </c>
      <c r="P10" s="14" t="inlineStr">
        <is>
          <t>已结算</t>
        </is>
      </c>
      <c r="Q10" s="14" t="inlineStr">
        <is>
          <t>红</t>
        </is>
      </c>
      <c r="R10" s="48" t="n">
        <v>0.82</v>
      </c>
      <c r="S10" s="48">
        <f>IF(OR(Q10="",Q10="待结算"),"",IF(Q10="红",R10,IF(Q10="半红",R10*0.5,IF(Q10="走",0,IF(Q10="半黑",-0.5,-1)))))</f>
        <v/>
      </c>
      <c r="T10" s="14" t="inlineStr">
        <is>
          <t>D:\codex\v3_legacy\outputs\football_odds_trader\raw\titan007\20261001\20261001_084801_titan007_odds_snapshot.csv</t>
        </is>
      </c>
      <c r="U10" s="14">
        <f>IF(Q10="","",IF(Q10="待结算","待结算",IF(Q10="红","黑",IF(Q10="半红","半黑",IF(Q10="走","走",IF(Q10="半黑","半红","红"))))))</f>
        <v/>
      </c>
      <c r="V10" s="48">
        <f>IF(OR(U10="",U10="待结算"),"",IF(L10=LEFT(F10,FIND(" vs ",F10)-1),I10,G10))</f>
        <v/>
      </c>
      <c r="W10" s="48">
        <f>IF(OR(U10="",U10="待结算"),"",IF(U10="红",V10,IF(U10="半红",V10*0.5,IF(U10="走",0,IF(U10="半黑",-0.5,-1)))))</f>
        <v/>
      </c>
      <c r="X10" s="14" t="inlineStr">
        <is>
          <t>3096176</t>
        </is>
      </c>
      <c r="Y10" s="14" t="inlineStr">
        <is>
          <t>V4</t>
        </is>
      </c>
      <c r="Z10" s="14" t="inlineStr">
        <is>
          <t>prior-2026-09-30-v1</t>
        </is>
      </c>
      <c r="AA10" s="14" t="inlineStr">
        <is>
          <t>C</t>
        </is>
      </c>
      <c r="AB10" s="14" t="n">
        <v>0.4075672203273734</v>
      </c>
      <c r="AC10" s="14" t="n">
        <v>0.2585913528267537</v>
      </c>
      <c r="AD10" s="14" t="n">
        <v>0</v>
      </c>
      <c r="AE10" s="14" t="n">
        <v>0</v>
      </c>
      <c r="AF10" s="14" t="n">
        <v>0.3338414268458729</v>
      </c>
      <c r="AG10" s="14" t="n">
        <v>0.1063861484815423</v>
      </c>
      <c r="AH10" s="14" t="n"/>
      <c r="AI10" s="14" t="n"/>
      <c r="AJ10" s="14" t="n">
        <v>0.1063861484815423</v>
      </c>
      <c r="AK10" s="14" t="n"/>
      <c r="AL10" s="14" t="n"/>
      <c r="AM10" s="14" t="n"/>
      <c r="AN10" s="14" t="inlineStr">
        <is>
          <t>EVALUATED</t>
        </is>
      </c>
      <c r="AO10" s="14" t="inlineStr">
        <is>
          <t>GIVING_VALIDATED_EDGE;BUCKET_PRIOR_ONLY;INTENT_INTERPRETATION_ONLY;EXPERT_MARKET</t>
        </is>
      </c>
      <c r="AP10" s="14" t="inlineStr">
        <is>
          <t>8e51db301e3dd232e565</t>
        </is>
      </c>
      <c r="AQ10" s="14" t="n">
        <v>-0.75</v>
      </c>
      <c r="AR10" s="14" t="n">
        <v>0.82</v>
      </c>
      <c r="AS10" s="14" t="n">
        <v>-0.75</v>
      </c>
      <c r="AT10" s="14" t="n">
        <v>0.75</v>
      </c>
      <c r="AU10" s="14" t="n">
        <v>0.82</v>
      </c>
      <c r="AV10" s="14" t="n">
        <v>1</v>
      </c>
      <c r="AW10" s="14" t="inlineStr">
        <is>
          <t>2026-09-30T19:19:53.016037+08:00</t>
        </is>
      </c>
      <c r="AX10" s="14" t="inlineStr">
        <is>
          <t>Titan007 snapshot</t>
        </is>
      </c>
      <c r="AY10" s="14" t="inlineStr">
        <is>
          <t>V4 Shadow Only；real_money=false；新增冻结记录</t>
        </is>
      </c>
    </row>
    <row r="11" ht="22" customHeight="1" s="39">
      <c r="A11" s="14" t="inlineStr">
        <is>
          <t>2026-09-30</t>
        </is>
      </c>
      <c r="B11" s="14" t="inlineStr">
        <is>
          <t>2026-10-01 00:00:00</t>
        </is>
      </c>
      <c r="C11" s="14" t="inlineStr">
        <is>
          <t>CONTINENTAL_CLUB</t>
        </is>
      </c>
      <c r="D11" s="14" t="inlineStr">
        <is>
          <t>杯赛</t>
        </is>
      </c>
      <c r="E11" s="14" t="inlineStr">
        <is>
          <t>女欧罗巴杯</t>
        </is>
      </c>
      <c r="F11" s="14" t="inlineStr">
        <is>
          <t>SK布兰女足 vs 赫尔辛基女足</t>
        </is>
      </c>
      <c r="G11" s="26" t="n">
        <v>0.88</v>
      </c>
      <c r="H11" s="26" t="n">
        <v>-1.75</v>
      </c>
      <c r="I11" s="26" t="n">
        <v>0.9399999999999999</v>
      </c>
      <c r="J11" s="26" t="inlineStr">
        <is>
          <t>0.88/-1.75/0.94</t>
        </is>
      </c>
      <c r="K11" s="14" t="inlineStr">
        <is>
          <t>V4-B｜EV 0.23692330362269592</t>
        </is>
      </c>
      <c r="L11" s="14" t="inlineStr">
        <is>
          <t>SK布兰女足</t>
        </is>
      </c>
      <c r="M11" s="47" t="n">
        <v>0.5922785053242501</v>
      </c>
      <c r="N11" s="14" t="inlineStr">
        <is>
          <t>V4纸面入选-B</t>
        </is>
      </c>
      <c r="O11" s="14" t="inlineStr">
        <is>
          <t>4-0</t>
        </is>
      </c>
      <c r="P11" s="14" t="inlineStr">
        <is>
          <t>已结算</t>
        </is>
      </c>
      <c r="Q11" s="14" t="inlineStr">
        <is>
          <t>红</t>
        </is>
      </c>
      <c r="R11" s="48" t="n">
        <v>0.88</v>
      </c>
      <c r="S11" s="48">
        <f>IF(OR(Q11="",Q11="待结算"),"",IF(Q11="红",R11,IF(Q11="半红",R11*0.5,IF(Q11="走",0,IF(Q11="半黑",-0.5,-1)))))</f>
        <v/>
      </c>
      <c r="T11" s="14" t="inlineStr">
        <is>
          <t>D:\codex\v3_legacy\outputs\football_odds_trader\raw\titan007\20261001\20261001_084801_titan007_odds_snapshot.csv</t>
        </is>
      </c>
      <c r="U11" s="14">
        <f>IF(Q11="","",IF(Q11="待结算","待结算",IF(Q11="红","黑",IF(Q11="半红","半黑",IF(Q11="走","走",IF(Q11="半黑","半红","红"))))))</f>
        <v/>
      </c>
      <c r="V11" s="48">
        <f>IF(OR(U11="",U11="待结算"),"",IF(L11=LEFT(F11,FIND(" vs ",F11)-1),I11,G11))</f>
        <v/>
      </c>
      <c r="W11" s="48">
        <f>IF(OR(U11="",U11="待结算"),"",IF(U11="红",V11,IF(U11="半红",V11*0.5,IF(U11="走",0,IF(U11="半黑",-0.5,-1)))))</f>
        <v/>
      </c>
      <c r="X11" s="14" t="inlineStr">
        <is>
          <t>3086470</t>
        </is>
      </c>
      <c r="Y11" s="14" t="inlineStr">
        <is>
          <t>V4</t>
        </is>
      </c>
      <c r="Z11" s="14" t="inlineStr">
        <is>
          <t>prior-2026-09-30-v1</t>
        </is>
      </c>
      <c r="AA11" s="14" t="inlineStr">
        <is>
          <t>B</t>
        </is>
      </c>
      <c r="AB11" s="14" t="n">
        <v>0.4688387917111442</v>
      </c>
      <c r="AC11" s="14" t="n">
        <v>0.2468794272262116</v>
      </c>
      <c r="AD11" s="14" t="n">
        <v>0</v>
      </c>
      <c r="AE11" s="14" t="n">
        <v>0</v>
      </c>
      <c r="AF11" s="14" t="n">
        <v>0.2842817810626442</v>
      </c>
      <c r="AG11" s="14" t="n">
        <v>0.2369233036226959</v>
      </c>
      <c r="AH11" s="14" t="n"/>
      <c r="AI11" s="14" t="n"/>
      <c r="AJ11" s="14" t="n">
        <v>0.2369233036226959</v>
      </c>
      <c r="AK11" s="14" t="n"/>
      <c r="AL11" s="14" t="n"/>
      <c r="AM11" s="14" t="n"/>
      <c r="AN11" s="14" t="inlineStr">
        <is>
          <t>EVALUATED</t>
        </is>
      </c>
      <c r="AO11" s="14" t="inlineStr">
        <is>
          <t>GIVING_VALIDATED_EDGE;BUCKET_PRIOR_ONLY;INTENT_INTERPRETATION_ONLY;EXPERT_MARKET</t>
        </is>
      </c>
      <c r="AP11" s="14" t="inlineStr">
        <is>
          <t>093e606caf0c54a68792</t>
        </is>
      </c>
      <c r="AQ11" s="14" t="n">
        <v>-1.75</v>
      </c>
      <c r="AR11" s="14" t="n">
        <v>0.88</v>
      </c>
      <c r="AS11" s="14" t="n">
        <v>-1.75</v>
      </c>
      <c r="AT11" s="14" t="n">
        <v>1.75</v>
      </c>
      <c r="AU11" s="14" t="n">
        <v>0.88</v>
      </c>
      <c r="AV11" s="14" t="n">
        <v>0.9399999999999999</v>
      </c>
      <c r="AW11" s="14" t="inlineStr">
        <is>
          <t>2026-09-30T19:41:37.302854+08:00</t>
        </is>
      </c>
      <c r="AX11" s="14" t="inlineStr">
        <is>
          <t>Titan007 snapshot</t>
        </is>
      </c>
      <c r="AY11" s="14" t="inlineStr">
        <is>
          <t>V4 Shadow Only；real_money=false；新增冻结记录</t>
        </is>
      </c>
    </row>
    <row r="12" ht="22" customHeight="1" s="39">
      <c r="A12" s="14" t="inlineStr">
        <is>
          <t>2026-09-30</t>
        </is>
      </c>
      <c r="B12" s="14" t="inlineStr">
        <is>
          <t>2026-10-01 00:30:00</t>
        </is>
      </c>
      <c r="C12" s="14" t="inlineStr">
        <is>
          <t>CONTINENTAL_CLUB</t>
        </is>
      </c>
      <c r="D12" s="14" t="inlineStr">
        <is>
          <t>杯赛</t>
        </is>
      </c>
      <c r="E12" s="14" t="inlineStr">
        <is>
          <t>女欧罗巴杯</t>
        </is>
      </c>
      <c r="F12" s="14" t="inlineStr">
        <is>
          <t>法兰克福女足 vs 哈夫纳夫约杜尔女足</t>
        </is>
      </c>
      <c r="G12" s="26" t="n">
        <v>1</v>
      </c>
      <c r="H12" s="26" t="n">
        <v>3</v>
      </c>
      <c r="I12" s="26" t="n">
        <v>0.82</v>
      </c>
      <c r="J12" s="26" t="inlineStr">
        <is>
          <t>1.0/3.0/0.82</t>
        </is>
      </c>
      <c r="K12" s="14" t="inlineStr">
        <is>
          <t>V4-B｜EV 0.08635325735919391</t>
        </is>
      </c>
      <c r="L12" s="14" t="inlineStr">
        <is>
          <t>哈夫纳夫约杜尔女足</t>
        </is>
      </c>
      <c r="M12" s="47" t="n">
        <v>0.4770724525822834</v>
      </c>
      <c r="N12" s="14" t="inlineStr">
        <is>
          <t>V4纸面入选-B</t>
        </is>
      </c>
      <c r="O12" s="14" t="inlineStr">
        <is>
          <t>4-1</t>
        </is>
      </c>
      <c r="P12" s="14" t="inlineStr">
        <is>
          <t>已结算</t>
        </is>
      </c>
      <c r="Q12" s="14" t="inlineStr">
        <is>
          <t>走</t>
        </is>
      </c>
      <c r="R12" s="48" t="n">
        <v>0.82</v>
      </c>
      <c r="S12" s="48">
        <f>IF(OR(Q12="",Q12="待结算"),"",IF(Q12="红",R12,IF(Q12="半红",R12*0.5,IF(Q12="走",0,IF(Q12="半黑",-0.5,-1)))))</f>
        <v/>
      </c>
      <c r="T12" s="14" t="inlineStr">
        <is>
          <t>D:\codex\v3_legacy\outputs\football_odds_trader\raw\titan007\20261001\20261001_084801_titan007_odds_snapshot.csv</t>
        </is>
      </c>
      <c r="U12" s="14">
        <f>IF(Q12="","",IF(Q12="待结算","待结算",IF(Q12="红","黑",IF(Q12="半红","半黑",IF(Q12="走","走",IF(Q12="半黑","半红","红"))))))</f>
        <v/>
      </c>
      <c r="V12" s="48">
        <f>IF(OR(U12="",U12="待结算"),"",IF(L12=LEFT(F12,FIND(" vs ",F12)-1),I12,G12))</f>
        <v/>
      </c>
      <c r="W12" s="48">
        <f>IF(OR(U12="",U12="待结算"),"",IF(U12="红",V12,IF(U12="半红",V12*0.5,IF(U12="走",0,IF(U12="半黑",-0.5,-1)))))</f>
        <v/>
      </c>
      <c r="X12" s="14" t="inlineStr">
        <is>
          <t>3086453</t>
        </is>
      </c>
      <c r="Y12" s="14" t="inlineStr">
        <is>
          <t>V4</t>
        </is>
      </c>
      <c r="Z12" s="14" t="inlineStr">
        <is>
          <t>prior-2026-09-30-v1</t>
        </is>
      </c>
      <c r="AA12" s="14" t="inlineStr">
        <is>
          <t>B</t>
        </is>
      </c>
      <c r="AB12" s="14" t="n">
        <v>0.4770724525822834</v>
      </c>
      <c r="AC12" s="14" t="n">
        <v>0</v>
      </c>
      <c r="AD12" s="14" t="n">
        <v>0.2180813936594382</v>
      </c>
      <c r="AE12" s="14" t="n">
        <v>0</v>
      </c>
      <c r="AF12" s="14" t="n">
        <v>0.3048461537582784</v>
      </c>
      <c r="AG12" s="14" t="n">
        <v>0.08635325735919391</v>
      </c>
      <c r="AH12" s="14" t="n"/>
      <c r="AI12" s="14" t="n"/>
      <c r="AJ12" s="14" t="n">
        <v>0.08635325735919391</v>
      </c>
      <c r="AK12" s="14" t="n"/>
      <c r="AL12" s="14" t="n"/>
      <c r="AM12" s="14" t="n"/>
      <c r="AN12" s="14" t="inlineStr">
        <is>
          <t>EVALUATED</t>
        </is>
      </c>
      <c r="AO12" s="14" t="inlineStr">
        <is>
          <t>RECEIVING_VALIDATED_EDGE;BUCKET_PRIOR_ONLY;INTENT_INTERPRETATION_ONLY;EXPERT_MARKET</t>
        </is>
      </c>
      <c r="AP12" s="14" t="inlineStr">
        <is>
          <t>c48a145c99be1244b133</t>
        </is>
      </c>
      <c r="AQ12" s="14" t="n">
        <v>3</v>
      </c>
      <c r="AR12" s="14" t="n">
        <v>0.82</v>
      </c>
      <c r="AS12" s="14" t="n">
        <v>-3</v>
      </c>
      <c r="AT12" s="14" t="n">
        <v>3</v>
      </c>
      <c r="AU12" s="14" t="n">
        <v>1</v>
      </c>
      <c r="AV12" s="14" t="n">
        <v>0.82</v>
      </c>
      <c r="AW12" s="14" t="inlineStr">
        <is>
          <t>2026-09-30T19:41:37.302854+08:00</t>
        </is>
      </c>
      <c r="AX12" s="14" t="inlineStr">
        <is>
          <t>Titan007 snapshot</t>
        </is>
      </c>
      <c r="AY12" s="14" t="inlineStr">
        <is>
          <t>V4 Shadow Only；real_money=false；新增冻结记录</t>
        </is>
      </c>
    </row>
    <row r="13" ht="22" customHeight="1" s="39">
      <c r="A13" s="14" t="inlineStr">
        <is>
          <t>2026-09-30</t>
        </is>
      </c>
      <c r="B13" s="14" t="inlineStr">
        <is>
          <t>2026-10-01 00:45:00</t>
        </is>
      </c>
      <c r="C13" s="14" t="inlineStr">
        <is>
          <t>CLUB_CUP</t>
        </is>
      </c>
      <c r="D13" s="14" t="inlineStr">
        <is>
          <t>杯赛</t>
        </is>
      </c>
      <c r="E13" s="14" t="inlineStr">
        <is>
          <t>欧女杯</t>
        </is>
      </c>
      <c r="F13" s="14" t="inlineStr">
        <is>
          <t>AS罗马女足 vs 巴塞罗那女足</t>
        </is>
      </c>
      <c r="G13" s="26" t="n">
        <v>0.75</v>
      </c>
      <c r="H13" s="26" t="n">
        <v>3.25</v>
      </c>
      <c r="I13" s="26" t="n">
        <v>0.95</v>
      </c>
      <c r="J13" s="26" t="inlineStr">
        <is>
          <t>0.75/3.25/0.95</t>
        </is>
      </c>
      <c r="K13" s="14" t="inlineStr">
        <is>
          <t>V4-B｜EV 0.11521170749338333</t>
        </is>
      </c>
      <c r="L13" s="14" t="inlineStr">
        <is>
          <t>AS罗马女足</t>
        </is>
      </c>
      <c r="M13" s="47" t="n">
        <v>0.5714248144890172</v>
      </c>
      <c r="N13" s="14" t="inlineStr">
        <is>
          <t>V4纸面入选-B</t>
        </is>
      </c>
      <c r="O13" s="14" t="inlineStr">
        <is>
          <t>0-6</t>
        </is>
      </c>
      <c r="P13" s="14" t="inlineStr">
        <is>
          <t>已结算</t>
        </is>
      </c>
      <c r="Q13" s="14" t="inlineStr">
        <is>
          <t>黑</t>
        </is>
      </c>
      <c r="R13" s="48" t="n">
        <v>0.76</v>
      </c>
      <c r="S13" s="48">
        <f>IF(OR(Q13="",Q13="待结算"),"",IF(Q13="红",R13,IF(Q13="半红",R13*0.5,IF(Q13="走",0,IF(Q13="半黑",-0.5,-1)))))</f>
        <v/>
      </c>
      <c r="T13" s="14" t="inlineStr">
        <is>
          <t>D:\codex\v3_legacy\outputs\football_odds_trader\raw\titan007\20261001\20261001_084801_titan007_odds_snapshot.csv</t>
        </is>
      </c>
      <c r="U13" s="14">
        <f>IF(Q13="","",IF(Q13="待结算","待结算",IF(Q13="红","黑",IF(Q13="半红","半黑",IF(Q13="走","走",IF(Q13="半黑","半红","红"))))))</f>
        <v/>
      </c>
      <c r="V13" s="48">
        <f>IF(OR(U13="",U13="待结算"),"",IF(L13=LEFT(F13,FIND(" vs ",F13)-1),I13,G13))</f>
        <v/>
      </c>
      <c r="W13" s="48">
        <f>IF(OR(U13="",U13="待结算"),"",IF(U13="红",V13,IF(U13="半红",V13*0.5,IF(U13="走",0,IF(U13="半黑",-0.5,-1)))))</f>
        <v/>
      </c>
      <c r="X13" s="14" t="inlineStr">
        <is>
          <t>3092357</t>
        </is>
      </c>
      <c r="Y13" s="14" t="inlineStr">
        <is>
          <t>V4</t>
        </is>
      </c>
      <c r="Z13" s="14" t="inlineStr">
        <is>
          <t>prior-2026-09-30-v1</t>
        </is>
      </c>
      <c r="AA13" s="14" t="inlineStr">
        <is>
          <t>B</t>
        </is>
      </c>
      <c r="AB13" s="14" t="n">
        <v>0.4619207804963039</v>
      </c>
      <c r="AC13" s="14" t="n">
        <v>0.2190080679854264</v>
      </c>
      <c r="AD13" s="14" t="n">
        <v>0</v>
      </c>
      <c r="AE13" s="14" t="n">
        <v>0</v>
      </c>
      <c r="AF13" s="14" t="n">
        <v>0.3190711515182697</v>
      </c>
      <c r="AG13" s="14" t="n">
        <v>0.1152117074933833</v>
      </c>
      <c r="AH13" s="14" t="n"/>
      <c r="AI13" s="14" t="n"/>
      <c r="AJ13" s="14" t="n">
        <v>0.1152117074933833</v>
      </c>
      <c r="AK13" s="14" t="n"/>
      <c r="AL13" s="14" t="n"/>
      <c r="AM13" s="14" t="n"/>
      <c r="AN13" s="14" t="inlineStr">
        <is>
          <t>EVALUATED</t>
        </is>
      </c>
      <c r="AO13" s="14" t="inlineStr">
        <is>
          <t>RECEIVING_VALIDATED_EDGE;BUCKET_PRIOR_ONLY;INTENT_INTERPRETATION_ONLY;EXPERT_MARKET</t>
        </is>
      </c>
      <c r="AP13" s="14" t="inlineStr">
        <is>
          <t>e26e45985d3b91a78c2d</t>
        </is>
      </c>
      <c r="AQ13" s="14" t="n">
        <v>3.25</v>
      </c>
      <c r="AR13" s="14" t="n">
        <v>0.76</v>
      </c>
      <c r="AS13" s="14" t="n">
        <v>-3.25</v>
      </c>
      <c r="AT13" s="14" t="n">
        <v>3.25</v>
      </c>
      <c r="AU13" s="14" t="n">
        <v>0.9399999999999999</v>
      </c>
      <c r="AV13" s="14" t="n">
        <v>0.76</v>
      </c>
      <c r="AW13" s="14" t="inlineStr">
        <is>
          <t>2026-09-30T19:19:53.016037+08:00</t>
        </is>
      </c>
      <c r="AX13" s="14" t="inlineStr">
        <is>
          <t>Titan007 snapshot</t>
        </is>
      </c>
      <c r="AY13" s="14" t="inlineStr">
        <is>
          <t>V4 Shadow Only；real_money=false；新增冻结记录</t>
        </is>
      </c>
    </row>
    <row r="14" ht="22" customHeight="1" s="39">
      <c r="A14" s="14" t="inlineStr">
        <is>
          <t>2026-09-30</t>
        </is>
      </c>
      <c r="B14" s="14" t="inlineStr">
        <is>
          <t>2026-10-01 01:00:00</t>
        </is>
      </c>
      <c r="C14" s="14" t="inlineStr">
        <is>
          <t>NATIONAL_YOUTH</t>
        </is>
      </c>
      <c r="D14" s="14" t="inlineStr">
        <is>
          <t>联赛</t>
        </is>
      </c>
      <c r="E14" s="14" t="inlineStr">
        <is>
          <t>欧青U21外</t>
        </is>
      </c>
      <c r="F14" s="14" t="inlineStr">
        <is>
          <t>科索沃U21 vs 塞浦路斯U21</t>
        </is>
      </c>
      <c r="G14" s="26" t="n">
        <v>0.99</v>
      </c>
      <c r="H14" s="26" t="n">
        <v>-1.75</v>
      </c>
      <c r="I14" s="26" t="n">
        <v>0.83</v>
      </c>
      <c r="J14" s="26" t="inlineStr">
        <is>
          <t>0.99/-1.75/0.83</t>
        </is>
      </c>
      <c r="K14" s="14" t="inlineStr">
        <is>
          <t>V4-C｜EV 0.07329290522712179</t>
        </is>
      </c>
      <c r="L14" s="14" t="inlineStr">
        <is>
          <t>科索沃U21</t>
        </is>
      </c>
      <c r="M14" s="47" t="n">
        <v>0.478408587120383</v>
      </c>
      <c r="N14" s="14" t="inlineStr">
        <is>
          <t>V4纸面入选-C</t>
        </is>
      </c>
      <c r="O14" s="14" t="inlineStr">
        <is>
          <t>2-1</t>
        </is>
      </c>
      <c r="P14" s="14" t="inlineStr">
        <is>
          <t>已结算</t>
        </is>
      </c>
      <c r="Q14" s="14" t="inlineStr">
        <is>
          <t>黑</t>
        </is>
      </c>
      <c r="R14" s="48" t="n">
        <v>0.99</v>
      </c>
      <c r="S14" s="48">
        <f>IF(OR(Q14="",Q14="待结算"),"",IF(Q14="红",R14,IF(Q14="半红",R14*0.5,IF(Q14="走",0,IF(Q14="半黑",-0.5,-1)))))</f>
        <v/>
      </c>
      <c r="T14" s="14" t="inlineStr">
        <is>
          <t>D:\codex\v3_legacy\outputs\football_odds_trader\raw\titan007\20261001\20261001_084801_titan007_odds_snapshot.csv</t>
        </is>
      </c>
      <c r="U14" s="14">
        <f>IF(Q14="","",IF(Q14="待结算","待结算",IF(Q14="红","黑",IF(Q14="半红","半黑",IF(Q14="走","走",IF(Q14="半黑","半红","红"))))))</f>
        <v/>
      </c>
      <c r="V14" s="48">
        <f>IF(OR(U14="",U14="待结算"),"",IF(L14=LEFT(F14,FIND(" vs ",F14)-1),I14,G14))</f>
        <v/>
      </c>
      <c r="W14" s="48">
        <f>IF(OR(U14="",U14="待结算"),"",IF(U14="红",V14,IF(U14="半红",V14*0.5,IF(U14="走",0,IF(U14="半黑",-0.5,-1)))))</f>
        <v/>
      </c>
      <c r="X14" s="14" t="inlineStr">
        <is>
          <t>2781226</t>
        </is>
      </c>
      <c r="Y14" s="14" t="inlineStr">
        <is>
          <t>V4</t>
        </is>
      </c>
      <c r="Z14" s="14" t="inlineStr">
        <is>
          <t>prior-2026-09-30-v1</t>
        </is>
      </c>
      <c r="AA14" s="14" t="inlineStr">
        <is>
          <t>C</t>
        </is>
      </c>
      <c r="AB14" s="14" t="n">
        <v>0.3571487702628235</v>
      </c>
      <c r="AC14" s="14" t="n">
        <v>0.242519633715119</v>
      </c>
      <c r="AD14" s="14" t="n">
        <v>0</v>
      </c>
      <c r="AE14" s="14" t="n">
        <v>0</v>
      </c>
      <c r="AF14" s="14" t="n">
        <v>0.4003315960220574</v>
      </c>
      <c r="AG14" s="14" t="n">
        <v>0.07329290522712179</v>
      </c>
      <c r="AH14" s="14" t="n"/>
      <c r="AI14" s="14" t="n"/>
      <c r="AJ14" s="14" t="n">
        <v>0.07329290522712179</v>
      </c>
      <c r="AK14" s="14" t="n"/>
      <c r="AL14" s="14" t="n"/>
      <c r="AM14" s="14" t="n"/>
      <c r="AN14" s="14" t="inlineStr">
        <is>
          <t>EVALUATED</t>
        </is>
      </c>
      <c r="AO14" s="14" t="inlineStr">
        <is>
          <t>GIVING_VALIDATED_EDGE;BUCKET_PRIOR_ONLY;INTENT_INTERPRETATION_ONLY;EXPERT_MARKET</t>
        </is>
      </c>
      <c r="AP14" s="14" t="inlineStr">
        <is>
          <t>b764308262eccb80cf71</t>
        </is>
      </c>
      <c r="AQ14" s="14" t="n">
        <v>-1.75</v>
      </c>
      <c r="AR14" s="14" t="n">
        <v>0.99</v>
      </c>
      <c r="AS14" s="14" t="n">
        <v>-1.75</v>
      </c>
      <c r="AT14" s="14" t="n">
        <v>1.75</v>
      </c>
      <c r="AU14" s="14" t="n">
        <v>0.99</v>
      </c>
      <c r="AV14" s="14" t="n">
        <v>0.83</v>
      </c>
      <c r="AW14" s="14" t="inlineStr">
        <is>
          <t>2026-09-30T19:19:53.016037+08:00</t>
        </is>
      </c>
      <c r="AX14" s="14" t="inlineStr">
        <is>
          <t>Titan007 snapshot</t>
        </is>
      </c>
      <c r="AY14" s="14" t="inlineStr">
        <is>
          <t>V4 Shadow Only；real_money=false；新增冻结记录</t>
        </is>
      </c>
    </row>
    <row r="15" ht="22" customHeight="1" s="39">
      <c r="A15" s="14" t="inlineStr">
        <is>
          <t>2026-09-30</t>
        </is>
      </c>
      <c r="B15" s="14" t="inlineStr">
        <is>
          <t>2026-10-01 01:00:00</t>
        </is>
      </c>
      <c r="C15" s="14" t="inlineStr">
        <is>
          <t>CONTINENTAL_CLUB</t>
        </is>
      </c>
      <c r="D15" s="14" t="inlineStr">
        <is>
          <t>杯赛</t>
        </is>
      </c>
      <c r="E15" s="14" t="inlineStr">
        <is>
          <t>女欧罗巴杯</t>
        </is>
      </c>
      <c r="F15" s="14" t="inlineStr">
        <is>
          <t>马模女足 vs 圣珀尔滕女足</t>
        </is>
      </c>
      <c r="G15" s="26" t="n">
        <v>0.82</v>
      </c>
      <c r="H15" s="26" t="n">
        <v>-1</v>
      </c>
      <c r="I15" s="26" t="n">
        <v>1</v>
      </c>
      <c r="J15" s="26" t="inlineStr">
        <is>
          <t>0.82/-1.0/1.0</t>
        </is>
      </c>
      <c r="K15" s="14" t="inlineStr">
        <is>
          <t>V4-B｜EV 0.08582747403778651</t>
        </is>
      </c>
      <c r="L15" s="14" t="inlineStr">
        <is>
          <t>马模女足</t>
        </is>
      </c>
      <c r="M15" s="47" t="n">
        <v>0.4568085624348275</v>
      </c>
      <c r="N15" s="14" t="inlineStr">
        <is>
          <t>V4纸面入选-B</t>
        </is>
      </c>
      <c r="O15" s="14" t="inlineStr">
        <is>
          <t>3-0</t>
        </is>
      </c>
      <c r="P15" s="14" t="inlineStr">
        <is>
          <t>已结算</t>
        </is>
      </c>
      <c r="Q15" s="14" t="inlineStr">
        <is>
          <t>红</t>
        </is>
      </c>
      <c r="R15" s="48" t="n">
        <v>0.82</v>
      </c>
      <c r="S15" s="48">
        <f>IF(OR(Q15="",Q15="待结算"),"",IF(Q15="红",R15,IF(Q15="半红",R15*0.5,IF(Q15="走",0,IF(Q15="半黑",-0.5,-1)))))</f>
        <v/>
      </c>
      <c r="T15" s="14" t="inlineStr">
        <is>
          <t>D:\codex\v3_legacy\outputs\football_odds_trader\raw\titan007\20261001\20261001_084801_titan007_odds_snapshot.csv</t>
        </is>
      </c>
      <c r="U15" s="14">
        <f>IF(Q15="","",IF(Q15="待结算","待结算",IF(Q15="红","黑",IF(Q15="半红","半黑",IF(Q15="走","走",IF(Q15="半黑","半红","红"))))))</f>
        <v/>
      </c>
      <c r="V15" s="48">
        <f>IF(OR(U15="",U15="待结算"),"",IF(L15=LEFT(F15,FIND(" vs ",F15)-1),I15,G15))</f>
        <v/>
      </c>
      <c r="W15" s="48">
        <f>IF(OR(U15="",U15="待结算"),"",IF(U15="红",V15,IF(U15="半红",V15*0.5,IF(U15="走",0,IF(U15="半黑",-0.5,-1)))))</f>
        <v/>
      </c>
      <c r="X15" s="14" t="inlineStr">
        <is>
          <t>3086482</t>
        </is>
      </c>
      <c r="Y15" s="14" t="inlineStr">
        <is>
          <t>V4</t>
        </is>
      </c>
      <c r="Z15" s="14" t="inlineStr">
        <is>
          <t>prior-2026-09-30-v1</t>
        </is>
      </c>
      <c r="AA15" s="14" t="inlineStr">
        <is>
          <t>B</t>
        </is>
      </c>
      <c r="AB15" s="14" t="n">
        <v>0.4568085624348275</v>
      </c>
      <c r="AC15" s="14" t="n">
        <v>0</v>
      </c>
      <c r="AD15" s="14" t="n">
        <v>0.2544358904064005</v>
      </c>
      <c r="AE15" s="14" t="n">
        <v>0</v>
      </c>
      <c r="AF15" s="14" t="n">
        <v>0.288755547158772</v>
      </c>
      <c r="AG15" s="14" t="n">
        <v>0.08582747403778651</v>
      </c>
      <c r="AH15" s="14" t="n"/>
      <c r="AI15" s="14" t="n"/>
      <c r="AJ15" s="14" t="n">
        <v>0.08582747403778651</v>
      </c>
      <c r="AK15" s="14" t="n"/>
      <c r="AL15" s="14" t="n"/>
      <c r="AM15" s="14" t="n"/>
      <c r="AN15" s="14" t="inlineStr">
        <is>
          <t>EVALUATED</t>
        </is>
      </c>
      <c r="AO15" s="14" t="inlineStr">
        <is>
          <t>GIVING_VALIDATED_EDGE;BUCKET_PRIOR_ONLY;INTENT_INTERPRETATION_ONLY;EXPERT_MARKET</t>
        </is>
      </c>
      <c r="AP15" s="14" t="inlineStr">
        <is>
          <t>83a55957566887746b02</t>
        </is>
      </c>
      <c r="AQ15" s="14" t="n">
        <v>-1</v>
      </c>
      <c r="AR15" s="14" t="n">
        <v>0.82</v>
      </c>
      <c r="AS15" s="14" t="n">
        <v>-1</v>
      </c>
      <c r="AT15" s="14" t="n">
        <v>1</v>
      </c>
      <c r="AU15" s="14" t="n">
        <v>0.82</v>
      </c>
      <c r="AV15" s="14" t="n">
        <v>1</v>
      </c>
      <c r="AW15" s="14" t="inlineStr">
        <is>
          <t>2026-09-30T19:41:37.302854+08:00</t>
        </is>
      </c>
      <c r="AX15" s="14" t="inlineStr">
        <is>
          <t>Titan007 snapshot</t>
        </is>
      </c>
      <c r="AY15" s="14" t="inlineStr">
        <is>
          <t>V4 Shadow Only；real_money=false；新增冻结记录</t>
        </is>
      </c>
    </row>
    <row r="16" ht="22" customHeight="1" s="39">
      <c r="A16" s="14" t="inlineStr">
        <is>
          <t>2026-09-30</t>
        </is>
      </c>
      <c r="B16" s="14" t="inlineStr">
        <is>
          <t>2026-10-01 01:30:00</t>
        </is>
      </c>
      <c r="C16" s="14" t="inlineStr">
        <is>
          <t>UNKNOWN</t>
        </is>
      </c>
      <c r="D16" s="14" t="inlineStr">
        <is>
          <t>联赛</t>
        </is>
      </c>
      <c r="E16" s="14" t="inlineStr">
        <is>
          <t>海湾运</t>
        </is>
      </c>
      <c r="F16" s="14" t="inlineStr">
        <is>
          <t>巴林(中) vs 也门</t>
        </is>
      </c>
      <c r="G16" s="26" t="n">
        <v>0.97</v>
      </c>
      <c r="H16" s="26" t="n">
        <v>-0.75</v>
      </c>
      <c r="I16" s="26" t="n">
        <v>0.85</v>
      </c>
      <c r="J16" s="26" t="inlineStr">
        <is>
          <t>0.97/-0.75/0.85</t>
        </is>
      </c>
      <c r="K16" s="14" t="inlineStr">
        <is>
          <t>V4-C｜EV 0.09977217745077382</t>
        </is>
      </c>
      <c r="L16" s="14" t="inlineStr">
        <is>
          <t>巴林(中)</t>
        </is>
      </c>
      <c r="M16" s="47" t="n">
        <v>0.5335632519408535</v>
      </c>
      <c r="N16" s="14" t="inlineStr">
        <is>
          <t>V4纸面入选-C</t>
        </is>
      </c>
      <c r="O16" s="14" t="inlineStr">
        <is>
          <t>2-5</t>
        </is>
      </c>
      <c r="P16" s="14" t="inlineStr">
        <is>
          <t>已结算</t>
        </is>
      </c>
      <c r="Q16" s="14" t="inlineStr">
        <is>
          <t>黑</t>
        </is>
      </c>
      <c r="R16" s="48" t="n">
        <v>0.82</v>
      </c>
      <c r="S16" s="48">
        <f>IF(OR(Q16="",Q16="待结算"),"",IF(Q16="红",R16,IF(Q16="半红",R16*0.5,IF(Q16="走",0,IF(Q16="半黑",-0.5,-1)))))</f>
        <v/>
      </c>
      <c r="T16" s="14" t="inlineStr">
        <is>
          <t>D:\codex\v3_legacy\outputs\football_odds_trader\raw\titan007\20261001\20261001_084801_titan007_odds_snapshot.csv</t>
        </is>
      </c>
      <c r="U16" s="14">
        <f>IF(Q16="","",IF(Q16="待结算","待结算",IF(Q16="红","黑",IF(Q16="半红","半黑",IF(Q16="走","走",IF(Q16="半黑","半红","红"))))))</f>
        <v/>
      </c>
      <c r="V16" s="48">
        <f>IF(OR(U16="",U16="待结算"),"",IF(L16=LEFT(F16,FIND(" vs ",F16)-1),I16,G16))</f>
        <v/>
      </c>
      <c r="W16" s="48">
        <f>IF(OR(U16="",U16="待结算"),"",IF(U16="红",V16,IF(U16="半红",V16*0.5,IF(U16="走",0,IF(U16="半黑",-0.5,-1)))))</f>
        <v/>
      </c>
      <c r="X16" s="14" t="inlineStr">
        <is>
          <t>3092414</t>
        </is>
      </c>
      <c r="Y16" s="14" t="inlineStr">
        <is>
          <t>V4</t>
        </is>
      </c>
      <c r="Z16" s="14" t="inlineStr">
        <is>
          <t>prior-2026-09-30-v1</t>
        </is>
      </c>
      <c r="AA16" s="14" t="inlineStr">
        <is>
          <t>C</t>
        </is>
      </c>
      <c r="AB16" s="14" t="n">
        <v>0.4048761930224332</v>
      </c>
      <c r="AC16" s="14" t="n">
        <v>0.2573741178368408</v>
      </c>
      <c r="AD16" s="14" t="n">
        <v>0</v>
      </c>
      <c r="AE16" s="14" t="n">
        <v>0</v>
      </c>
      <c r="AF16" s="14" t="n">
        <v>0.3377496891407261</v>
      </c>
      <c r="AG16" s="14" t="n">
        <v>0.09977217745077382</v>
      </c>
      <c r="AH16" s="14" t="n"/>
      <c r="AI16" s="14" t="n"/>
      <c r="AJ16" s="14" t="n">
        <v>0.09977217745077382</v>
      </c>
      <c r="AK16" s="14" t="n"/>
      <c r="AL16" s="14" t="n"/>
      <c r="AM16" s="14" t="n"/>
      <c r="AN16" s="14" t="inlineStr">
        <is>
          <t>EVALUATED</t>
        </is>
      </c>
      <c r="AO16" s="14" t="inlineStr">
        <is>
          <t>GIVING_VALIDATED_EDGE;BUCKET_PRIOR_ONLY;INTENT_INTERPRETATION_ONLY;EXPERT_MARKET</t>
        </is>
      </c>
      <c r="AP16" s="14" t="inlineStr">
        <is>
          <t>b32ddcdf5ee8ef51413c</t>
        </is>
      </c>
      <c r="AQ16" s="14" t="n">
        <v>-0.75</v>
      </c>
      <c r="AR16" s="14" t="n">
        <v>0.82</v>
      </c>
      <c r="AS16" s="14" t="n">
        <v>-0.75</v>
      </c>
      <c r="AT16" s="14" t="n">
        <v>0.75</v>
      </c>
      <c r="AU16" s="14" t="n">
        <v>0.82</v>
      </c>
      <c r="AV16" s="14" t="n">
        <v>1</v>
      </c>
      <c r="AW16" s="14" t="inlineStr">
        <is>
          <t>2026-09-30T19:19:53.016037+08:00</t>
        </is>
      </c>
      <c r="AX16" s="14" t="inlineStr">
        <is>
          <t>Titan007 snapshot</t>
        </is>
      </c>
      <c r="AY16" s="14" t="inlineStr">
        <is>
          <t>V4 Shadow Only；real_money=false；新增冻结记录</t>
        </is>
      </c>
    </row>
    <row r="17" ht="22" customHeight="1" s="39">
      <c r="A17" s="14" t="inlineStr">
        <is>
          <t>2026-09-30</t>
        </is>
      </c>
      <c r="B17" s="14" t="inlineStr">
        <is>
          <t>2026-10-01 01:30:00</t>
        </is>
      </c>
      <c r="C17" s="14" t="inlineStr">
        <is>
          <t>UNKNOWN</t>
        </is>
      </c>
      <c r="D17" s="14" t="inlineStr">
        <is>
          <t>联赛</t>
        </is>
      </c>
      <c r="E17" s="14" t="inlineStr">
        <is>
          <t>海湾运</t>
        </is>
      </c>
      <c r="F17" s="14" t="inlineStr">
        <is>
          <t>阿联酋(中) vs 卡塔尔</t>
        </is>
      </c>
      <c r="G17" s="26" t="n">
        <v>0.93</v>
      </c>
      <c r="H17" s="26" t="n">
        <v>-1</v>
      </c>
      <c r="I17" s="26" t="n">
        <v>0.89</v>
      </c>
      <c r="J17" s="26" t="inlineStr">
        <is>
          <t>0.93/-1.0/0.89</t>
        </is>
      </c>
      <c r="K17" s="14" t="inlineStr">
        <is>
          <t>V4-C｜EV 0.15056848963817654</t>
        </is>
      </c>
      <c r="L17" s="14" t="inlineStr">
        <is>
          <t>阿联酋(中)</t>
        </is>
      </c>
      <c r="M17" s="47" t="n">
        <v>0.443061012142321</v>
      </c>
      <c r="N17" s="14" t="inlineStr">
        <is>
          <t>V4纸面入选-C</t>
        </is>
      </c>
      <c r="O17" s="14" t="inlineStr">
        <is>
          <t>1-1</t>
        </is>
      </c>
      <c r="P17" s="14" t="inlineStr">
        <is>
          <t>已结算</t>
        </is>
      </c>
      <c r="Q17" s="14" t="inlineStr">
        <is>
          <t>黑</t>
        </is>
      </c>
      <c r="R17" s="48" t="n">
        <v>1.02</v>
      </c>
      <c r="S17" s="48">
        <f>IF(OR(Q17="",Q17="待结算"),"",IF(Q17="红",R17,IF(Q17="半红",R17*0.5,IF(Q17="走",0,IF(Q17="半黑",-0.5,-1)))))</f>
        <v/>
      </c>
      <c r="T17" s="14" t="inlineStr">
        <is>
          <t>D:\codex\v3_legacy\outputs\football_odds_trader\raw\titan007\20261001\20261001_084801_titan007_odds_snapshot.csv</t>
        </is>
      </c>
      <c r="U17" s="14">
        <f>IF(Q17="","",IF(Q17="待结算","待结算",IF(Q17="红","黑",IF(Q17="半红","半黑",IF(Q17="走","走",IF(Q17="半黑","半红","红"))))))</f>
        <v/>
      </c>
      <c r="V17" s="48">
        <f>IF(OR(U17="",U17="待结算"),"",IF(L17=LEFT(F17,FIND(" vs ",F17)-1),I17,G17))</f>
        <v/>
      </c>
      <c r="W17" s="48">
        <f>IF(OR(U17="",U17="待结算"),"",IF(U17="红",V17,IF(U17="半红",V17*0.5,IF(U17="走",0,IF(U17="半黑",-0.5,-1)))))</f>
        <v/>
      </c>
      <c r="X17" s="14" t="inlineStr">
        <is>
          <t>3092415</t>
        </is>
      </c>
      <c r="Y17" s="14" t="inlineStr">
        <is>
          <t>V4</t>
        </is>
      </c>
      <c r="Z17" s="14" t="inlineStr">
        <is>
          <t>prior-2026-09-30-v1</t>
        </is>
      </c>
      <c r="AA17" s="14" t="inlineStr">
        <is>
          <t>C</t>
        </is>
      </c>
      <c r="AB17" s="14" t="n">
        <v>0.443061012142321</v>
      </c>
      <c r="AC17" s="14" t="n">
        <v>0</v>
      </c>
      <c r="AD17" s="14" t="n">
        <v>0.2555852451106882</v>
      </c>
      <c r="AE17" s="14" t="n">
        <v>0</v>
      </c>
      <c r="AF17" s="14" t="n">
        <v>0.3013537427469908</v>
      </c>
      <c r="AG17" s="14" t="n">
        <v>0.1505684896381765</v>
      </c>
      <c r="AH17" s="14" t="n"/>
      <c r="AI17" s="14" t="n"/>
      <c r="AJ17" s="14" t="n">
        <v>0.1505684896381765</v>
      </c>
      <c r="AK17" s="14" t="n"/>
      <c r="AL17" s="14" t="n"/>
      <c r="AM17" s="14" t="n"/>
      <c r="AN17" s="14" t="inlineStr">
        <is>
          <t>EVALUATED</t>
        </is>
      </c>
      <c r="AO17" s="14" t="inlineStr">
        <is>
          <t>GIVING_VALIDATED_EDGE;BUCKET_PRIOR_ONLY;INTENT_INTERPRETATION_ONLY;EXPERT_MARKET</t>
        </is>
      </c>
      <c r="AP17" s="14" t="inlineStr">
        <is>
          <t>28deb18b1ffc22064829</t>
        </is>
      </c>
      <c r="AQ17" s="14" t="n">
        <v>-1</v>
      </c>
      <c r="AR17" s="14" t="n">
        <v>1.02</v>
      </c>
      <c r="AS17" s="14" t="n">
        <v>-1</v>
      </c>
      <c r="AT17" s="14" t="n">
        <v>1</v>
      </c>
      <c r="AU17" s="14" t="n">
        <v>1.02</v>
      </c>
      <c r="AV17" s="14" t="n">
        <v>0.8</v>
      </c>
      <c r="AW17" s="14" t="inlineStr">
        <is>
          <t>2026-09-30T19:19:53.016037+08:00</t>
        </is>
      </c>
      <c r="AX17" s="14" t="inlineStr">
        <is>
          <t>Titan007 snapshot</t>
        </is>
      </c>
      <c r="AY17" s="14" t="inlineStr">
        <is>
          <t>V4 Shadow Only；real_money=false；新增冻结记录</t>
        </is>
      </c>
    </row>
    <row r="18" ht="22" customHeight="1" s="39">
      <c r="A18" s="14" t="inlineStr">
        <is>
          <t>2026-09-30</t>
        </is>
      </c>
      <c r="B18" s="14" t="inlineStr">
        <is>
          <t>2026-10-01 02:00:00</t>
        </is>
      </c>
      <c r="C18" s="14" t="inlineStr">
        <is>
          <t>CLUB_CUP</t>
        </is>
      </c>
      <c r="D18" s="14" t="inlineStr">
        <is>
          <t>杯赛</t>
        </is>
      </c>
      <c r="E18" s="14" t="inlineStr">
        <is>
          <t>英女杯</t>
        </is>
      </c>
      <c r="F18" s="14" t="inlineStr">
        <is>
          <t>达勒姆女足 vs 曼联女足</t>
        </is>
      </c>
      <c r="G18" s="26" t="n">
        <v>0.9</v>
      </c>
      <c r="H18" s="26" t="n">
        <v>4.5</v>
      </c>
      <c r="I18" s="26" t="n">
        <v>0.8</v>
      </c>
      <c r="J18" s="26" t="inlineStr">
        <is>
          <t>0.9/4.5/0.8</t>
        </is>
      </c>
      <c r="K18" s="14" t="inlineStr">
        <is>
          <t>V4-B｜EV 0.5420936370813961</t>
        </is>
      </c>
      <c r="L18" s="14" t="inlineStr">
        <is>
          <t>达勒姆女足</t>
        </is>
      </c>
      <c r="M18" s="47" t="n">
        <v>0.833564128152106</v>
      </c>
      <c r="N18" s="14" t="inlineStr">
        <is>
          <t>V4纸面入选-B</t>
        </is>
      </c>
      <c r="O18" s="14" t="inlineStr">
        <is>
          <t>1-5</t>
        </is>
      </c>
      <c r="P18" s="14" t="inlineStr">
        <is>
          <t>已结算</t>
        </is>
      </c>
      <c r="Q18" s="14" t="inlineStr">
        <is>
          <t>红</t>
        </is>
      </c>
      <c r="R18" s="48" t="n">
        <v>0.85</v>
      </c>
      <c r="S18" s="48">
        <f>IF(OR(Q18="",Q18="待结算"),"",IF(Q18="红",R18,IF(Q18="半红",R18*0.5,IF(Q18="走",0,IF(Q18="半黑",-0.5,-1)))))</f>
        <v/>
      </c>
      <c r="T18" s="14" t="inlineStr">
        <is>
          <t>D:\codex\v3_legacy\outputs\football_odds_trader\raw\titan007\20261001\20261001_084801_titan007_odds_snapshot.csv</t>
        </is>
      </c>
      <c r="U18" s="14">
        <f>IF(Q18="","",IF(Q18="待结算","待结算",IF(Q18="红","黑",IF(Q18="半红","半黑",IF(Q18="走","走",IF(Q18="半黑","半红","红"))))))</f>
        <v/>
      </c>
      <c r="V18" s="48">
        <f>IF(OR(U18="",U18="待结算"),"",IF(L18=LEFT(F18,FIND(" vs ",F18)-1),I18,G18))</f>
        <v/>
      </c>
      <c r="W18" s="48">
        <f>IF(OR(U18="",U18="待结算"),"",IF(U18="红",V18,IF(U18="半红",V18*0.5,IF(U18="走",0,IF(U18="半黑",-0.5,-1)))))</f>
        <v/>
      </c>
      <c r="X18" s="14" t="inlineStr">
        <is>
          <t>3058937</t>
        </is>
      </c>
      <c r="Y18" s="14" t="inlineStr">
        <is>
          <t>V4</t>
        </is>
      </c>
      <c r="Z18" s="14" t="inlineStr">
        <is>
          <t>prior-2026-09-30-v1</t>
        </is>
      </c>
      <c r="AA18" s="14" t="inlineStr">
        <is>
          <t>B</t>
        </is>
      </c>
      <c r="AB18" s="14" t="n">
        <v>0.833564128152106</v>
      </c>
      <c r="AC18" s="14" t="n">
        <v>0</v>
      </c>
      <c r="AD18" s="14" t="n">
        <v>0</v>
      </c>
      <c r="AE18" s="14" t="n">
        <v>0</v>
      </c>
      <c r="AF18" s="14" t="n">
        <v>0.166435871847894</v>
      </c>
      <c r="AG18" s="14" t="n">
        <v>0.5420936370813961</v>
      </c>
      <c r="AH18" s="14" t="n"/>
      <c r="AI18" s="14" t="n"/>
      <c r="AJ18" s="14" t="n">
        <v>0.5420936370813961</v>
      </c>
      <c r="AK18" s="14" t="n"/>
      <c r="AL18" s="14" t="n"/>
      <c r="AM18" s="14" t="n"/>
      <c r="AN18" s="14" t="inlineStr">
        <is>
          <t>EVALUATED</t>
        </is>
      </c>
      <c r="AO18" s="14" t="inlineStr">
        <is>
          <t>RECEIVING_VALIDATED_EDGE;BUCKET_PRIOR_ONLY;INTENT_INTERPRETATION_ONLY;EXPERT_MARKET</t>
        </is>
      </c>
      <c r="AP18" s="14" t="inlineStr">
        <is>
          <t>1de04bc97c67e04161de</t>
        </is>
      </c>
      <c r="AQ18" s="14" t="n">
        <v>4.5</v>
      </c>
      <c r="AR18" s="14" t="n">
        <v>0.85</v>
      </c>
      <c r="AS18" s="14" t="n">
        <v>-4.5</v>
      </c>
      <c r="AT18" s="14" t="n">
        <v>4.5</v>
      </c>
      <c r="AU18" s="14" t="n">
        <v>0.85</v>
      </c>
      <c r="AV18" s="14" t="n">
        <v>0.85</v>
      </c>
      <c r="AW18" s="14" t="inlineStr">
        <is>
          <t>2026-09-30T19:19:53.016037+08:00</t>
        </is>
      </c>
      <c r="AX18" s="14" t="inlineStr">
        <is>
          <t>Titan007 snapshot</t>
        </is>
      </c>
      <c r="AY18" s="14" t="inlineStr">
        <is>
          <t>V4 Shadow Only；real_money=false；新增冻结记录</t>
        </is>
      </c>
    </row>
    <row r="19" ht="22" customHeight="1" s="39">
      <c r="A19" s="14" t="inlineStr">
        <is>
          <t>2026-09-30</t>
        </is>
      </c>
      <c r="B19" s="14" t="inlineStr">
        <is>
          <t>2026-10-01 02:00:00</t>
        </is>
      </c>
      <c r="C19" s="14" t="inlineStr">
        <is>
          <t>CLUB_LEAGUE</t>
        </is>
      </c>
      <c r="D19" s="14" t="inlineStr">
        <is>
          <t>联赛</t>
        </is>
      </c>
      <c r="E19" s="14" t="inlineStr">
        <is>
          <t>巴拉丙</t>
        </is>
      </c>
      <c r="F19" s="14" t="inlineStr">
        <is>
          <t>克里斯托巴尔科隆JAS vs 巴拉圭河床</t>
        </is>
      </c>
      <c r="G19" s="26" t="n">
        <v>0.83</v>
      </c>
      <c r="H19" s="26" t="n">
        <v>-1</v>
      </c>
      <c r="I19" s="26" t="n">
        <v>0.87</v>
      </c>
      <c r="J19" s="26" t="inlineStr">
        <is>
          <t>0.83/-1.0/0.87</t>
        </is>
      </c>
      <c r="K19" s="14" t="inlineStr">
        <is>
          <t>V4-B｜EV 0.07128084029249643</t>
        </is>
      </c>
      <c r="L19" s="14" t="inlineStr">
        <is>
          <t>巴拉圭河床</t>
        </is>
      </c>
      <c r="M19" s="47" t="n">
        <v>0.4360248020412991</v>
      </c>
      <c r="N19" s="14" t="inlineStr">
        <is>
          <t>V4纸面入选-B</t>
        </is>
      </c>
      <c r="O19" s="14" t="inlineStr">
        <is>
          <t>0-3</t>
        </is>
      </c>
      <c r="P19" s="14" t="inlineStr">
        <is>
          <t>已结算</t>
        </is>
      </c>
      <c r="Q19" s="14" t="inlineStr">
        <is>
          <t>红</t>
        </is>
      </c>
      <c r="R19" s="48" t="n">
        <v>0.87</v>
      </c>
      <c r="S19" s="48">
        <f>IF(OR(Q19="",Q19="待结算"),"",IF(Q19="红",R19,IF(Q19="半红",R19*0.5,IF(Q19="走",0,IF(Q19="半黑",-0.5,-1)))))</f>
        <v/>
      </c>
      <c r="T19" s="14" t="inlineStr">
        <is>
          <t>D:\codex\v3_legacy\outputs\football_odds_trader\raw\titan007\20261001\20261001_084801_titan007_odds_snapshot.csv</t>
        </is>
      </c>
      <c r="U19" s="14">
        <f>IF(Q19="","",IF(Q19="待结算","待结算",IF(Q19="红","黑",IF(Q19="半红","半黑",IF(Q19="走","走",IF(Q19="半黑","半红","红"))))))</f>
        <v/>
      </c>
      <c r="V19" s="48">
        <f>IF(OR(U19="",U19="待结算"),"",IF(L19=LEFT(F19,FIND(" vs ",F19)-1),I19,G19))</f>
        <v/>
      </c>
      <c r="W19" s="48">
        <f>IF(OR(U19="",U19="待结算"),"",IF(U19="红",V19,IF(U19="半红",V19*0.5,IF(U19="走",0,IF(U19="半黑",-0.5,-1)))))</f>
        <v/>
      </c>
      <c r="X19" s="14" t="inlineStr">
        <is>
          <t>3096655</t>
        </is>
      </c>
      <c r="Y19" s="14" t="inlineStr">
        <is>
          <t>V4</t>
        </is>
      </c>
      <c r="Z19" s="14" t="inlineStr">
        <is>
          <t>prior-2026-09-30-v1</t>
        </is>
      </c>
      <c r="AA19" s="14" t="inlineStr">
        <is>
          <t>B</t>
        </is>
      </c>
      <c r="AB19" s="14" t="n">
        <v>0.4360248020412991</v>
      </c>
      <c r="AC19" s="14" t="n">
        <v>0</v>
      </c>
      <c r="AD19" s="14" t="n">
        <v>0.2559144604752671</v>
      </c>
      <c r="AE19" s="14" t="n">
        <v>0</v>
      </c>
      <c r="AF19" s="14" t="n">
        <v>0.3080607374834338</v>
      </c>
      <c r="AG19" s="14" t="n">
        <v>0.07128084029249643</v>
      </c>
      <c r="AH19" s="14" t="n"/>
      <c r="AI19" s="14" t="n"/>
      <c r="AJ19" s="14" t="n">
        <v>0.07128084029249643</v>
      </c>
      <c r="AK19" s="14" t="n"/>
      <c r="AL19" s="14" t="n"/>
      <c r="AM19" s="14" t="n"/>
      <c r="AN19" s="14" t="inlineStr">
        <is>
          <t>EVALUATED</t>
        </is>
      </c>
      <c r="AO19" s="14" t="inlineStr">
        <is>
          <t>GIVING_VALIDATED_EDGE;BUCKET_PRIOR_ONLY;INTENT_INTERPRETATION_ONLY;EXPERT_MARKET</t>
        </is>
      </c>
      <c r="AP19" s="14" t="inlineStr">
        <is>
          <t>a847358d6334992eab6e</t>
        </is>
      </c>
      <c r="AQ19" s="14" t="n">
        <v>-1</v>
      </c>
      <c r="AR19" s="14" t="n">
        <v>0.87</v>
      </c>
      <c r="AS19" s="14" t="n">
        <v>-1</v>
      </c>
      <c r="AT19" s="14" t="n">
        <v>1</v>
      </c>
      <c r="AU19" s="14" t="n">
        <v>0.87</v>
      </c>
      <c r="AV19" s="14" t="n">
        <v>0.83</v>
      </c>
      <c r="AW19" s="14" t="inlineStr">
        <is>
          <t>2026-09-30T19:19:53.016037+08:00</t>
        </is>
      </c>
      <c r="AX19" s="14" t="inlineStr">
        <is>
          <t>Titan007 snapshot</t>
        </is>
      </c>
      <c r="AY19" s="14" t="inlineStr">
        <is>
          <t>V4 Shadow Only；real_money=false；新增冻结记录</t>
        </is>
      </c>
    </row>
    <row r="20" ht="22" customHeight="1" s="39">
      <c r="A20" s="14" t="inlineStr">
        <is>
          <t>2026-09-30</t>
        </is>
      </c>
      <c r="B20" s="14" t="inlineStr">
        <is>
          <t>2026-10-01 02:30:00</t>
        </is>
      </c>
      <c r="C20" s="14" t="inlineStr">
        <is>
          <t>NATIONAL_YOUTH</t>
        </is>
      </c>
      <c r="D20" s="14" t="inlineStr">
        <is>
          <t>联赛</t>
        </is>
      </c>
      <c r="E20" s="14" t="inlineStr">
        <is>
          <t>欧青U21外</t>
        </is>
      </c>
      <c r="F20" s="14" t="inlineStr">
        <is>
          <t>苏格兰U21 vs 阿塞拜疆U21</t>
        </is>
      </c>
      <c r="G20" s="26" t="n">
        <v>0.91</v>
      </c>
      <c r="H20" s="26" t="n">
        <v>-2.25</v>
      </c>
      <c r="I20" s="26" t="n">
        <v>0.91</v>
      </c>
      <c r="J20" s="26" t="inlineStr">
        <is>
          <t>0.91/-2.25/0.91</t>
        </is>
      </c>
      <c r="K20" s="14" t="inlineStr">
        <is>
          <t>V4-C｜EV 0.08741468293893134</t>
        </is>
      </c>
      <c r="L20" s="14" t="inlineStr">
        <is>
          <t>苏格兰U21</t>
        </is>
      </c>
      <c r="M20" s="47" t="n">
        <v>0.4776951730591673</v>
      </c>
      <c r="N20" s="14" t="inlineStr">
        <is>
          <t>V4纸面入选-C</t>
        </is>
      </c>
      <c r="O20" s="14" t="inlineStr">
        <is>
          <t>5-2</t>
        </is>
      </c>
      <c r="P20" s="14" t="inlineStr">
        <is>
          <t>已结算</t>
        </is>
      </c>
      <c r="Q20" s="14" t="inlineStr">
        <is>
          <t>红</t>
        </is>
      </c>
      <c r="R20" s="48" t="n">
        <v>1.02</v>
      </c>
      <c r="S20" s="48">
        <f>IF(OR(Q20="",Q20="待结算"),"",IF(Q20="红",R20,IF(Q20="半红",R20*0.5,IF(Q20="走",0,IF(Q20="半黑",-0.5,-1)))))</f>
        <v/>
      </c>
      <c r="T20" s="14" t="inlineStr">
        <is>
          <t>D:\codex\v3_legacy\outputs\football_odds_trader\raw\titan007\20261001\20261001_084801_titan007_odds_snapshot.csv</t>
        </is>
      </c>
      <c r="U20" s="14">
        <f>IF(Q20="","",IF(Q20="待结算","待结算",IF(Q20="红","黑",IF(Q20="半红","半黑",IF(Q20="走","走",IF(Q20="半黑","半红","红"))))))</f>
        <v/>
      </c>
      <c r="V20" s="48">
        <f>IF(OR(U20="",U20="待结算"),"",IF(L20=LEFT(F20,FIND(" vs ",F20)-1),I20,G20))</f>
        <v/>
      </c>
      <c r="W20" s="48">
        <f>IF(OR(U20="",U20="待结算"),"",IF(U20="红",V20,IF(U20="半红",V20*0.5,IF(U20="走",0,IF(U20="半黑",-0.5,-1)))))</f>
        <v/>
      </c>
      <c r="X20" s="14" t="inlineStr">
        <is>
          <t>2781257</t>
        </is>
      </c>
      <c r="Y20" s="14" t="inlineStr">
        <is>
          <t>V4</t>
        </is>
      </c>
      <c r="Z20" s="14" t="inlineStr">
        <is>
          <t>prior-2026-09-30-v1</t>
        </is>
      </c>
      <c r="AA20" s="14" t="inlineStr">
        <is>
          <t>C</t>
        </is>
      </c>
      <c r="AB20" s="14" t="n">
        <v>0.4776951730591673</v>
      </c>
      <c r="AC20" s="14" t="n">
        <v>0</v>
      </c>
      <c r="AD20" s="14" t="n">
        <v>0</v>
      </c>
      <c r="AE20" s="14" t="n">
        <v>0.2449408667188269</v>
      </c>
      <c r="AF20" s="14" t="n">
        <v>0.2773639602220058</v>
      </c>
      <c r="AG20" s="14" t="n">
        <v>0.08741468293893134</v>
      </c>
      <c r="AH20" s="14" t="n"/>
      <c r="AI20" s="14" t="n"/>
      <c r="AJ20" s="14" t="n">
        <v>0.08741468293893134</v>
      </c>
      <c r="AK20" s="14" t="n"/>
      <c r="AL20" s="14" t="n"/>
      <c r="AM20" s="14" t="n"/>
      <c r="AN20" s="14" t="inlineStr">
        <is>
          <t>EVALUATED</t>
        </is>
      </c>
      <c r="AO20" s="14" t="inlineStr">
        <is>
          <t>GIVING_VALIDATED_EDGE;BUCKET_PRIOR_ONLY;INTENT_INTERPRETATION_ONLY;EXPERT_MARKET</t>
        </is>
      </c>
      <c r="AP20" s="14" t="inlineStr">
        <is>
          <t>401c1240af057ec74427</t>
        </is>
      </c>
      <c r="AQ20" s="14" t="n">
        <v>-2.25</v>
      </c>
      <c r="AR20" s="14" t="n">
        <v>1.02</v>
      </c>
      <c r="AS20" s="14" t="n">
        <v>-2.25</v>
      </c>
      <c r="AT20" s="14" t="n">
        <v>2.25</v>
      </c>
      <c r="AU20" s="14" t="n">
        <v>1.02</v>
      </c>
      <c r="AV20" s="14" t="n">
        <v>0.8</v>
      </c>
      <c r="AW20" s="14" t="inlineStr">
        <is>
          <t>2026-09-30T19:19:53.016037+08:00</t>
        </is>
      </c>
      <c r="AX20" s="14" t="inlineStr">
        <is>
          <t>Titan007 snapshot</t>
        </is>
      </c>
      <c r="AY20" s="14" t="inlineStr">
        <is>
          <t>V4 Shadow Only；real_money=false；新增冻结记录</t>
        </is>
      </c>
    </row>
    <row r="21" ht="22" customHeight="1" s="39">
      <c r="A21" s="14" t="inlineStr">
        <is>
          <t>2026-09-30</t>
        </is>
      </c>
      <c r="B21" s="14" t="inlineStr">
        <is>
          <t>2026-10-01 02:30:00</t>
        </is>
      </c>
      <c r="C21" s="14" t="inlineStr">
        <is>
          <t>CLUB_CUP</t>
        </is>
      </c>
      <c r="D21" s="14" t="inlineStr">
        <is>
          <t>杯赛</t>
        </is>
      </c>
      <c r="E21" s="14" t="inlineStr">
        <is>
          <t>英女杯</t>
        </is>
      </c>
      <c r="F21" s="14" t="inlineStr">
        <is>
          <t>叶士域治女足 vs 伦敦城雌狮女足</t>
        </is>
      </c>
      <c r="G21" s="26" t="n">
        <v>0.84</v>
      </c>
      <c r="H21" s="26" t="n">
        <v>3</v>
      </c>
      <c r="I21" s="26" t="n">
        <v>0.86</v>
      </c>
      <c r="J21" s="26" t="inlineStr">
        <is>
          <t>0.84/3.0/0.86</t>
        </is>
      </c>
      <c r="K21" s="14" t="inlineStr">
        <is>
          <t>V4-B｜EV 0.10602408443300698</t>
        </is>
      </c>
      <c r="L21" s="14" t="inlineStr">
        <is>
          <t>叶士域治女足</t>
        </is>
      </c>
      <c r="M21" s="47" t="n">
        <v>0.4547108852117185</v>
      </c>
      <c r="N21" s="14" t="inlineStr">
        <is>
          <t>V4纸面入选-B</t>
        </is>
      </c>
      <c r="O21" s="14" t="inlineStr">
        <is>
          <t>0-1</t>
        </is>
      </c>
      <c r="P21" s="14" t="inlineStr">
        <is>
          <t>已结算</t>
        </is>
      </c>
      <c r="Q21" s="14" t="inlineStr">
        <is>
          <t>红</t>
        </is>
      </c>
      <c r="R21" s="48" t="n">
        <v>0.95</v>
      </c>
      <c r="S21" s="48">
        <f>IF(OR(Q21="",Q21="待结算"),"",IF(Q21="红",R21,IF(Q21="半红",R21*0.5,IF(Q21="走",0,IF(Q21="半黑",-0.5,-1)))))</f>
        <v/>
      </c>
      <c r="T21" s="14" t="inlineStr">
        <is>
          <t>D:\codex\v3_legacy\outputs\football_odds_trader\raw\titan007\20261001\20261001_084801_titan007_odds_snapshot.csv</t>
        </is>
      </c>
      <c r="U21" s="14">
        <f>IF(Q21="","",IF(Q21="待结算","待结算",IF(Q21="红","黑",IF(Q21="半红","半黑",IF(Q21="走","走",IF(Q21="半黑","半红","红"))))))</f>
        <v/>
      </c>
      <c r="V21" s="48">
        <f>IF(OR(U21="",U21="待结算"),"",IF(L21=LEFT(F21,FIND(" vs ",F21)-1),I21,G21))</f>
        <v/>
      </c>
      <c r="W21" s="48">
        <f>IF(OR(U21="",U21="待结算"),"",IF(U21="红",V21,IF(U21="半红",V21*0.5,IF(U21="走",0,IF(U21="半黑",-0.5,-1)))))</f>
        <v/>
      </c>
      <c r="X21" s="14" t="inlineStr">
        <is>
          <t>3058940</t>
        </is>
      </c>
      <c r="Y21" s="14" t="inlineStr">
        <is>
          <t>V4</t>
        </is>
      </c>
      <c r="Z21" s="14" t="inlineStr">
        <is>
          <t>prior-2026-09-30-v1</t>
        </is>
      </c>
      <c r="AA21" s="14" t="inlineStr">
        <is>
          <t>B</t>
        </is>
      </c>
      <c r="AB21" s="14" t="n">
        <v>0.4547108852117185</v>
      </c>
      <c r="AC21" s="14" t="n">
        <v>0</v>
      </c>
      <c r="AD21" s="14" t="n">
        <v>0.2193378582701559</v>
      </c>
      <c r="AE21" s="14" t="n">
        <v>0</v>
      </c>
      <c r="AF21" s="14" t="n">
        <v>0.3259512565181256</v>
      </c>
      <c r="AG21" s="14" t="n">
        <v>0.106024084433007</v>
      </c>
      <c r="AH21" s="14" t="n"/>
      <c r="AI21" s="14" t="n"/>
      <c r="AJ21" s="14" t="n">
        <v>0.106024084433007</v>
      </c>
      <c r="AK21" s="14" t="n"/>
      <c r="AL21" s="14" t="n"/>
      <c r="AM21" s="14" t="n"/>
      <c r="AN21" s="14" t="inlineStr">
        <is>
          <t>EVALUATED</t>
        </is>
      </c>
      <c r="AO21" s="14" t="inlineStr">
        <is>
          <t>RECEIVING_VALIDATED_EDGE;BUCKET_PRIOR_ONLY;INTENT_INTERPRETATION_ONLY;EXPERT_MARKET</t>
        </is>
      </c>
      <c r="AP21" s="14" t="inlineStr">
        <is>
          <t>7ec4551f96615317804f</t>
        </is>
      </c>
      <c r="AQ21" s="14" t="n">
        <v>3</v>
      </c>
      <c r="AR21" s="14" t="n">
        <v>0.95</v>
      </c>
      <c r="AS21" s="14" t="n">
        <v>-3</v>
      </c>
      <c r="AT21" s="14" t="n">
        <v>3</v>
      </c>
      <c r="AU21" s="14" t="n">
        <v>0.75</v>
      </c>
      <c r="AV21" s="14" t="n">
        <v>0.95</v>
      </c>
      <c r="AW21" s="14" t="inlineStr">
        <is>
          <t>2026-09-30T19:19:53.016037+08:00</t>
        </is>
      </c>
      <c r="AX21" s="14" t="inlineStr">
        <is>
          <t>Titan007 snapshot</t>
        </is>
      </c>
      <c r="AY21" s="14" t="inlineStr">
        <is>
          <t>V4 Shadow Only；real_money=false；新增冻结记录</t>
        </is>
      </c>
    </row>
    <row r="22" ht="22" customHeight="1" s="39">
      <c r="A22" s="14" t="inlineStr">
        <is>
          <t>2026-09-30</t>
        </is>
      </c>
      <c r="B22" s="14" t="inlineStr">
        <is>
          <t>2026-10-01 03:00:00</t>
        </is>
      </c>
      <c r="C22" s="14" t="inlineStr">
        <is>
          <t>CONTINENTAL_CLUB</t>
        </is>
      </c>
      <c r="D22" s="14" t="inlineStr">
        <is>
          <t>杯赛</t>
        </is>
      </c>
      <c r="E22" s="14" t="inlineStr">
        <is>
          <t>女欧罗巴杯</t>
        </is>
      </c>
      <c r="F22" s="14" t="inlineStr">
        <is>
          <t>杜连斯女足 vs 梅塔利斯特1925女足</t>
        </is>
      </c>
      <c r="G22" s="26" t="n">
        <v>1.09</v>
      </c>
      <c r="H22" s="26" t="n">
        <v>-1.75</v>
      </c>
      <c r="I22" s="26" t="n">
        <v>0.73</v>
      </c>
      <c r="J22" s="26" t="inlineStr">
        <is>
          <t>1.09/-1.75/0.73</t>
        </is>
      </c>
      <c r="K22" s="14" t="inlineStr">
        <is>
          <t>V4-C｜EV 0.06992091074959245</t>
        </is>
      </c>
      <c r="L22" s="14" t="inlineStr">
        <is>
          <t>杜连斯女足</t>
        </is>
      </c>
      <c r="M22" s="47" t="n">
        <v>0.4545537475417167</v>
      </c>
      <c r="N22" s="14" t="inlineStr">
        <is>
          <t>V4纸面入选-C</t>
        </is>
      </c>
      <c r="O22" s="14" t="inlineStr">
        <is>
          <t>4-1</t>
        </is>
      </c>
      <c r="P22" s="14" t="inlineStr">
        <is>
          <t>已结算</t>
        </is>
      </c>
      <c r="Q22" s="14" t="inlineStr">
        <is>
          <t>红</t>
        </is>
      </c>
      <c r="R22" s="48" t="n">
        <v>1.09</v>
      </c>
      <c r="S22" s="48">
        <f>IF(OR(Q22="",Q22="待结算"),"",IF(Q22="红",R22,IF(Q22="半红",R22*0.5,IF(Q22="走",0,IF(Q22="半黑",-0.5,-1)))))</f>
        <v/>
      </c>
      <c r="T22" s="14" t="inlineStr">
        <is>
          <t>D:\codex\v3_legacy\outputs\football_odds_trader\raw\titan007\20261001\20261001_084801_titan007_odds_snapshot.csv</t>
        </is>
      </c>
      <c r="U22" s="14">
        <f>IF(Q22="","",IF(Q22="待结算","待结算",IF(Q22="红","黑",IF(Q22="半红","半黑",IF(Q22="走","走",IF(Q22="半黑","半红","红"))))))</f>
        <v/>
      </c>
      <c r="V22" s="48">
        <f>IF(OR(U22="",U22="待结算"),"",IF(L22=LEFT(F22,FIND(" vs ",F22)-1),I22,G22))</f>
        <v/>
      </c>
      <c r="W22" s="48">
        <f>IF(OR(U22="",U22="待结算"),"",IF(U22="红",V22,IF(U22="半红",V22*0.5,IF(U22="走",0,IF(U22="半黑",-0.5,-1)))))</f>
        <v/>
      </c>
      <c r="X22" s="14" t="inlineStr">
        <is>
          <t>3086476</t>
        </is>
      </c>
      <c r="Y22" s="14" t="inlineStr">
        <is>
          <t>V4</t>
        </is>
      </c>
      <c r="Z22" s="14" t="inlineStr">
        <is>
          <t>prior-2026-09-30-v1</t>
        </is>
      </c>
      <c r="AA22" s="14" t="inlineStr">
        <is>
          <t>C</t>
        </is>
      </c>
      <c r="AB22" s="14" t="n">
        <v>0.3346501691543122</v>
      </c>
      <c r="AC22" s="14" t="n">
        <v>0.2398071567748089</v>
      </c>
      <c r="AD22" s="14" t="n">
        <v>0</v>
      </c>
      <c r="AE22" s="14" t="n">
        <v>0</v>
      </c>
      <c r="AF22" s="14" t="n">
        <v>0.4255426740708788</v>
      </c>
      <c r="AG22" s="14" t="n">
        <v>0.06992091074959245</v>
      </c>
      <c r="AH22" s="14" t="n"/>
      <c r="AI22" s="14" t="n"/>
      <c r="AJ22" s="14" t="n">
        <v>0.06992091074959245</v>
      </c>
      <c r="AK22" s="14" t="n"/>
      <c r="AL22" s="14" t="n"/>
      <c r="AM22" s="14" t="n"/>
      <c r="AN22" s="14" t="inlineStr">
        <is>
          <t>EVALUATED</t>
        </is>
      </c>
      <c r="AO22" s="14" t="inlineStr">
        <is>
          <t>GIVING_VALIDATED_EDGE;BUCKET_PRIOR_ONLY;INTENT_INTERPRETATION_ONLY;EXPERT_MARKET</t>
        </is>
      </c>
      <c r="AP22" s="14" t="inlineStr">
        <is>
          <t>9f4aef9b3974c29eee28</t>
        </is>
      </c>
      <c r="AQ22" s="14" t="n">
        <v>-1.75</v>
      </c>
      <c r="AR22" s="14" t="n">
        <v>1.09</v>
      </c>
      <c r="AS22" s="14" t="n">
        <v>-1.75</v>
      </c>
      <c r="AT22" s="14" t="n">
        <v>1.75</v>
      </c>
      <c r="AU22" s="14" t="n">
        <v>1.09</v>
      </c>
      <c r="AV22" s="14" t="n">
        <v>0.73</v>
      </c>
      <c r="AW22" s="14" t="inlineStr">
        <is>
          <t>2026-09-30T19:41:37.302854+08:00</t>
        </is>
      </c>
      <c r="AX22" s="14" t="inlineStr">
        <is>
          <t>Titan007 snapshot</t>
        </is>
      </c>
      <c r="AY22" s="14" t="inlineStr">
        <is>
          <t>V4 Shadow Only；real_money=false；新增冻结记录</t>
        </is>
      </c>
    </row>
    <row r="23" ht="22" customHeight="1" s="39">
      <c r="A23" s="14" t="inlineStr">
        <is>
          <t>2026-09-30</t>
        </is>
      </c>
      <c r="B23" s="14" t="inlineStr">
        <is>
          <t>2026-10-01 09:00:00</t>
        </is>
      </c>
      <c r="C23" s="14" t="inlineStr">
        <is>
          <t>CLUB_LEAGUE</t>
        </is>
      </c>
      <c r="D23" s="14" t="inlineStr">
        <is>
          <t>联赛</t>
        </is>
      </c>
      <c r="E23" s="14" t="inlineStr">
        <is>
          <t>哥伦甲秋</t>
        </is>
      </c>
      <c r="F23" s="14" t="inlineStr">
        <is>
          <t>国民竞技 vs 巴兰基亚青年</t>
        </is>
      </c>
      <c r="G23" s="26" t="n">
        <v>0.99</v>
      </c>
      <c r="H23" s="26" t="n">
        <v>-1</v>
      </c>
      <c r="I23" s="26" t="n">
        <v>0.89</v>
      </c>
      <c r="J23" s="26" t="inlineStr">
        <is>
          <t>0.99/-1.0/0.89</t>
        </is>
      </c>
      <c r="K23" s="14" t="inlineStr">
        <is>
          <t>V4-B｜EV 0.08629180566819</t>
        </is>
      </c>
      <c r="L23" s="14" t="inlineStr">
        <is>
          <t>国民竞技</t>
        </is>
      </c>
      <c r="M23" s="47" t="n">
        <v>0.4497636841280356</v>
      </c>
      <c r="N23" s="14" t="inlineStr">
        <is>
          <t>V4纸面入选-B</t>
        </is>
      </c>
      <c r="O23" s="14" t="inlineStr">
        <is>
          <t>3-1</t>
        </is>
      </c>
      <c r="P23" s="14" t="inlineStr">
        <is>
          <t>已结算</t>
        </is>
      </c>
      <c r="Q23" s="14" t="inlineStr">
        <is>
          <t>红半</t>
        </is>
      </c>
      <c r="R23" s="48" t="n">
        <v>0.85</v>
      </c>
      <c r="S23" s="48" t="n">
        <v>0.425</v>
      </c>
      <c r="T23" s="14" t="inlineStr">
        <is>
          <t>D:\codex\v3_legacy\outputs\football_odds_trader\raw\titan007\20261002\20261002_081559_titan007_odds_snapshot.csv</t>
        </is>
      </c>
      <c r="U23" s="14">
        <f>IF(Q23="","",IF(Q23="待结算","待结算",IF(Q23="红","黑",IF(Q23="半红","半黑",IF(Q23="走","走",IF(Q23="半黑","半红","红"))))))</f>
        <v/>
      </c>
      <c r="V23" s="48">
        <f>IF(OR(U23="",U23="待结算"),"",IF(L23=LEFT(F23,FIND(" vs ",F23)-1),I23,G23))</f>
        <v/>
      </c>
      <c r="W23" s="48">
        <f>IF(OR(U23="",U23="待结算"),"",IF(U23="红",V23,IF(U23="半红",V23*0.5,IF(U23="走",0,IF(U23="半黑",-0.5,-1)))))</f>
        <v/>
      </c>
      <c r="X23" s="14" t="inlineStr">
        <is>
          <t>3011777</t>
        </is>
      </c>
      <c r="Y23" s="14" t="inlineStr">
        <is>
          <t>V4</t>
        </is>
      </c>
      <c r="Z23" s="14" t="inlineStr">
        <is>
          <t>prior-2026-09-30-v1</t>
        </is>
      </c>
      <c r="AA23" s="14" t="inlineStr">
        <is>
          <t>B</t>
        </is>
      </c>
      <c r="AB23" s="14" t="n">
        <v>0.4497636841280356</v>
      </c>
      <c r="AC23" s="14" t="n">
        <v>0</v>
      </c>
      <c r="AD23" s="14" t="n">
        <v>0.2542289900313243</v>
      </c>
      <c r="AE23" s="14" t="n">
        <v>0</v>
      </c>
      <c r="AF23" s="14" t="n">
        <v>0.2960073258406402</v>
      </c>
      <c r="AG23" s="14" t="n">
        <v>0.08629180566819</v>
      </c>
      <c r="AH23" s="14" t="n"/>
      <c r="AI23" s="14" t="n"/>
      <c r="AJ23" s="14" t="n">
        <v>0.08629180566819</v>
      </c>
      <c r="AK23" s="14" t="n"/>
      <c r="AL23" s="14" t="n"/>
      <c r="AM23" s="14" t="n"/>
      <c r="AN23" s="14" t="inlineStr">
        <is>
          <t>EVALUATED</t>
        </is>
      </c>
      <c r="AO23" s="14" t="inlineStr">
        <is>
          <t>GIVING_VALIDATED_EDGE;BUCKET_PRIOR_ONLY;INTENT_INTERPRETATION_ONLY;EXPERT_MARKET</t>
        </is>
      </c>
      <c r="AP23" s="14" t="inlineStr">
        <is>
          <t>f3ac758b8381b7c5aafb</t>
        </is>
      </c>
      <c r="AQ23" s="14" t="n">
        <v>-1</v>
      </c>
      <c r="AR23" s="14" t="n">
        <v>0.85</v>
      </c>
      <c r="AS23" s="14" t="n">
        <v>-1</v>
      </c>
      <c r="AT23" s="14" t="n">
        <v>1</v>
      </c>
      <c r="AU23" s="14" t="n">
        <v>0.85</v>
      </c>
      <c r="AV23" s="14" t="n">
        <v>1.03</v>
      </c>
      <c r="AW23" s="14" t="inlineStr">
        <is>
          <t>2026-09-30T19:19:53.016037+08:00</t>
        </is>
      </c>
      <c r="AX23" s="14" t="inlineStr">
        <is>
          <t>Titan007 snapshot</t>
        </is>
      </c>
      <c r="AY23" s="14" t="inlineStr">
        <is>
          <t>V4 Shadow Only；real_money=false；新增冻结记录</t>
        </is>
      </c>
    </row>
    <row r="24" ht="22" customHeight="1" s="39">
      <c r="A24" s="14" t="inlineStr">
        <is>
          <t>2026-09-30</t>
        </is>
      </c>
      <c r="B24" s="14" t="inlineStr">
        <is>
          <t>2026-10-01 10:00:00</t>
        </is>
      </c>
      <c r="C24" s="14" t="inlineStr">
        <is>
          <t>CLUB_LEAGUE</t>
        </is>
      </c>
      <c r="D24" s="14" t="inlineStr">
        <is>
          <t>联赛</t>
        </is>
      </c>
      <c r="E24" s="14" t="inlineStr">
        <is>
          <t>美冠联</t>
        </is>
      </c>
      <c r="F24" s="14" t="inlineStr">
        <is>
          <t>萨克拉门托 vs 拉斯维加斯之光</t>
        </is>
      </c>
      <c r="G24" s="26" t="n">
        <v>0.79</v>
      </c>
      <c r="H24" s="26" t="n">
        <v>-0.75</v>
      </c>
      <c r="I24" s="26" t="n">
        <v>1.03</v>
      </c>
      <c r="J24" s="26" t="inlineStr">
        <is>
          <t>0.79/-0.75/1.03</t>
        </is>
      </c>
      <c r="K24" s="14" t="inlineStr">
        <is>
          <t>V4-C｜EV 0.06623776553776262</t>
        </is>
      </c>
      <c r="L24" s="14" t="inlineStr">
        <is>
          <t>萨克拉门托</t>
        </is>
      </c>
      <c r="M24" s="47" t="n">
        <v>0.5070281325657814</v>
      </c>
      <c r="N24" s="14" t="inlineStr">
        <is>
          <t>V4纸面入选-C</t>
        </is>
      </c>
      <c r="O24" s="14" t="inlineStr">
        <is>
          <t>3-2</t>
        </is>
      </c>
      <c r="P24" s="14" t="inlineStr">
        <is>
          <t>已结算</t>
        </is>
      </c>
      <c r="Q24" s="14" t="inlineStr">
        <is>
          <t>红半</t>
        </is>
      </c>
      <c r="R24" s="48" t="n">
        <v>0.85</v>
      </c>
      <c r="S24" s="48" t="n">
        <v>0.425</v>
      </c>
      <c r="T24" s="14" t="inlineStr">
        <is>
          <t>D:\codex\v3_legacy\outputs\football_odds_trader\raw\titan007\20261002\20261002_081559_titan007_odds_snapshot.csv</t>
        </is>
      </c>
      <c r="U24" s="14">
        <f>IF(Q24="","",IF(Q24="待结算","待结算",IF(Q24="红","黑",IF(Q24="半红","半黑",IF(Q24="走","走",IF(Q24="半黑","半红","红"))))))</f>
        <v/>
      </c>
      <c r="V24" s="48">
        <f>IF(OR(U24="",U24="待结算"),"",IF(L24=LEFT(F24,FIND(" vs ",F24)-1),I24,G24))</f>
        <v/>
      </c>
      <c r="W24" s="48">
        <f>IF(OR(U24="",U24="待结算"),"",IF(U24="红",V24,IF(U24="半红",V24*0.5,IF(U24="走",0,IF(U24="半黑",-0.5,-1)))))</f>
        <v/>
      </c>
      <c r="X24" s="14" t="inlineStr">
        <is>
          <t>2942647</t>
        </is>
      </c>
      <c r="Y24" s="14" t="inlineStr">
        <is>
          <t>V4</t>
        </is>
      </c>
      <c r="Z24" s="14" t="inlineStr">
        <is>
          <t>prior-2026-09-30-v1</t>
        </is>
      </c>
      <c r="AA24" s="14" t="inlineStr">
        <is>
          <t>C</t>
        </is>
      </c>
      <c r="AB24" s="14" t="n">
        <v>0.3787924122747143</v>
      </c>
      <c r="AC24" s="14" t="n">
        <v>0.2564714405821342</v>
      </c>
      <c r="AD24" s="14" t="n">
        <v>0</v>
      </c>
      <c r="AE24" s="14" t="n">
        <v>0</v>
      </c>
      <c r="AF24" s="14" t="n">
        <v>0.3647361471431516</v>
      </c>
      <c r="AG24" s="14" t="n">
        <v>0.06623776553776262</v>
      </c>
      <c r="AH24" s="14" t="n"/>
      <c r="AI24" s="14" t="n"/>
      <c r="AJ24" s="14" t="n">
        <v>0.06623776553776262</v>
      </c>
      <c r="AK24" s="14" t="n"/>
      <c r="AL24" s="14" t="n"/>
      <c r="AM24" s="14" t="n"/>
      <c r="AN24" s="14" t="inlineStr">
        <is>
          <t>EVALUATED</t>
        </is>
      </c>
      <c r="AO24" s="14" t="inlineStr">
        <is>
          <t>GIVING_VALIDATED_EDGE;BUCKET_PRIOR_ONLY;INTENT_INTERPRETATION_ONLY;EXPERT_MARKET</t>
        </is>
      </c>
      <c r="AP24" s="14" t="inlineStr">
        <is>
          <t>b2d124bc3e988c399a58</t>
        </is>
      </c>
      <c r="AQ24" s="14" t="n">
        <v>-0.75</v>
      </c>
      <c r="AR24" s="14" t="n">
        <v>0.85</v>
      </c>
      <c r="AS24" s="14" t="n">
        <v>-0.75</v>
      </c>
      <c r="AT24" s="14" t="n">
        <v>0.75</v>
      </c>
      <c r="AU24" s="14" t="n">
        <v>0.85</v>
      </c>
      <c r="AV24" s="14" t="n">
        <v>0.97</v>
      </c>
      <c r="AW24" s="14" t="inlineStr">
        <is>
          <t>2026-09-30T19:19:53.016037+08:00</t>
        </is>
      </c>
      <c r="AX24" s="14" t="inlineStr">
        <is>
          <t>Titan007 snapshot</t>
        </is>
      </c>
      <c r="AY24" s="14" t="inlineStr">
        <is>
          <t>V4 Shadow Only；real_money=false；新增冻结记录</t>
        </is>
      </c>
    </row>
    <row r="25" ht="22" customHeight="1" s="39">
      <c r="A25" s="14" t="inlineStr">
        <is>
          <t>2026-09-30</t>
        </is>
      </c>
      <c r="B25" s="14" t="inlineStr">
        <is>
          <t>2026-09-30 12:00:00</t>
        </is>
      </c>
      <c r="C25" s="14" t="n"/>
      <c r="D25" s="14" t="inlineStr">
        <is>
          <t>杯赛</t>
        </is>
      </c>
      <c r="E25" s="14" t="inlineStr">
        <is>
          <t>首相杯</t>
        </is>
      </c>
      <c r="F25" s="14" t="inlineStr">
        <is>
          <t>巴布亚新几内亚 vs 所罗门群岛</t>
        </is>
      </c>
      <c r="G25" s="26" t="n">
        <v>0.82</v>
      </c>
      <c r="H25" s="26" t="n">
        <v>-0.25</v>
      </c>
      <c r="I25" s="26" t="n">
        <v>1.06</v>
      </c>
      <c r="J25" s="26" t="inlineStr">
        <is>
          <t>0.82/-0.25/1.06</t>
        </is>
      </c>
      <c r="K25" s="14" t="inlineStr">
        <is>
          <t>V4-C｜EV 0.023680555555555594</t>
        </is>
      </c>
      <c r="L25" s="14" t="inlineStr">
        <is>
          <t>所罗门群岛</t>
        </is>
      </c>
      <c r="M25" s="47" t="n">
        <v>0.4236111111111111</v>
      </c>
      <c r="N25" s="14" t="inlineStr">
        <is>
          <t>V4纸面入选-C</t>
        </is>
      </c>
      <c r="O25" s="14" t="inlineStr">
        <is>
          <t>1-1</t>
        </is>
      </c>
      <c r="P25" s="14" t="inlineStr">
        <is>
          <t>已结算</t>
        </is>
      </c>
      <c r="Q25" s="14" t="inlineStr">
        <is>
          <t>半黑</t>
        </is>
      </c>
      <c r="R25" s="48" t="n">
        <v>1.06</v>
      </c>
      <c r="S25" s="48">
        <f>IF(OR(Q25="",Q25="待结算"),"",IF(Q25="红",R25,IF(Q25="半红",R25*0.5,IF(Q25="走",0,IF(Q25="半黑",-0.5,-1)))))</f>
        <v/>
      </c>
      <c r="T25" s="14" t="inlineStr">
        <is>
          <t>D:\codex\v3_legacy\outputs\football_odds_trader\raw\titan007\20261001\20261001_084801_titan007_odds_snapshot.csv</t>
        </is>
      </c>
      <c r="U25" s="14">
        <f>IF(Q25="","",IF(Q25="待结算","待结算",IF(Q25="红","黑",IF(Q25="半红","半黑",IF(Q25="走","走",IF(Q25="半黑","半红","红"))))))</f>
        <v/>
      </c>
      <c r="V25" s="48">
        <f>IF(OR(U25="",U25="待结算"),"",IF(L25=LEFT(F25,FIND(" vs ",F25)-1),I25,G25))</f>
        <v/>
      </c>
      <c r="W25" s="48">
        <f>IF(OR(U25="",U25="待结算"),"",IF(U25="红",V25,IF(U25="半红",V25*0.5,IF(U25="走",0,IF(U25="半黑",-0.5,-1)))))</f>
        <v/>
      </c>
      <c r="X25" s="14" t="inlineStr">
        <is>
          <t>3089773</t>
        </is>
      </c>
      <c r="Y25" s="14" t="inlineStr">
        <is>
          <t>v4-market-dirichlet-20260913</t>
        </is>
      </c>
      <c r="Z25" s="14" t="inlineStr">
        <is>
          <t>prior-2026-09-30-v1</t>
        </is>
      </c>
      <c r="AA25" s="14" t="inlineStr">
        <is>
          <t>C</t>
        </is>
      </c>
      <c r="AB25" s="14" t="n">
        <v>0.4236111111111111</v>
      </c>
      <c r="AC25" s="14" t="n">
        <v>0</v>
      </c>
      <c r="AD25" s="14" t="n">
        <v>0</v>
      </c>
      <c r="AE25" s="14" t="n">
        <v>0.3020833333333333</v>
      </c>
      <c r="AF25" s="14" t="n">
        <v>0.2743055555555556</v>
      </c>
      <c r="AG25" s="14" t="n">
        <v>0.02368055555555559</v>
      </c>
      <c r="AH25" s="14" t="n">
        <v>-0.06505754824288448</v>
      </c>
      <c r="AI25" s="14" t="n">
        <v>-0.0432708439152118</v>
      </c>
      <c r="AJ25" s="14" t="n">
        <v>0.02418878888918685</v>
      </c>
      <c r="AK25" s="14" t="n">
        <v>0.09286235161427958</v>
      </c>
      <c r="AL25" s="14" t="n">
        <v>0.1118259026573979</v>
      </c>
      <c r="AM25" s="14" t="n">
        <v>0.6754</v>
      </c>
      <c r="AN25" s="14" t="inlineStr">
        <is>
          <t>FROZEN_PREMATCH_DECISION</t>
        </is>
      </c>
      <c r="AO25" s="14" t="inlineStr">
        <is>
          <t>STARTED_DECISION_LOCKED</t>
        </is>
      </c>
      <c r="AP25" s="14" t="inlineStr">
        <is>
          <t>ebfb4792fe7eee4dfe70</t>
        </is>
      </c>
      <c r="AQ25" s="14" t="n">
        <v>-0.25</v>
      </c>
      <c r="AR25" s="14" t="n">
        <v>1.06</v>
      </c>
      <c r="AS25" s="14" t="n">
        <v>-0.25</v>
      </c>
      <c r="AT25" s="14" t="n">
        <v>0.25</v>
      </c>
      <c r="AU25" s="14" t="n">
        <v>0.82</v>
      </c>
      <c r="AV25" s="14" t="n">
        <v>1.06</v>
      </c>
      <c r="AW25" s="14" t="inlineStr">
        <is>
          <t>2026-09-30T08:52:03.126682+08:00</t>
        </is>
      </c>
      <c r="AX25" s="14" t="inlineStr">
        <is>
          <t>Titan007 snapshot</t>
        </is>
      </c>
      <c r="AY25" s="14" t="inlineStr">
        <is>
          <t>V4 Shadow Only；real_money=false；新增冻结记录</t>
        </is>
      </c>
    </row>
    <row r="26" ht="22" customHeight="1" s="39">
      <c r="A26" s="14" t="inlineStr">
        <is>
          <t>2026-09-30</t>
        </is>
      </c>
      <c r="B26" s="14" t="inlineStr">
        <is>
          <t>2026-09-30 15:30:00</t>
        </is>
      </c>
      <c r="C26" s="14" t="n"/>
      <c r="D26" s="14" t="inlineStr">
        <is>
          <t>联赛</t>
        </is>
      </c>
      <c r="E26" s="14" t="inlineStr">
        <is>
          <t>球会友谊</t>
        </is>
      </c>
      <c r="F26" s="14" t="inlineStr">
        <is>
          <t>阿格斯 vs 切塔泰迪瓦</t>
        </is>
      </c>
      <c r="G26" s="26" t="n">
        <v>0.82</v>
      </c>
      <c r="H26" s="26" t="n">
        <v>-2.25</v>
      </c>
      <c r="I26" s="26" t="n">
        <v>0.88</v>
      </c>
      <c r="J26" s="26" t="inlineStr">
        <is>
          <t>0.82/-2.25/0.88</t>
        </is>
      </c>
      <c r="K26" s="14" t="inlineStr">
        <is>
          <t>V4-C｜EV 0.02111111111111108</t>
        </is>
      </c>
      <c r="L26" s="14" t="inlineStr">
        <is>
          <t>阿格斯</t>
        </is>
      </c>
      <c r="M26" s="47" t="n">
        <v>0.5</v>
      </c>
      <c r="N26" s="14" t="inlineStr">
        <is>
          <t>V4纸面入选-C</t>
        </is>
      </c>
      <c r="O26" s="14" t="inlineStr">
        <is>
          <t>2-1</t>
        </is>
      </c>
      <c r="P26" s="14" t="inlineStr">
        <is>
          <t>已结算</t>
        </is>
      </c>
      <c r="Q26" s="14" t="inlineStr">
        <is>
          <t>黑</t>
        </is>
      </c>
      <c r="R26" s="48" t="n">
        <v>0.82</v>
      </c>
      <c r="S26" s="48">
        <f>IF(OR(Q26="",Q26="待结算"),"",IF(Q26="红",R26,IF(Q26="半红",R26*0.5,IF(Q26="走",0,IF(Q26="半黑",-0.5,-1)))))</f>
        <v/>
      </c>
      <c r="T26" s="14" t="inlineStr">
        <is>
          <t>D:\codex\v3_legacy\outputs\football_odds_trader\raw\titan007\20261001\20261001_084801_titan007_odds_snapshot.csv</t>
        </is>
      </c>
      <c r="U26" s="14">
        <f>IF(Q26="","",IF(Q26="待结算","待结算",IF(Q26="红","黑",IF(Q26="半红","半黑",IF(Q26="走","走",IF(Q26="半黑","半红","红"))))))</f>
        <v/>
      </c>
      <c r="V26" s="48">
        <f>IF(OR(U26="",U26="待结算"),"",IF(L26=LEFT(F26,FIND(" vs ",F26)-1),I26,G26))</f>
        <v/>
      </c>
      <c r="W26" s="48">
        <f>IF(OR(U26="",U26="待结算"),"",IF(U26="红",V26,IF(U26="半红",V26*0.5,IF(U26="走",0,IF(U26="半黑",-0.5,-1)))))</f>
        <v/>
      </c>
      <c r="X26" s="14" t="inlineStr">
        <is>
          <t>3095434</t>
        </is>
      </c>
      <c r="Y26" s="14" t="inlineStr">
        <is>
          <t>v4-market-dirichlet-20260913</t>
        </is>
      </c>
      <c r="Z26" s="14" t="inlineStr">
        <is>
          <t>prior-2026-09-30-v1</t>
        </is>
      </c>
      <c r="AA26" s="14" t="inlineStr">
        <is>
          <t>C</t>
        </is>
      </c>
      <c r="AB26" s="14" t="n">
        <v>0.5</v>
      </c>
      <c r="AC26" s="14" t="n">
        <v>0</v>
      </c>
      <c r="AD26" s="14" t="n">
        <v>0</v>
      </c>
      <c r="AE26" s="14" t="n">
        <v>0.2222222222222222</v>
      </c>
      <c r="AF26" s="14" t="n">
        <v>0.2777777777777778</v>
      </c>
      <c r="AG26" s="14" t="n">
        <v>0.02111111111111108</v>
      </c>
      <c r="AH26" s="14" t="n">
        <v>-0.2949487417714327</v>
      </c>
      <c r="AI26" s="14" t="n">
        <v>-0.222193562656387</v>
      </c>
      <c r="AJ26" s="14" t="n">
        <v>0.0279519745728081</v>
      </c>
      <c r="AK26" s="14" t="n">
        <v>0.268685845894518</v>
      </c>
      <c r="AL26" s="14" t="n">
        <v>0.3284031771098752</v>
      </c>
      <c r="AM26" s="14" t="n">
        <v>0.5528</v>
      </c>
      <c r="AN26" s="14" t="inlineStr">
        <is>
          <t>FROZEN_PREMATCH_DECISION</t>
        </is>
      </c>
      <c r="AO26" s="14" t="inlineStr">
        <is>
          <t>STARTED_DECISION_LOCKED</t>
        </is>
      </c>
      <c r="AP26" s="14" t="inlineStr">
        <is>
          <t>03b4352718b77178aa9f</t>
        </is>
      </c>
      <c r="AQ26" s="14" t="n">
        <v>-2.25</v>
      </c>
      <c r="AR26" s="14" t="n">
        <v>0.82</v>
      </c>
      <c r="AS26" s="14" t="n">
        <v>-2.25</v>
      </c>
      <c r="AT26" s="14" t="n">
        <v>2.25</v>
      </c>
      <c r="AU26" s="14" t="n">
        <v>0.82</v>
      </c>
      <c r="AV26" s="14" t="n">
        <v>0.88</v>
      </c>
      <c r="AW26" s="14" t="inlineStr">
        <is>
          <t>2026-09-30T15:11:53.632938+08:00</t>
        </is>
      </c>
      <c r="AX26" s="14" t="inlineStr">
        <is>
          <t>Titan007 snapshot</t>
        </is>
      </c>
      <c r="AY26" s="14" t="inlineStr">
        <is>
          <t>V4 Shadow Only；real_money=false；新增冻结记录</t>
        </is>
      </c>
    </row>
    <row r="27" ht="22" customHeight="1" s="39">
      <c r="A27" s="14" t="inlineStr">
        <is>
          <t>2026-09-30</t>
        </is>
      </c>
      <c r="B27" s="14" t="inlineStr">
        <is>
          <t>2026-09-30 17:00:00</t>
        </is>
      </c>
      <c r="C27" s="14" t="inlineStr">
        <is>
          <t>NATIONAL_OFFICIAL</t>
        </is>
      </c>
      <c r="D27" s="14" t="inlineStr">
        <is>
          <t>杯赛</t>
        </is>
      </c>
      <c r="E27" s="14" t="inlineStr">
        <is>
          <t>东盟杯</t>
        </is>
      </c>
      <c r="F27" s="14" t="inlineStr">
        <is>
          <t>东帝汶(中) vs 柬埔寨</t>
        </is>
      </c>
      <c r="G27" s="26" t="n">
        <v>0.99</v>
      </c>
      <c r="H27" s="26" t="n">
        <v>-1.25</v>
      </c>
      <c r="I27" s="26" t="n">
        <v>0.77</v>
      </c>
      <c r="J27" s="26" t="inlineStr">
        <is>
          <t>0.99/-1.25/0.77</t>
        </is>
      </c>
      <c r="K27" s="14" t="inlineStr">
        <is>
          <t>V4-C｜EV 0.05959331455968214</t>
        </is>
      </c>
      <c r="L27" s="14" t="inlineStr">
        <is>
          <t>柬埔寨</t>
        </is>
      </c>
      <c r="M27" s="47" t="n">
        <v>0.5294534794969641</v>
      </c>
      <c r="N27" s="14" t="inlineStr">
        <is>
          <t>V4纸面入选-C</t>
        </is>
      </c>
      <c r="O27" s="14" t="inlineStr">
        <is>
          <t>2-2</t>
        </is>
      </c>
      <c r="P27" s="14" t="inlineStr">
        <is>
          <t>已结算</t>
        </is>
      </c>
      <c r="Q27" s="14" t="inlineStr">
        <is>
          <t>黑</t>
        </is>
      </c>
      <c r="R27" s="48" t="n">
        <v>0.77</v>
      </c>
      <c r="S27" s="48">
        <f>IF(OR(Q27="",Q27="待结算"),"",IF(Q27="红",R27,IF(Q27="半红",R27*0.5,IF(Q27="走",0,IF(Q27="半黑",-0.5,-1)))))</f>
        <v/>
      </c>
      <c r="T27" s="14" t="inlineStr">
        <is>
          <t>D:\codex\v3_legacy\outputs\football_odds_trader\raw\titan007\20261001\20261001_084801_titan007_odds_snapshot.csv</t>
        </is>
      </c>
      <c r="U27" s="14">
        <f>IF(Q27="","",IF(Q27="待结算","待结算",IF(Q27="红","黑",IF(Q27="半红","半黑",IF(Q27="走","走",IF(Q27="半黑","半红","红"))))))</f>
        <v/>
      </c>
      <c r="V27" s="48">
        <f>IF(OR(U27="",U27="待结算"),"",IF(L27=LEFT(F27,FIND(" vs ",F27)-1),I27,G27))</f>
        <v/>
      </c>
      <c r="W27" s="48">
        <f>IF(OR(U27="",U27="待结算"),"",IF(U27="红",V27,IF(U27="半红",V27*0.5,IF(U27="走",0,IF(U27="半黑",-0.5,-1)))))</f>
        <v/>
      </c>
      <c r="X27" s="14" t="inlineStr">
        <is>
          <t>3088956</t>
        </is>
      </c>
      <c r="Y27" s="14" t="inlineStr">
        <is>
          <t>V4</t>
        </is>
      </c>
      <c r="Z27" s="14" t="inlineStr">
        <is>
          <t>prior-2026-09-30-v1</t>
        </is>
      </c>
      <c r="AA27" s="14" t="inlineStr">
        <is>
          <t>C</t>
        </is>
      </c>
      <c r="AB27" s="14" t="n">
        <v>0.5294534794969641</v>
      </c>
      <c r="AC27" s="14" t="n">
        <v>0</v>
      </c>
      <c r="AD27" s="14" t="n">
        <v>0</v>
      </c>
      <c r="AE27" s="14" t="n">
        <v>0.2449213117001115</v>
      </c>
      <c r="AF27" s="14" t="n">
        <v>0.2256252088029244</v>
      </c>
      <c r="AG27" s="14" t="n">
        <v>0.05959331455968214</v>
      </c>
      <c r="AH27" s="14" t="n"/>
      <c r="AI27" s="14" t="n"/>
      <c r="AJ27" s="14" t="n">
        <v>0.05959331455968214</v>
      </c>
      <c r="AK27" s="14" t="n"/>
      <c r="AL27" s="14" t="n"/>
      <c r="AM27" s="14" t="n"/>
      <c r="AN27" s="14" t="inlineStr">
        <is>
          <t>FROZEN_PREMATCH_DECISION</t>
        </is>
      </c>
      <c r="AO27" s="14" t="inlineStr">
        <is>
          <t>STARTED_DECISION_LOCKED</t>
        </is>
      </c>
      <c r="AP27" s="14" t="inlineStr">
        <is>
          <t>b48c8e8637440748cb48</t>
        </is>
      </c>
      <c r="AQ27" s="14" t="n">
        <v>-1.25</v>
      </c>
      <c r="AR27" s="14" t="n">
        <v>0.77</v>
      </c>
      <c r="AS27" s="14" t="n">
        <v>-1.25</v>
      </c>
      <c r="AT27" s="14" t="n">
        <v>1.25</v>
      </c>
      <c r="AU27" s="14" t="n">
        <v>0.77</v>
      </c>
      <c r="AV27" s="14" t="n">
        <v>0.99</v>
      </c>
      <c r="AW27" s="14" t="inlineStr">
        <is>
          <t>2026-09-30T16:37:34.488024+08:00</t>
        </is>
      </c>
      <c r="AX27" s="14" t="inlineStr">
        <is>
          <t>Titan007 snapshot</t>
        </is>
      </c>
      <c r="AY27" s="14" t="inlineStr">
        <is>
          <t>V4 Shadow Only；real_money=false；新增冻结记录</t>
        </is>
      </c>
    </row>
    <row r="28" ht="22" customHeight="1" s="39">
      <c r="A28" s="14" t="inlineStr">
        <is>
          <t>2026-10-01</t>
        </is>
      </c>
      <c r="B28" s="14" t="inlineStr">
        <is>
          <t>2026-10-01 20:30:00</t>
        </is>
      </c>
      <c r="C28" s="14" t="inlineStr">
        <is>
          <t>NATIONAL_OFFICIAL</t>
        </is>
      </c>
      <c r="D28" s="14" t="inlineStr">
        <is>
          <t>杯赛</t>
        </is>
      </c>
      <c r="E28" s="14" t="inlineStr">
        <is>
          <t>东盟杯</t>
        </is>
      </c>
      <c r="F28" s="14" t="inlineStr">
        <is>
          <t>印度尼西亚 vs 孟加拉国</t>
        </is>
      </c>
      <c r="G28" s="26" t="n">
        <v>0.91</v>
      </c>
      <c r="H28" s="26" t="n">
        <v>3.25</v>
      </c>
      <c r="I28" s="26" t="n">
        <v>0.85</v>
      </c>
      <c r="J28" s="26" t="inlineStr">
        <is>
          <t>0.91/3.25/0.85</t>
        </is>
      </c>
      <c r="K28" s="14" t="inlineStr">
        <is>
          <t>V4-B｜EV 0.0707848514389684</t>
        </is>
      </c>
      <c r="L28" s="14" t="inlineStr">
        <is>
          <t>孟加拉国</t>
        </is>
      </c>
      <c r="M28" s="47" t="n">
        <v>0.5194168165224071</v>
      </c>
      <c r="N28" s="14" t="inlineStr">
        <is>
          <t>V4纸面入选-B</t>
        </is>
      </c>
      <c r="O28" s="14" t="inlineStr">
        <is>
          <t>9-2</t>
        </is>
      </c>
      <c r="P28" s="14" t="inlineStr">
        <is>
          <t>已结算</t>
        </is>
      </c>
      <c r="Q28" s="14" t="inlineStr">
        <is>
          <t>黑</t>
        </is>
      </c>
      <c r="R28" s="48" t="n">
        <v>0.85</v>
      </c>
      <c r="S28" s="48">
        <f>IF(OR(Q28="",Q28="待结算"),"",IF(Q28="红",R28,IF(Q28="半红",R28*0.5,IF(Q28="走",0,IF(Q28="半黑",-0.5,-1)))))</f>
        <v/>
      </c>
      <c r="T28" s="14" t="inlineStr">
        <is>
          <t>D:\codex\v3_legacy\outputs\football_odds_trader\raw\titan007\20261002\20261002_081559_titan007_odds_snapshot.csv</t>
        </is>
      </c>
      <c r="U28" s="14">
        <f>IF(Q28="","",IF(Q28="待结算","待结算",IF(Q28="红","黑",IF(Q28="半红","半黑",IF(Q28="走","走",IF(Q28="半黑","半红","红"))))))</f>
        <v/>
      </c>
      <c r="V28" s="48">
        <f>IF(OR(U28="",U28="待结算"),"",IF(L28=LEFT(F28,FIND(" vs ",F28)-1),I28,G28))</f>
        <v/>
      </c>
      <c r="W28" s="48">
        <f>IF(OR(U28="",U28="待结算"),"",IF(U28="红",V28,IF(U28="半红",V28*0.5,IF(U28="走",0,IF(U28="半黑",-0.5,-1)))))</f>
        <v/>
      </c>
      <c r="X28" s="14" t="inlineStr">
        <is>
          <t>3088948</t>
        </is>
      </c>
      <c r="Y28" s="14" t="inlineStr">
        <is>
          <t>V4</t>
        </is>
      </c>
      <c r="Z28" s="14" t="inlineStr">
        <is>
          <t>prior-2026-10-01-v1</t>
        </is>
      </c>
      <c r="AA28" s="14" t="inlineStr">
        <is>
          <t>B</t>
        </is>
      </c>
      <c r="AB28" s="14" t="n">
        <v>0.409553075649892</v>
      </c>
      <c r="AC28" s="14" t="n">
        <v>0.2197274817450304</v>
      </c>
      <c r="AD28" s="14" t="n">
        <v>0</v>
      </c>
      <c r="AE28" s="14" t="n">
        <v>0</v>
      </c>
      <c r="AF28" s="14" t="n">
        <v>0.3707194426050777</v>
      </c>
      <c r="AG28" s="14" t="n">
        <v>0.0707848514389684</v>
      </c>
      <c r="AH28" s="14" t="n"/>
      <c r="AI28" s="14" t="n"/>
      <c r="AJ28" s="14" t="n">
        <v>0.0707848514389684</v>
      </c>
      <c r="AK28" s="14" t="n"/>
      <c r="AL28" s="14" t="n"/>
      <c r="AM28" s="14" t="n"/>
      <c r="AN28" s="14" t="inlineStr">
        <is>
          <t>EVALUATED</t>
        </is>
      </c>
      <c r="AO28" s="14" t="inlineStr">
        <is>
          <t>RECEIVING_VALIDATED_EDGE;BUCKET_PRIOR_ONLY;INTENT_INTERPRETATION_ONLY;EXPERT_MARKET</t>
        </is>
      </c>
      <c r="AP28" s="14" t="inlineStr">
        <is>
          <t>f4750ad58a11865ed75a</t>
        </is>
      </c>
      <c r="AQ28" s="14" t="n">
        <v>3.25</v>
      </c>
      <c r="AR28" s="14" t="n">
        <v>0.85</v>
      </c>
      <c r="AS28" s="14" t="n">
        <v>-3.25</v>
      </c>
      <c r="AT28" s="14" t="n">
        <v>3.25</v>
      </c>
      <c r="AU28" s="14" t="n">
        <v>0.91</v>
      </c>
      <c r="AV28" s="14" t="n">
        <v>0.85</v>
      </c>
      <c r="AW28" s="14" t="inlineStr">
        <is>
          <t>2026-10-01T08:49:13.813903+08:00</t>
        </is>
      </c>
      <c r="AX28" s="14" t="inlineStr">
        <is>
          <t>Titan007 Next</t>
        </is>
      </c>
      <c r="AY28" s="14" t="inlineStr">
        <is>
          <t>V4 Shadow Only；real_money=false；新增冻结记录</t>
        </is>
      </c>
    </row>
    <row r="29" ht="22" customHeight="1" s="39">
      <c r="A29" s="14" t="inlineStr">
        <is>
          <t>2026-10-01</t>
        </is>
      </c>
      <c r="B29" s="14" t="inlineStr">
        <is>
          <t>2026-10-01 20:30:00</t>
        </is>
      </c>
      <c r="C29" s="14" t="inlineStr">
        <is>
          <t>NATIONAL_OFFICIAL</t>
        </is>
      </c>
      <c r="D29" s="14" t="inlineStr">
        <is>
          <t>杯赛</t>
        </is>
      </c>
      <c r="E29" s="14" t="inlineStr">
        <is>
          <t>东盟杯</t>
        </is>
      </c>
      <c r="F29" s="14" t="inlineStr">
        <is>
          <t>马来西亚(中) vs 新加坡</t>
        </is>
      </c>
      <c r="G29" s="26" t="n">
        <v>0.99</v>
      </c>
      <c r="H29" s="26" t="n">
        <v>-1.25</v>
      </c>
      <c r="I29" s="26" t="n">
        <v>0.77</v>
      </c>
      <c r="J29" s="26" t="inlineStr">
        <is>
          <t>0.99/-1.25/0.77</t>
        </is>
      </c>
      <c r="K29" s="14" t="inlineStr">
        <is>
          <t>V4-B｜EV 0.18121988831156496</t>
        </is>
      </c>
      <c r="L29" s="14" t="inlineStr">
        <is>
          <t>马来西亚(中)</t>
        </is>
      </c>
      <c r="M29" s="47" t="n">
        <v>0.5320484660128529</v>
      </c>
      <c r="N29" s="14" t="inlineStr">
        <is>
          <t>V4纸面入选-B</t>
        </is>
      </c>
      <c r="O29" s="14" t="inlineStr">
        <is>
          <t>6-0</t>
        </is>
      </c>
      <c r="P29" s="14" t="inlineStr">
        <is>
          <t>已结算</t>
        </is>
      </c>
      <c r="Q29" s="14" t="inlineStr">
        <is>
          <t>红</t>
        </is>
      </c>
      <c r="R29" s="48" t="n">
        <v>0.99</v>
      </c>
      <c r="S29" s="48">
        <f>IF(OR(Q29="",Q29="待结算"),"",IF(Q29="红",R29,IF(Q29="半红",R29*0.5,IF(Q29="走",0,IF(Q29="半黑",-0.5,-1)))))</f>
        <v/>
      </c>
      <c r="T29" s="14" t="inlineStr">
        <is>
          <t>D:\codex\v3_legacy\outputs\football_odds_trader\raw\titan007\20261002\20261002_081559_titan007_odds_snapshot.csv</t>
        </is>
      </c>
      <c r="U29" s="14">
        <f>IF(Q29="","",IF(Q29="待结算","待结算",IF(Q29="红","黑",IF(Q29="半红","半黑",IF(Q29="走","走",IF(Q29="半黑","半红","红"))))))</f>
        <v/>
      </c>
      <c r="V29" s="48">
        <f>IF(OR(U29="",U29="待结算"),"",IF(L29=LEFT(F29,FIND(" vs ",F29)-1),I29,G29))</f>
        <v/>
      </c>
      <c r="W29" s="48">
        <f>IF(OR(U29="",U29="待结算"),"",IF(U29="红",V29,IF(U29="半红",V29*0.5,IF(U29="走",0,IF(U29="半黑",-0.5,-1)))))</f>
        <v/>
      </c>
      <c r="X29" s="14" t="inlineStr">
        <is>
          <t>3088949</t>
        </is>
      </c>
      <c r="Y29" s="14" t="inlineStr">
        <is>
          <t>V4</t>
        </is>
      </c>
      <c r="Z29" s="14" t="inlineStr">
        <is>
          <t>prior-2026-10-01-v1</t>
        </is>
      </c>
      <c r="AA29" s="14" t="inlineStr">
        <is>
          <t>B</t>
        </is>
      </c>
      <c r="AB29" s="14" t="n">
        <v>0.5320484660128529</v>
      </c>
      <c r="AC29" s="14" t="n">
        <v>0</v>
      </c>
      <c r="AD29" s="14" t="n">
        <v>0</v>
      </c>
      <c r="AE29" s="14" t="n">
        <v>0.2448868818919755</v>
      </c>
      <c r="AF29" s="14" t="n">
        <v>0.2230646520951716</v>
      </c>
      <c r="AG29" s="14" t="n">
        <v>0.181219888311565</v>
      </c>
      <c r="AH29" s="14" t="n"/>
      <c r="AI29" s="14" t="n"/>
      <c r="AJ29" s="14" t="n">
        <v>0.181219888311565</v>
      </c>
      <c r="AK29" s="14" t="n"/>
      <c r="AL29" s="14" t="n"/>
      <c r="AM29" s="14" t="n"/>
      <c r="AN29" s="14" t="inlineStr">
        <is>
          <t>EVALUATED</t>
        </is>
      </c>
      <c r="AO29" s="14" t="inlineStr">
        <is>
          <t>GIVING_VALIDATED_EDGE;BUCKET_PRIOR_ONLY;INTENT_INTERPRETATION_ONLY;EXPERT_MARKET</t>
        </is>
      </c>
      <c r="AP29" s="14" t="inlineStr">
        <is>
          <t>75ac0a40a07acc0eb760</t>
        </is>
      </c>
      <c r="AQ29" s="14" t="n">
        <v>-1.25</v>
      </c>
      <c r="AR29" s="14" t="n">
        <v>0.99</v>
      </c>
      <c r="AS29" s="14" t="n">
        <v>-1.25</v>
      </c>
      <c r="AT29" s="14" t="n">
        <v>1.25</v>
      </c>
      <c r="AU29" s="14" t="n">
        <v>0.99</v>
      </c>
      <c r="AV29" s="14" t="n">
        <v>0.77</v>
      </c>
      <c r="AW29" s="14" t="inlineStr">
        <is>
          <t>2026-10-01T08:49:13.813903+08:00</t>
        </is>
      </c>
      <c r="AX29" s="14" t="inlineStr">
        <is>
          <t>Titan007 Next</t>
        </is>
      </c>
      <c r="AY29" s="14" t="inlineStr">
        <is>
          <t>V4 Shadow Only；real_money=false；新增冻结记录</t>
        </is>
      </c>
    </row>
    <row r="30" ht="22" customHeight="1" s="39">
      <c r="A30" s="14" t="inlineStr">
        <is>
          <t>2026-10-01</t>
        </is>
      </c>
      <c r="B30" s="14" t="inlineStr">
        <is>
          <t>2026-10-01 21:15:00</t>
        </is>
      </c>
      <c r="C30" s="14" t="inlineStr">
        <is>
          <t>CLUB_CUP</t>
        </is>
      </c>
      <c r="D30" s="14" t="inlineStr">
        <is>
          <t>杯赛</t>
        </is>
      </c>
      <c r="E30" s="14" t="inlineStr">
        <is>
          <t>阿联酋杯</t>
        </is>
      </c>
      <c r="F30" s="14" t="inlineStr">
        <is>
          <t>沙迦 vs 迪哈夫拉</t>
        </is>
      </c>
      <c r="G30" s="26" t="n">
        <v>0.92</v>
      </c>
      <c r="H30" s="26" t="n">
        <v>-1</v>
      </c>
      <c r="I30" s="26" t="n">
        <v>0.78</v>
      </c>
      <c r="J30" s="26" t="inlineStr">
        <is>
          <t>0.92/-1.0/0.78</t>
        </is>
      </c>
      <c r="K30" s="14" t="inlineStr">
        <is>
          <t>V4-B｜EV 0.10127707020371374</t>
        </is>
      </c>
      <c r="L30" s="14" t="inlineStr">
        <is>
          <t>沙迦</t>
        </is>
      </c>
      <c r="M30" s="47" t="n">
        <v>0.4408397302962805</v>
      </c>
      <c r="N30" s="14" t="inlineStr">
        <is>
          <t>V4纸面入选-B</t>
        </is>
      </c>
      <c r="O30" s="14" t="inlineStr">
        <is>
          <t>2-1</t>
        </is>
      </c>
      <c r="P30" s="14" t="inlineStr">
        <is>
          <t>已结算</t>
        </is>
      </c>
      <c r="Q30" s="14" t="inlineStr">
        <is>
          <t>走</t>
        </is>
      </c>
      <c r="R30" s="48" t="n">
        <v>0.92</v>
      </c>
      <c r="S30" s="48">
        <f>IF(OR(Q30="",Q30="待结算"),"",IF(Q30="红",R30,IF(Q30="半红",R30*0.5,IF(Q30="走",0,IF(Q30="半黑",-0.5,-1)))))</f>
        <v/>
      </c>
      <c r="T30" s="14" t="inlineStr">
        <is>
          <t>D:\codex\v3_legacy\outputs\football_odds_trader\raw\titan007\20261002\20261002_081559_titan007_odds_snapshot.csv</t>
        </is>
      </c>
      <c r="U30" s="14">
        <f>IF(Q30="","",IF(Q30="待结算","待结算",IF(Q30="红","黑",IF(Q30="半红","半黑",IF(Q30="走","走",IF(Q30="半黑","半红","红"))))))</f>
        <v/>
      </c>
      <c r="V30" s="48">
        <f>IF(OR(U30="",U30="待结算"),"",IF(L30=LEFT(F30,FIND(" vs ",F30)-1),I30,G30))</f>
        <v/>
      </c>
      <c r="W30" s="48">
        <f>IF(OR(U30="",U30="待结算"),"",IF(U30="红",V30,IF(U30="半红",V30*0.5,IF(U30="走",0,IF(U30="半黑",-0.5,-1)))))</f>
        <v/>
      </c>
      <c r="X30" s="14" t="inlineStr">
        <is>
          <t>3084332</t>
        </is>
      </c>
      <c r="Y30" s="14" t="inlineStr">
        <is>
          <t>V4</t>
        </is>
      </c>
      <c r="Z30" s="14" t="inlineStr">
        <is>
          <t>prior-2026-10-01-v1</t>
        </is>
      </c>
      <c r="AA30" s="14" t="inlineStr">
        <is>
          <t>B</t>
        </is>
      </c>
      <c r="AB30" s="14" t="n">
        <v>0.4408397302962805</v>
      </c>
      <c r="AC30" s="14" t="n">
        <v>0</v>
      </c>
      <c r="AD30" s="14" t="n">
        <v>0.2548647880348552</v>
      </c>
      <c r="AE30" s="14" t="n">
        <v>0</v>
      </c>
      <c r="AF30" s="14" t="n">
        <v>0.3042954816688643</v>
      </c>
      <c r="AG30" s="14" t="n">
        <v>0.1012770702037137</v>
      </c>
      <c r="AH30" s="14" t="n"/>
      <c r="AI30" s="14" t="n"/>
      <c r="AJ30" s="14" t="n">
        <v>0.1012770702037137</v>
      </c>
      <c r="AK30" s="14" t="n"/>
      <c r="AL30" s="14" t="n"/>
      <c r="AM30" s="14" t="n"/>
      <c r="AN30" s="14" t="inlineStr">
        <is>
          <t>EVALUATED</t>
        </is>
      </c>
      <c r="AO30" s="14" t="inlineStr">
        <is>
          <t>GIVING_VALIDATED_EDGE;BUCKET_PRIOR_ONLY;INTENT_INTERPRETATION_ONLY;EXPERT_MARKET</t>
        </is>
      </c>
      <c r="AP30" s="14" t="inlineStr">
        <is>
          <t>e22df59d6561c3323ac0</t>
        </is>
      </c>
      <c r="AQ30" s="14" t="n">
        <v>-1</v>
      </c>
      <c r="AR30" s="14" t="n">
        <v>0.92</v>
      </c>
      <c r="AS30" s="14" t="n">
        <v>-1</v>
      </c>
      <c r="AT30" s="14" t="n">
        <v>1</v>
      </c>
      <c r="AU30" s="14" t="n">
        <v>0.92</v>
      </c>
      <c r="AV30" s="14" t="n">
        <v>0.78</v>
      </c>
      <c r="AW30" s="14" t="inlineStr">
        <is>
          <t>2026-10-01T08:49:13.813903+08:00</t>
        </is>
      </c>
      <c r="AX30" s="14" t="inlineStr">
        <is>
          <t>Titan007 Next</t>
        </is>
      </c>
      <c r="AY30" s="14" t="inlineStr">
        <is>
          <t>V4 Shadow Only；real_money=false；新增冻结记录</t>
        </is>
      </c>
    </row>
    <row r="31" ht="22" customHeight="1" s="39">
      <c r="A31" s="14" t="inlineStr">
        <is>
          <t>2026-10-01</t>
        </is>
      </c>
      <c r="B31" s="14" t="inlineStr">
        <is>
          <t>2026-10-01 22:00:00</t>
        </is>
      </c>
      <c r="C31" s="14" t="inlineStr">
        <is>
          <t>INTERNATIONAL_FRIENDLY</t>
        </is>
      </c>
      <c r="D31" s="14" t="inlineStr">
        <is>
          <t>联赛</t>
        </is>
      </c>
      <c r="E31" s="14" t="inlineStr">
        <is>
          <t>国际友谊</t>
        </is>
      </c>
      <c r="F31" s="14" t="inlineStr">
        <is>
          <t>乌兹别克斯坦 vs 叙利亚</t>
        </is>
      </c>
      <c r="G31" s="26" t="n">
        <v>0.95</v>
      </c>
      <c r="H31" s="26" t="n">
        <v>-1.5</v>
      </c>
      <c r="I31" s="26" t="n">
        <v>0.75</v>
      </c>
      <c r="J31" s="26" t="inlineStr">
        <is>
          <t>0.95/-1.5/0.75</t>
        </is>
      </c>
      <c r="K31" s="14" t="inlineStr">
        <is>
          <t>V4-C｜EV 0.15976019414485498</t>
        </is>
      </c>
      <c r="L31" s="14" t="inlineStr">
        <is>
          <t>乌兹别克斯坦</t>
        </is>
      </c>
      <c r="M31" s="47" t="n">
        <v>0.594748817510182</v>
      </c>
      <c r="N31" s="14" t="inlineStr">
        <is>
          <t>V4纸面入选-C</t>
        </is>
      </c>
      <c r="O31" s="14" t="inlineStr">
        <is>
          <t>4-1</t>
        </is>
      </c>
      <c r="P31" s="14" t="inlineStr">
        <is>
          <t>已结算</t>
        </is>
      </c>
      <c r="Q31" s="14" t="inlineStr">
        <is>
          <t>红</t>
        </is>
      </c>
      <c r="R31" s="48" t="n">
        <v>0.95</v>
      </c>
      <c r="S31" s="48">
        <f>IF(OR(Q31="",Q31="待结算"),"",IF(Q31="红",R31,IF(Q31="半红",R31*0.5,IF(Q31="走",0,IF(Q31="半黑",-0.5,-1)))))</f>
        <v/>
      </c>
      <c r="T31" s="14" t="inlineStr">
        <is>
          <t>D:\codex\v3_legacy\outputs\football_odds_trader\raw\titan007\20261002\20261002_081559_titan007_odds_snapshot.csv</t>
        </is>
      </c>
      <c r="U31" s="14">
        <f>IF(Q31="","",IF(Q31="待结算","待结算",IF(Q31="红","黑",IF(Q31="半红","半黑",IF(Q31="走","走",IF(Q31="半黑","半红","红"))))))</f>
        <v/>
      </c>
      <c r="V31" s="48">
        <f>IF(OR(U31="",U31="待结算"),"",IF(L31=LEFT(F31,FIND(" vs ",F31)-1),I31,G31))</f>
        <v/>
      </c>
      <c r="W31" s="48">
        <f>IF(OR(U31="",U31="待结算"),"",IF(U31="红",V31,IF(U31="半红",V31*0.5,IF(U31="走",0,IF(U31="半黑",-0.5,-1)))))</f>
        <v/>
      </c>
      <c r="X31" s="14" t="inlineStr">
        <is>
          <t>3095240</t>
        </is>
      </c>
      <c r="Y31" s="14" t="inlineStr">
        <is>
          <t>V4</t>
        </is>
      </c>
      <c r="Z31" s="14" t="inlineStr">
        <is>
          <t>prior-2026-10-01-v1</t>
        </is>
      </c>
      <c r="AA31" s="14" t="inlineStr">
        <is>
          <t>C</t>
        </is>
      </c>
      <c r="AB31" s="14" t="n">
        <v>0.594748817510182</v>
      </c>
      <c r="AC31" s="14" t="n">
        <v>0</v>
      </c>
      <c r="AD31" s="14" t="n">
        <v>0</v>
      </c>
      <c r="AE31" s="14" t="n">
        <v>0</v>
      </c>
      <c r="AF31" s="14" t="n">
        <v>0.405251182489818</v>
      </c>
      <c r="AG31" s="14" t="n">
        <v>0.159760194144855</v>
      </c>
      <c r="AH31" s="14" t="n"/>
      <c r="AI31" s="14" t="n"/>
      <c r="AJ31" s="14" t="n">
        <v>0.159760194144855</v>
      </c>
      <c r="AK31" s="14" t="n"/>
      <c r="AL31" s="14" t="n"/>
      <c r="AM31" s="14" t="n"/>
      <c r="AN31" s="14" t="inlineStr">
        <is>
          <t>EVALUATED</t>
        </is>
      </c>
      <c r="AO31" s="14" t="inlineStr">
        <is>
          <t>GIVING_VALIDATED_EDGE;BUCKET_PRIOR_ONLY;INTENT_INTERPRETATION_ONLY;EXPERT_MARKET</t>
        </is>
      </c>
      <c r="AP31" s="14" t="inlineStr">
        <is>
          <t>77905c34d7b22989e192</t>
        </is>
      </c>
      <c r="AQ31" s="14" t="n">
        <v>-1.5</v>
      </c>
      <c r="AR31" s="14" t="n">
        <v>0.95</v>
      </c>
      <c r="AS31" s="14" t="n">
        <v>-1.5</v>
      </c>
      <c r="AT31" s="14" t="n">
        <v>1.5</v>
      </c>
      <c r="AU31" s="14" t="n">
        <v>0.95</v>
      </c>
      <c r="AV31" s="14" t="n">
        <v>0.75</v>
      </c>
      <c r="AW31" s="14" t="inlineStr">
        <is>
          <t>2026-10-01T08:49:13.813903+08:00</t>
        </is>
      </c>
      <c r="AX31" s="14" t="inlineStr">
        <is>
          <t>Titan007 Next</t>
        </is>
      </c>
      <c r="AY31" s="14" t="inlineStr">
        <is>
          <t>V4 Shadow Only；real_money=false；新增冻结记录</t>
        </is>
      </c>
    </row>
    <row r="32" ht="22" customHeight="1" s="39">
      <c r="A32" s="14" t="inlineStr">
        <is>
          <t>2026-10-01</t>
        </is>
      </c>
      <c r="B32" s="14" t="inlineStr">
        <is>
          <t>2026-10-02 00:00:00</t>
        </is>
      </c>
      <c r="C32" s="14" t="inlineStr">
        <is>
          <t>NATIONAL_OFFICIAL</t>
        </is>
      </c>
      <c r="D32" s="14" t="inlineStr">
        <is>
          <t>联赛</t>
        </is>
      </c>
      <c r="E32" s="14" t="inlineStr">
        <is>
          <t>欧国联</t>
        </is>
      </c>
      <c r="F32" s="14" t="inlineStr">
        <is>
          <t>阿塞拜疆 vs 列支敦士登</t>
        </is>
      </c>
      <c r="G32" s="26" t="n">
        <v>1.04</v>
      </c>
      <c r="H32" s="26" t="n">
        <v>-2.25</v>
      </c>
      <c r="I32" s="26" t="n">
        <v>0.84</v>
      </c>
      <c r="J32" s="26" t="inlineStr">
        <is>
          <t>1.04/-2.25/0.84</t>
        </is>
      </c>
      <c r="K32" s="14" t="inlineStr">
        <is>
          <t>V4-B｜EV 0.2362673131424695</t>
        </is>
      </c>
      <c r="L32" s="14" t="inlineStr">
        <is>
          <t>阿塞拜疆</t>
        </is>
      </c>
      <c r="M32" s="47" t="n">
        <v>0.5504856330551565</v>
      </c>
      <c r="N32" s="14" t="inlineStr">
        <is>
          <t>V4纸面入选-B</t>
        </is>
      </c>
      <c r="O32" s="14" t="inlineStr">
        <is>
          <t>0-0</t>
        </is>
      </c>
      <c r="P32" s="14" t="inlineStr">
        <is>
          <t>已结算</t>
        </is>
      </c>
      <c r="Q32" s="14" t="inlineStr">
        <is>
          <t>黑</t>
        </is>
      </c>
      <c r="R32" s="48" t="n">
        <v>1.04</v>
      </c>
      <c r="S32" s="48">
        <f>IF(OR(Q32="",Q32="待结算"),"",IF(Q32="红",R32,IF(Q32="半红",R32*0.5,IF(Q32="走",0,IF(Q32="半黑",-0.5,-1)))))</f>
        <v/>
      </c>
      <c r="T32" s="14" t="inlineStr">
        <is>
          <t>D:\codex\v3_legacy\outputs\football_odds_trader\raw\titan007\20261002\20261002_081559_titan007_odds_snapshot.csv</t>
        </is>
      </c>
      <c r="U32" s="14">
        <f>IF(Q32="","",IF(Q32="待结算","待结算",IF(Q32="红","黑",IF(Q32="半红","半黑",IF(Q32="走","走",IF(Q32="半黑","半红","红"))))))</f>
        <v/>
      </c>
      <c r="V32" s="48">
        <f>IF(OR(U32="",U32="待结算"),"",IF(L32=LEFT(F32,FIND(" vs ",F32)-1),I32,G32))</f>
        <v/>
      </c>
      <c r="W32" s="48">
        <f>IF(OR(U32="",U32="待结算"),"",IF(U32="红",V32,IF(U32="半红",V32*0.5,IF(U32="走",0,IF(U32="半黑",-0.5,-1)))))</f>
        <v/>
      </c>
      <c r="X32" s="14" t="inlineStr">
        <is>
          <t>2981575</t>
        </is>
      </c>
      <c r="Y32" s="14" t="inlineStr">
        <is>
          <t>V4</t>
        </is>
      </c>
      <c r="Z32" s="14" t="inlineStr">
        <is>
          <t>prior-2026-10-01-v1</t>
        </is>
      </c>
      <c r="AA32" s="14" t="inlineStr">
        <is>
          <t>B</t>
        </is>
      </c>
      <c r="AB32" s="14" t="n">
        <v>0.5504856330551565</v>
      </c>
      <c r="AC32" s="14" t="n">
        <v>0</v>
      </c>
      <c r="AD32" s="14" t="n">
        <v>0</v>
      </c>
      <c r="AE32" s="14" t="n">
        <v>0.2265532434199005</v>
      </c>
      <c r="AF32" s="14" t="n">
        <v>0.222961123524943</v>
      </c>
      <c r="AG32" s="14" t="n">
        <v>0.2362673131424695</v>
      </c>
      <c r="AH32" s="14" t="n"/>
      <c r="AI32" s="14" t="n"/>
      <c r="AJ32" s="14" t="n">
        <v>0.2362673131424695</v>
      </c>
      <c r="AK32" s="14" t="n"/>
      <c r="AL32" s="14" t="n"/>
      <c r="AM32" s="14" t="n"/>
      <c r="AN32" s="14" t="inlineStr">
        <is>
          <t>EVALUATED</t>
        </is>
      </c>
      <c r="AO32" s="14" t="inlineStr">
        <is>
          <t>GIVING_VALIDATED_EDGE;BUCKET_PRIOR_ONLY;INTENT_INTERPRETATION_ONLY;EXPERT_MARKET</t>
        </is>
      </c>
      <c r="AP32" s="14" t="inlineStr">
        <is>
          <t>37612b291732b58e1591</t>
        </is>
      </c>
      <c r="AQ32" s="14" t="n">
        <v>-2.25</v>
      </c>
      <c r="AR32" s="14" t="n">
        <v>1.04</v>
      </c>
      <c r="AS32" s="14" t="n">
        <v>-2.25</v>
      </c>
      <c r="AT32" s="14" t="n">
        <v>2.25</v>
      </c>
      <c r="AU32" s="14" t="n">
        <v>1.04</v>
      </c>
      <c r="AV32" s="14" t="n">
        <v>0.84</v>
      </c>
      <c r="AW32" s="14" t="inlineStr">
        <is>
          <t>2026-10-01T08:49:13.813903+08:00</t>
        </is>
      </c>
      <c r="AX32" s="14" t="inlineStr">
        <is>
          <t>Titan007 Next</t>
        </is>
      </c>
      <c r="AY32" s="14" t="inlineStr">
        <is>
          <t>V4 Shadow Only；real_money=false；新增冻结记录</t>
        </is>
      </c>
    </row>
    <row r="33" ht="22" customHeight="1" s="39">
      <c r="A33" s="14" t="inlineStr">
        <is>
          <t>2026-10-01</t>
        </is>
      </c>
      <c r="B33" s="14" t="inlineStr">
        <is>
          <t>2026-10-02 00:00:00</t>
        </is>
      </c>
      <c r="C33" s="14" t="inlineStr">
        <is>
          <t>NATIONAL_OFFICIAL</t>
        </is>
      </c>
      <c r="D33" s="14" t="inlineStr">
        <is>
          <t>杯赛</t>
        </is>
      </c>
      <c r="E33" s="14" t="inlineStr">
        <is>
          <t>非洲杯</t>
        </is>
      </c>
      <c r="F33" s="14" t="inlineStr">
        <is>
          <t>几内亚 vs 肯尼亚</t>
        </is>
      </c>
      <c r="G33" s="26" t="n">
        <v>0.78</v>
      </c>
      <c r="H33" s="26" t="n">
        <v>-0.75</v>
      </c>
      <c r="I33" s="26" t="n">
        <v>0.92</v>
      </c>
      <c r="J33" s="26" t="inlineStr">
        <is>
          <t>0.78/-0.75/0.92</t>
        </is>
      </c>
      <c r="K33" s="14" t="inlineStr">
        <is>
          <t>V4-B｜EV 0.11463553470069238</t>
        </is>
      </c>
      <c r="L33" s="14" t="inlineStr">
        <is>
          <t>几内亚</t>
        </is>
      </c>
      <c r="M33" s="47" t="n">
        <v>0.5534801899405649</v>
      </c>
      <c r="N33" s="14" t="inlineStr">
        <is>
          <t>V4纸面入选-B</t>
        </is>
      </c>
      <c r="O33" s="14" t="inlineStr">
        <is>
          <t>1-0</t>
        </is>
      </c>
      <c r="P33" s="14" t="inlineStr">
        <is>
          <t>已结算</t>
        </is>
      </c>
      <c r="Q33" s="14" t="inlineStr">
        <is>
          <t>半红</t>
        </is>
      </c>
      <c r="R33" s="48" t="n">
        <v>0.78</v>
      </c>
      <c r="S33" s="48">
        <f>IF(OR(Q33="",Q33="待结算"),"",IF(Q33="红",R33,IF(Q33="半红",R33*0.5,IF(Q33="走",0,IF(Q33="半黑",-0.5,-1)))))</f>
        <v/>
      </c>
      <c r="T33" s="14" t="inlineStr">
        <is>
          <t>D:\codex\v3_legacy\outputs\football_odds_trader\raw\titan007\20261002\20261002_081559_titan007_odds_snapshot.csv</t>
        </is>
      </c>
      <c r="U33" s="14">
        <f>IF(Q33="","",IF(Q33="待结算","待结算",IF(Q33="红","黑",IF(Q33="半红","半黑",IF(Q33="走","走",IF(Q33="半黑","半红","红"))))))</f>
        <v/>
      </c>
      <c r="V33" s="48">
        <f>IF(OR(U33="",U33="待结算"),"",IF(L33=LEFT(F33,FIND(" vs ",F33)-1),I33,G33))</f>
        <v/>
      </c>
      <c r="W33" s="48">
        <f>IF(OR(U33="",U33="待结算"),"",IF(U33="红",V33,IF(U33="半红",V33*0.5,IF(U33="走",0,IF(U33="半黑",-0.5,-1)))))</f>
        <v/>
      </c>
      <c r="X33" s="14" t="inlineStr">
        <is>
          <t>3001035</t>
        </is>
      </c>
      <c r="Y33" s="14" t="inlineStr">
        <is>
          <t>V4</t>
        </is>
      </c>
      <c r="Z33" s="14" t="inlineStr">
        <is>
          <t>prior-2026-10-01-v1</t>
        </is>
      </c>
      <c r="AA33" s="14" t="inlineStr">
        <is>
          <t>B</t>
        </is>
      </c>
      <c r="AB33" s="14" t="n">
        <v>0.424039393334078</v>
      </c>
      <c r="AC33" s="14" t="n">
        <v>0.2588815932129737</v>
      </c>
      <c r="AD33" s="14" t="n">
        <v>0</v>
      </c>
      <c r="AE33" s="14" t="n">
        <v>0</v>
      </c>
      <c r="AF33" s="14" t="n">
        <v>0.3170790134529483</v>
      </c>
      <c r="AG33" s="14" t="n">
        <v>0.1146355347006924</v>
      </c>
      <c r="AH33" s="14" t="n"/>
      <c r="AI33" s="14" t="n"/>
      <c r="AJ33" s="14" t="n">
        <v>0.1146355347006924</v>
      </c>
      <c r="AK33" s="14" t="n"/>
      <c r="AL33" s="14" t="n"/>
      <c r="AM33" s="14" t="n"/>
      <c r="AN33" s="14" t="inlineStr">
        <is>
          <t>EVALUATED</t>
        </is>
      </c>
      <c r="AO33" s="14" t="inlineStr">
        <is>
          <t>GIVING_VALIDATED_EDGE;BUCKET_PRIOR_ONLY;INTENT_INTERPRETATION_ONLY;EXPERT_MARKET</t>
        </is>
      </c>
      <c r="AP33" s="14" t="inlineStr">
        <is>
          <t>695a490673a8652d5088</t>
        </is>
      </c>
      <c r="AQ33" s="14" t="n">
        <v>-0.75</v>
      </c>
      <c r="AR33" s="14" t="n">
        <v>0.78</v>
      </c>
      <c r="AS33" s="14" t="n">
        <v>-0.75</v>
      </c>
      <c r="AT33" s="14" t="n">
        <v>0.75</v>
      </c>
      <c r="AU33" s="14" t="n">
        <v>0.78</v>
      </c>
      <c r="AV33" s="14" t="n">
        <v>0.92</v>
      </c>
      <c r="AW33" s="14" t="inlineStr">
        <is>
          <t>2026-10-01T08:49:13.813903+08:00</t>
        </is>
      </c>
      <c r="AX33" s="14" t="inlineStr">
        <is>
          <t>Titan007 Next</t>
        </is>
      </c>
      <c r="AY33" s="14" t="inlineStr">
        <is>
          <t>V4 Shadow Only；real_money=false；新增冻结记录</t>
        </is>
      </c>
    </row>
    <row r="34" ht="22" customHeight="1" s="39">
      <c r="A34" s="14" t="inlineStr">
        <is>
          <t>2026-10-01</t>
        </is>
      </c>
      <c r="B34" s="14" t="inlineStr">
        <is>
          <t>2026-10-02 00:00:00</t>
        </is>
      </c>
      <c r="C34" s="14" t="inlineStr">
        <is>
          <t>CLUB_LEAGUE</t>
        </is>
      </c>
      <c r="D34" s="14" t="inlineStr">
        <is>
          <t>联赛</t>
        </is>
      </c>
      <c r="E34" s="14" t="inlineStr">
        <is>
          <t>以甲</t>
        </is>
      </c>
      <c r="F34" s="14" t="inlineStr">
        <is>
          <t>奇亚亚蒙SC vs 法萨巴夏普尔</t>
        </is>
      </c>
      <c r="G34" s="26" t="n">
        <v>0.84</v>
      </c>
      <c r="H34" s="26" t="n">
        <v>-0.75</v>
      </c>
      <c r="I34" s="26" t="n">
        <v>0.86</v>
      </c>
      <c r="J34" s="26" t="inlineStr">
        <is>
          <t>0.84/-0.75/0.86</t>
        </is>
      </c>
      <c r="K34" s="14" t="inlineStr">
        <is>
          <t>V4-B｜EV 0.07313301204207273</t>
        </is>
      </c>
      <c r="L34" s="14" t="inlineStr">
        <is>
          <t>奇亚亚蒙SC</t>
        </is>
      </c>
      <c r="M34" s="47" t="n">
        <v>0.5138708703288558</v>
      </c>
      <c r="N34" s="14" t="inlineStr">
        <is>
          <t>V4纸面入选-B</t>
        </is>
      </c>
      <c r="O34" s="14" t="inlineStr">
        <is>
          <t>2-0</t>
        </is>
      </c>
      <c r="P34" s="14" t="inlineStr">
        <is>
          <t>已结算</t>
        </is>
      </c>
      <c r="Q34" s="14" t="inlineStr">
        <is>
          <t>红</t>
        </is>
      </c>
      <c r="R34" s="48" t="n">
        <v>0.84</v>
      </c>
      <c r="S34" s="48">
        <f>IF(OR(Q34="",Q34="待结算"),"",IF(Q34="红",R34,IF(Q34="半红",R34*0.5,IF(Q34="走",0,IF(Q34="半黑",-0.5,-1)))))</f>
        <v/>
      </c>
      <c r="T34" s="14" t="inlineStr">
        <is>
          <t>D:\codex\v3_legacy\outputs\football_odds_trader\raw\titan007\20261002\20261002_081559_titan007_odds_snapshot.csv</t>
        </is>
      </c>
      <c r="U34" s="14">
        <f>IF(Q34="","",IF(Q34="待结算","待结算",IF(Q34="红","黑",IF(Q34="半红","半黑",IF(Q34="走","走",IF(Q34="半黑","半红","红"))))))</f>
        <v/>
      </c>
      <c r="V34" s="48">
        <f>IF(OR(U34="",U34="待结算"),"",IF(L34=LEFT(F34,FIND(" vs ",F34)-1),I34,G34))</f>
        <v/>
      </c>
      <c r="W34" s="48">
        <f>IF(OR(U34="",U34="待结算"),"",IF(U34="红",V34,IF(U34="半红",V34*0.5,IF(U34="走",0,IF(U34="半黑",-0.5,-1)))))</f>
        <v/>
      </c>
      <c r="X34" s="14" t="inlineStr">
        <is>
          <t>3001846</t>
        </is>
      </c>
      <c r="Y34" s="14" t="inlineStr">
        <is>
          <t>V4</t>
        </is>
      </c>
      <c r="Z34" s="14" t="inlineStr">
        <is>
          <t>prior-2026-10-01-v1</t>
        </is>
      </c>
      <c r="AA34" s="14" t="inlineStr">
        <is>
          <t>B</t>
        </is>
      </c>
      <c r="AB34" s="14" t="n">
        <v>0.3862602596918776</v>
      </c>
      <c r="AC34" s="14" t="n">
        <v>0.2552212212739564</v>
      </c>
      <c r="AD34" s="14" t="n">
        <v>0</v>
      </c>
      <c r="AE34" s="14" t="n">
        <v>0</v>
      </c>
      <c r="AF34" s="14" t="n">
        <v>0.3585185190341661</v>
      </c>
      <c r="AG34" s="14" t="n">
        <v>0.07313301204207273</v>
      </c>
      <c r="AH34" s="14" t="n"/>
      <c r="AI34" s="14" t="n"/>
      <c r="AJ34" s="14" t="n">
        <v>0.07313301204207273</v>
      </c>
      <c r="AK34" s="14" t="n"/>
      <c r="AL34" s="14" t="n"/>
      <c r="AM34" s="14" t="n"/>
      <c r="AN34" s="14" t="inlineStr">
        <is>
          <t>EVALUATED</t>
        </is>
      </c>
      <c r="AO34" s="14" t="inlineStr">
        <is>
          <t>GIVING_VALIDATED_EDGE;BUCKET_PRIOR_ONLY;INTENT_INTERPRETATION_ONLY;EXPERT_MARKET</t>
        </is>
      </c>
      <c r="AP34" s="14" t="inlineStr">
        <is>
          <t>2a0702445ea137dafcde</t>
        </is>
      </c>
      <c r="AQ34" s="14" t="n">
        <v>-0.75</v>
      </c>
      <c r="AR34" s="14" t="n">
        <v>0.84</v>
      </c>
      <c r="AS34" s="14" t="n">
        <v>-0.75</v>
      </c>
      <c r="AT34" s="14" t="n">
        <v>0.75</v>
      </c>
      <c r="AU34" s="14" t="n">
        <v>0.84</v>
      </c>
      <c r="AV34" s="14" t="n">
        <v>0.86</v>
      </c>
      <c r="AW34" s="14" t="inlineStr">
        <is>
          <t>2026-10-01T08:49:13.813903+08:00</t>
        </is>
      </c>
      <c r="AX34" s="14" t="inlineStr">
        <is>
          <t>Titan007 Next</t>
        </is>
      </c>
      <c r="AY34" s="14" t="inlineStr">
        <is>
          <t>V4 Shadow Only；real_money=false；新增冻结记录</t>
        </is>
      </c>
    </row>
    <row r="35" ht="22" customHeight="1" s="39">
      <c r="A35" s="14" t="inlineStr">
        <is>
          <t>2026-10-01</t>
        </is>
      </c>
      <c r="B35" s="14" t="inlineStr">
        <is>
          <t>2026-10-02 00:00:00</t>
        </is>
      </c>
      <c r="C35" s="14" t="inlineStr">
        <is>
          <t>CLUB_LEAGUE</t>
        </is>
      </c>
      <c r="D35" s="14" t="inlineStr">
        <is>
          <t>联赛</t>
        </is>
      </c>
      <c r="E35" s="14" t="inlineStr">
        <is>
          <t>以甲</t>
        </is>
      </c>
      <c r="F35" s="14" t="inlineStr">
        <is>
          <t>卡比利奥马卡比 vs 阿卡夏普尔</t>
        </is>
      </c>
      <c r="G35" s="26" t="n">
        <v>0.78</v>
      </c>
      <c r="H35" s="26" t="n">
        <v>-0.5</v>
      </c>
      <c r="I35" s="26" t="n">
        <v>0.92</v>
      </c>
      <c r="J35" s="26" t="inlineStr">
        <is>
          <t>0.78/-0.5/0.92</t>
        </is>
      </c>
      <c r="K35" s="14" t="inlineStr">
        <is>
          <t>V4-C｜EV 0.05470675339256814</t>
        </is>
      </c>
      <c r="L35" s="14" t="inlineStr">
        <is>
          <t>卡比利奥马卡比</t>
        </is>
      </c>
      <c r="M35" s="47" t="n">
        <v>0.5925318839284091</v>
      </c>
      <c r="N35" s="14" t="inlineStr">
        <is>
          <t>V4纸面入选-C</t>
        </is>
      </c>
      <c r="O35" s="14" t="inlineStr">
        <is>
          <t>1-0</t>
        </is>
      </c>
      <c r="P35" s="14" t="inlineStr">
        <is>
          <t>已结算</t>
        </is>
      </c>
      <c r="Q35" s="14" t="inlineStr">
        <is>
          <t>红</t>
        </is>
      </c>
      <c r="R35" s="48" t="n">
        <v>0.78</v>
      </c>
      <c r="S35" s="48">
        <f>IF(OR(Q35="",Q35="待结算"),"",IF(Q35="红",R35,IF(Q35="半红",R35*0.5,IF(Q35="走",0,IF(Q35="半黑",-0.5,-1)))))</f>
        <v/>
      </c>
      <c r="T35" s="14" t="inlineStr">
        <is>
          <t>D:\codex\v3_legacy\outputs\football_odds_trader\raw\titan007\20261002\20261002_081559_titan007_odds_snapshot.csv</t>
        </is>
      </c>
      <c r="U35" s="14">
        <f>IF(Q35="","",IF(Q35="待结算","待结算",IF(Q35="红","黑",IF(Q35="半红","半黑",IF(Q35="走","走",IF(Q35="半黑","半红","红"))))))</f>
        <v/>
      </c>
      <c r="V35" s="48">
        <f>IF(OR(U35="",U35="待结算"),"",IF(L35=LEFT(F35,FIND(" vs ",F35)-1),I35,G35))</f>
        <v/>
      </c>
      <c r="W35" s="48">
        <f>IF(OR(U35="",U35="待结算"),"",IF(U35="红",V35,IF(U35="半红",V35*0.5,IF(U35="走",0,IF(U35="半黑",-0.5,-1)))))</f>
        <v/>
      </c>
      <c r="X35" s="14" t="inlineStr">
        <is>
          <t>3001848</t>
        </is>
      </c>
      <c r="Y35" s="14" t="inlineStr">
        <is>
          <t>V4</t>
        </is>
      </c>
      <c r="Z35" s="14" t="inlineStr">
        <is>
          <t>prior-2026-10-01-v1</t>
        </is>
      </c>
      <c r="AA35" s="14" t="inlineStr">
        <is>
          <t>C</t>
        </is>
      </c>
      <c r="AB35" s="14" t="n">
        <v>0.5925318839284091</v>
      </c>
      <c r="AC35" s="14" t="n">
        <v>0</v>
      </c>
      <c r="AD35" s="14" t="n">
        <v>0</v>
      </c>
      <c r="AE35" s="14" t="n">
        <v>0</v>
      </c>
      <c r="AF35" s="14" t="n">
        <v>0.4074681160715909</v>
      </c>
      <c r="AG35" s="14" t="n">
        <v>0.05470675339256814</v>
      </c>
      <c r="AH35" s="14" t="n"/>
      <c r="AI35" s="14" t="n"/>
      <c r="AJ35" s="14" t="n">
        <v>0.05470675339256814</v>
      </c>
      <c r="AK35" s="14" t="n"/>
      <c r="AL35" s="14" t="n"/>
      <c r="AM35" s="14" t="n"/>
      <c r="AN35" s="14" t="inlineStr">
        <is>
          <t>EVALUATED</t>
        </is>
      </c>
      <c r="AO35" s="14" t="inlineStr">
        <is>
          <t>GIVING_VALIDATED_EDGE;BUCKET_PRIOR_ONLY;INTENT_INTERPRETATION_ONLY;EXPERT_MARKET</t>
        </is>
      </c>
      <c r="AP35" s="14" t="inlineStr">
        <is>
          <t>5cb5d17d880403ec37b0</t>
        </is>
      </c>
      <c r="AQ35" s="14" t="n">
        <v>-0.5</v>
      </c>
      <c r="AR35" s="14" t="n">
        <v>0.78</v>
      </c>
      <c r="AS35" s="14" t="n">
        <v>-0.5</v>
      </c>
      <c r="AT35" s="14" t="n">
        <v>0.5</v>
      </c>
      <c r="AU35" s="14" t="n">
        <v>0.78</v>
      </c>
      <c r="AV35" s="14" t="n">
        <v>0.92</v>
      </c>
      <c r="AW35" s="14" t="inlineStr">
        <is>
          <t>2026-10-01T08:49:13.813903+08:00</t>
        </is>
      </c>
      <c r="AX35" s="14" t="inlineStr">
        <is>
          <t>Titan007 Next</t>
        </is>
      </c>
      <c r="AY35" s="14" t="inlineStr">
        <is>
          <t>V4 Shadow Only；real_money=false；新增冻结记录</t>
        </is>
      </c>
    </row>
    <row r="36" ht="22" customHeight="1" s="39">
      <c r="A36" s="14" t="inlineStr">
        <is>
          <t>2026-10-01</t>
        </is>
      </c>
      <c r="B36" s="14" t="inlineStr">
        <is>
          <t>2026-10-02 00:00:00</t>
        </is>
      </c>
      <c r="C36" s="14" t="inlineStr">
        <is>
          <t>CLUB_LEAGUE</t>
        </is>
      </c>
      <c r="D36" s="14" t="inlineStr">
        <is>
          <t>联赛</t>
        </is>
      </c>
      <c r="E36" s="14" t="inlineStr">
        <is>
          <t>以甲</t>
        </is>
      </c>
      <c r="F36" s="14" t="inlineStr">
        <is>
          <t>阿基纳扎力 vs 莫迪恩</t>
        </is>
      </c>
      <c r="G36" s="26" t="n">
        <v>0.96</v>
      </c>
      <c r="H36" s="26" t="n">
        <v>-0.25</v>
      </c>
      <c r="I36" s="26" t="n">
        <v>0.74</v>
      </c>
      <c r="J36" s="26" t="inlineStr">
        <is>
          <t>0.96/-0.25/0.74</t>
        </is>
      </c>
      <c r="K36" s="14" t="inlineStr">
        <is>
          <t>V4-C｜EV 0.05484176447788852</t>
        </is>
      </c>
      <c r="L36" s="14" t="inlineStr">
        <is>
          <t>阿基纳扎力</t>
        </is>
      </c>
      <c r="M36" s="47" t="n">
        <v>0.47282601989534</v>
      </c>
      <c r="N36" s="14" t="inlineStr">
        <is>
          <t>V4纸面入选-C</t>
        </is>
      </c>
      <c r="O36" s="14" t="inlineStr">
        <is>
          <t>1-2</t>
        </is>
      </c>
      <c r="P36" s="14" t="inlineStr">
        <is>
          <t>已结算</t>
        </is>
      </c>
      <c r="Q36" s="14" t="inlineStr">
        <is>
          <t>黑</t>
        </is>
      </c>
      <c r="R36" s="48" t="n">
        <v>0.96</v>
      </c>
      <c r="S36" s="48">
        <f>IF(OR(Q36="",Q36="待结算"),"",IF(Q36="红",R36,IF(Q36="半红",R36*0.5,IF(Q36="走",0,IF(Q36="半黑",-0.5,-1)))))</f>
        <v/>
      </c>
      <c r="T36" s="14" t="inlineStr">
        <is>
          <t>D:\codex\v3_legacy\outputs\football_odds_trader\raw\titan007\20261002\20261002_081559_titan007_odds_snapshot.csv</t>
        </is>
      </c>
      <c r="U36" s="14">
        <f>IF(Q36="","",IF(Q36="待结算","待结算",IF(Q36="红","黑",IF(Q36="半红","半黑",IF(Q36="走","走",IF(Q36="半黑","半红","红"))))))</f>
        <v/>
      </c>
      <c r="V36" s="48">
        <f>IF(OR(U36="",U36="待结算"),"",IF(L36=LEFT(F36,FIND(" vs ",F36)-1),I36,G36))</f>
        <v/>
      </c>
      <c r="W36" s="48">
        <f>IF(OR(U36="",U36="待结算"),"",IF(U36="红",V36,IF(U36="半红",V36*0.5,IF(U36="走",0,IF(U36="半黑",-0.5,-1)))))</f>
        <v/>
      </c>
      <c r="X36" s="14" t="inlineStr">
        <is>
          <t>3001849</t>
        </is>
      </c>
      <c r="Y36" s="14" t="inlineStr">
        <is>
          <t>V4</t>
        </is>
      </c>
      <c r="Z36" s="14" t="inlineStr">
        <is>
          <t>prior-2026-10-01-v1</t>
        </is>
      </c>
      <c r="AA36" s="14" t="inlineStr">
        <is>
          <t>C</t>
        </is>
      </c>
      <c r="AB36" s="14" t="n">
        <v>0.47282601989534</v>
      </c>
      <c r="AC36" s="14" t="n">
        <v>0</v>
      </c>
      <c r="AD36" s="14" t="n">
        <v>0</v>
      </c>
      <c r="AE36" s="14" t="n">
        <v>0.2562055309660444</v>
      </c>
      <c r="AF36" s="14" t="n">
        <v>0.2709684491386156</v>
      </c>
      <c r="AG36" s="14" t="n">
        <v>0.05484176447788852</v>
      </c>
      <c r="AH36" s="14" t="n"/>
      <c r="AI36" s="14" t="n"/>
      <c r="AJ36" s="14" t="n">
        <v>0.05484176447788852</v>
      </c>
      <c r="AK36" s="14" t="n"/>
      <c r="AL36" s="14" t="n"/>
      <c r="AM36" s="14" t="n"/>
      <c r="AN36" s="14" t="inlineStr">
        <is>
          <t>EVALUATED</t>
        </is>
      </c>
      <c r="AO36" s="14" t="inlineStr">
        <is>
          <t>GIVING_VALIDATED_EDGE;BUCKET_PRIOR_ONLY;INTENT_INTERPRETATION_ONLY;EXPERT_MARKET</t>
        </is>
      </c>
      <c r="AP36" s="14" t="inlineStr">
        <is>
          <t>c1bb30b3b4fe8083abad</t>
        </is>
      </c>
      <c r="AQ36" s="14" t="n">
        <v>-0.25</v>
      </c>
      <c r="AR36" s="14" t="n">
        <v>0.96</v>
      </c>
      <c r="AS36" s="14" t="n">
        <v>-0.25</v>
      </c>
      <c r="AT36" s="14" t="n">
        <v>0.25</v>
      </c>
      <c r="AU36" s="14" t="n">
        <v>0.96</v>
      </c>
      <c r="AV36" s="14" t="n">
        <v>0.74</v>
      </c>
      <c r="AW36" s="14" t="inlineStr">
        <is>
          <t>2026-10-01T08:49:13.813903+08:00</t>
        </is>
      </c>
      <c r="AX36" s="14" t="inlineStr">
        <is>
          <t>Titan007 Next</t>
        </is>
      </c>
      <c r="AY36" s="14" t="inlineStr">
        <is>
          <t>V4 Shadow Only；real_money=false；新增冻结记录</t>
        </is>
      </c>
    </row>
    <row r="37" ht="22" customHeight="1" s="39">
      <c r="A37" s="14" t="inlineStr">
        <is>
          <t>2026-10-01</t>
        </is>
      </c>
      <c r="B37" s="14" t="inlineStr">
        <is>
          <t>2026-10-02 00:00:00</t>
        </is>
      </c>
      <c r="C37" s="14" t="inlineStr">
        <is>
          <t>INTERNATIONAL_FRIENDLY</t>
        </is>
      </c>
      <c r="D37" s="14" t="inlineStr">
        <is>
          <t>联赛</t>
        </is>
      </c>
      <c r="E37" s="14" t="inlineStr">
        <is>
          <t>国际友谊</t>
        </is>
      </c>
      <c r="F37" s="14" t="inlineStr">
        <is>
          <t>美国U20 vs 巴西U20</t>
        </is>
      </c>
      <c r="G37" s="26" t="n">
        <v>0.86</v>
      </c>
      <c r="H37" s="26" t="n">
        <v>-0.5</v>
      </c>
      <c r="I37" s="26" t="n">
        <v>0.84</v>
      </c>
      <c r="J37" s="26" t="inlineStr">
        <is>
          <t>0.86/-0.5/0.84</t>
        </is>
      </c>
      <c r="K37" s="14" t="inlineStr">
        <is>
          <t>V4-C｜EV 0.06628121379317997</t>
        </is>
      </c>
      <c r="L37" s="14" t="inlineStr">
        <is>
          <t>巴西U20</t>
        </is>
      </c>
      <c r="M37" s="47" t="n">
        <v>0.5795006596702065</v>
      </c>
      <c r="N37" s="14" t="inlineStr">
        <is>
          <t>V4纸面入选-C</t>
        </is>
      </c>
      <c r="O37" s="14" t="inlineStr">
        <is>
          <t>0-2</t>
        </is>
      </c>
      <c r="P37" s="14" t="inlineStr">
        <is>
          <t>已结算</t>
        </is>
      </c>
      <c r="Q37" s="14" t="inlineStr">
        <is>
          <t>红</t>
        </is>
      </c>
      <c r="R37" s="48" t="n">
        <v>0.84</v>
      </c>
      <c r="S37" s="48">
        <f>IF(OR(Q37="",Q37="待结算"),"",IF(Q37="红",R37,IF(Q37="半红",R37*0.5,IF(Q37="走",0,IF(Q37="半黑",-0.5,-1)))))</f>
        <v/>
      </c>
      <c r="T37" s="14" t="inlineStr">
        <is>
          <t>D:\codex\v3_legacy\outputs\football_odds_trader\raw\titan007\20261002\20261002_081559_titan007_odds_snapshot.csv</t>
        </is>
      </c>
      <c r="U37" s="14">
        <f>IF(Q37="","",IF(Q37="待结算","待结算",IF(Q37="红","黑",IF(Q37="半红","半黑",IF(Q37="走","走",IF(Q37="半黑","半红","红"))))))</f>
        <v/>
      </c>
      <c r="V37" s="48">
        <f>IF(OR(U37="",U37="待结算"),"",IF(L37=LEFT(F37,FIND(" vs ",F37)-1),I37,G37))</f>
        <v/>
      </c>
      <c r="W37" s="48">
        <f>IF(OR(U37="",U37="待结算"),"",IF(U37="红",V37,IF(U37="半红",V37*0.5,IF(U37="走",0,IF(U37="半黑",-0.5,-1)))))</f>
        <v/>
      </c>
      <c r="X37" s="14" t="inlineStr">
        <is>
          <t>3095245</t>
        </is>
      </c>
      <c r="Y37" s="14" t="inlineStr">
        <is>
          <t>V4</t>
        </is>
      </c>
      <c r="Z37" s="14" t="inlineStr">
        <is>
          <t>prior-2026-10-01-v1</t>
        </is>
      </c>
      <c r="AA37" s="14" t="inlineStr">
        <is>
          <t>C</t>
        </is>
      </c>
      <c r="AB37" s="14" t="n">
        <v>0.5795006596702065</v>
      </c>
      <c r="AC37" s="14" t="n">
        <v>0</v>
      </c>
      <c r="AD37" s="14" t="n">
        <v>0</v>
      </c>
      <c r="AE37" s="14" t="n">
        <v>0</v>
      </c>
      <c r="AF37" s="14" t="n">
        <v>0.4204993403297935</v>
      </c>
      <c r="AG37" s="14" t="n">
        <v>0.06628121379317997</v>
      </c>
      <c r="AH37" s="14" t="n"/>
      <c r="AI37" s="14" t="n"/>
      <c r="AJ37" s="14" t="n">
        <v>0.06628121379317997</v>
      </c>
      <c r="AK37" s="14" t="n"/>
      <c r="AL37" s="14" t="n"/>
      <c r="AM37" s="14" t="n"/>
      <c r="AN37" s="14" t="inlineStr">
        <is>
          <t>EVALUATED</t>
        </is>
      </c>
      <c r="AO37" s="14" t="inlineStr">
        <is>
          <t>GIVING_VALIDATED_EDGE;BUCKET_PRIOR_ONLY;INTENT_INTERPRETATION_ONLY;EXPERT_MARKET</t>
        </is>
      </c>
      <c r="AP37" s="14" t="inlineStr">
        <is>
          <t>57bb18558186d5da9f17</t>
        </is>
      </c>
      <c r="AQ37" s="14" t="n">
        <v>-0.5</v>
      </c>
      <c r="AR37" s="14" t="n">
        <v>0.84</v>
      </c>
      <c r="AS37" s="14" t="n">
        <v>-0.5</v>
      </c>
      <c r="AT37" s="14" t="n">
        <v>0.5</v>
      </c>
      <c r="AU37" s="14" t="n">
        <v>0.84</v>
      </c>
      <c r="AV37" s="14" t="n">
        <v>0.86</v>
      </c>
      <c r="AW37" s="14" t="inlineStr">
        <is>
          <t>2026-10-01T08:49:13.813903+08:00</t>
        </is>
      </c>
      <c r="AX37" s="14" t="inlineStr">
        <is>
          <t>Titan007 Next</t>
        </is>
      </c>
      <c r="AY37" s="14" t="inlineStr">
        <is>
          <t>V4 Shadow Only；real_money=false；新增冻结记录</t>
        </is>
      </c>
    </row>
    <row r="38" ht="22" customHeight="1" s="39">
      <c r="A38" s="14" t="inlineStr">
        <is>
          <t>2026-10-01</t>
        </is>
      </c>
      <c r="B38" s="14" t="inlineStr">
        <is>
          <t>2026-10-02 00:45:00</t>
        </is>
      </c>
      <c r="C38" s="14" t="inlineStr">
        <is>
          <t>CLUB_CUP</t>
        </is>
      </c>
      <c r="D38" s="14" t="inlineStr">
        <is>
          <t>杯赛</t>
        </is>
      </c>
      <c r="E38" s="14" t="inlineStr">
        <is>
          <t>欧女杯</t>
        </is>
      </c>
      <c r="F38" s="14" t="inlineStr">
        <is>
          <t>靴尔科治女足 vs 塞尔维特女足</t>
        </is>
      </c>
      <c r="G38" s="26" t="n">
        <v>0.83</v>
      </c>
      <c r="H38" s="26" t="n">
        <v>-1.5</v>
      </c>
      <c r="I38" s="26" t="n">
        <v>0.87</v>
      </c>
      <c r="J38" s="26" t="inlineStr">
        <is>
          <t>0.83/-1.5/0.87</t>
        </is>
      </c>
      <c r="K38" s="14" t="inlineStr">
        <is>
          <t>V4-B｜EV 0.0818952436359886</t>
        </is>
      </c>
      <c r="L38" s="14" t="inlineStr">
        <is>
          <t>靴尔科治女足</t>
        </is>
      </c>
      <c r="M38" s="47" t="n">
        <v>0.5911995866863325</v>
      </c>
      <c r="N38" s="14" t="inlineStr">
        <is>
          <t>V4纸面入选-B</t>
        </is>
      </c>
      <c r="O38" s="14" t="inlineStr">
        <is>
          <t>5-1</t>
        </is>
      </c>
      <c r="P38" s="14" t="inlineStr">
        <is>
          <t>已结算</t>
        </is>
      </c>
      <c r="Q38" s="14" t="inlineStr">
        <is>
          <t>红</t>
        </is>
      </c>
      <c r="R38" s="48" t="n">
        <v>0.83</v>
      </c>
      <c r="S38" s="48">
        <f>IF(OR(Q38="",Q38="待结算"),"",IF(Q38="红",R38,IF(Q38="半红",R38*0.5,IF(Q38="走",0,IF(Q38="半黑",-0.5,-1)))))</f>
        <v/>
      </c>
      <c r="T38" s="14" t="inlineStr">
        <is>
          <t>D:\codex\v3_legacy\outputs\football_odds_trader\raw\titan007\20261002\20261002_081559_titan007_odds_snapshot.csv</t>
        </is>
      </c>
      <c r="U38" s="14">
        <f>IF(Q38="","",IF(Q38="待结算","待结算",IF(Q38="红","黑",IF(Q38="半红","半黑",IF(Q38="走","走",IF(Q38="半黑","半红","红"))))))</f>
        <v/>
      </c>
      <c r="V38" s="48">
        <f>IF(OR(U38="",U38="待结算"),"",IF(L38=LEFT(F38,FIND(" vs ",F38)-1),I38,G38))</f>
        <v/>
      </c>
      <c r="W38" s="48">
        <f>IF(OR(U38="",U38="待结算"),"",IF(U38="红",V38,IF(U38="半红",V38*0.5,IF(U38="走",0,IF(U38="半黑",-0.5,-1)))))</f>
        <v/>
      </c>
      <c r="X38" s="14" t="inlineStr">
        <is>
          <t>3092362</t>
        </is>
      </c>
      <c r="Y38" s="14" t="inlineStr">
        <is>
          <t>V4</t>
        </is>
      </c>
      <c r="Z38" s="14" t="inlineStr">
        <is>
          <t>prior-2026-10-01-v1</t>
        </is>
      </c>
      <c r="AA38" s="14" t="inlineStr">
        <is>
          <t>B</t>
        </is>
      </c>
      <c r="AB38" s="14" t="n">
        <v>0.5911995866863325</v>
      </c>
      <c r="AC38" s="14" t="n">
        <v>0</v>
      </c>
      <c r="AD38" s="14" t="n">
        <v>0</v>
      </c>
      <c r="AE38" s="14" t="n">
        <v>0</v>
      </c>
      <c r="AF38" s="14" t="n">
        <v>0.4088004133136674</v>
      </c>
      <c r="AG38" s="14" t="n">
        <v>0.0818952436359886</v>
      </c>
      <c r="AH38" s="14" t="n"/>
      <c r="AI38" s="14" t="n"/>
      <c r="AJ38" s="14" t="n">
        <v>0.0818952436359886</v>
      </c>
      <c r="AK38" s="14" t="n"/>
      <c r="AL38" s="14" t="n"/>
      <c r="AM38" s="14" t="n"/>
      <c r="AN38" s="14" t="inlineStr">
        <is>
          <t>EVALUATED</t>
        </is>
      </c>
      <c r="AO38" s="14" t="inlineStr">
        <is>
          <t>GIVING_VALIDATED_EDGE;BUCKET_PRIOR_ONLY;INTENT_INTERPRETATION_ONLY;EXPERT_MARKET</t>
        </is>
      </c>
      <c r="AP38" s="14" t="inlineStr">
        <is>
          <t>213747e0d870f2fafa93</t>
        </is>
      </c>
      <c r="AQ38" s="14" t="n">
        <v>-1.5</v>
      </c>
      <c r="AR38" s="14" t="n">
        <v>0.83</v>
      </c>
      <c r="AS38" s="14" t="n">
        <v>-1.5</v>
      </c>
      <c r="AT38" s="14" t="n">
        <v>1.5</v>
      </c>
      <c r="AU38" s="14" t="n">
        <v>0.83</v>
      </c>
      <c r="AV38" s="14" t="n">
        <v>0.87</v>
      </c>
      <c r="AW38" s="14" t="inlineStr">
        <is>
          <t>2026-10-01T08:49:13.813903+08:00</t>
        </is>
      </c>
      <c r="AX38" s="14" t="inlineStr">
        <is>
          <t>Titan007 Next</t>
        </is>
      </c>
      <c r="AY38" s="14" t="inlineStr">
        <is>
          <t>V4 Shadow Only；real_money=false；新增冻结记录</t>
        </is>
      </c>
    </row>
    <row r="39" ht="22" customHeight="1" s="39">
      <c r="A39" s="14" t="inlineStr">
        <is>
          <t>2026-10-01</t>
        </is>
      </c>
      <c r="B39" s="14" t="inlineStr">
        <is>
          <t>2026-10-02 00:45:00</t>
        </is>
      </c>
      <c r="C39" s="14" t="inlineStr">
        <is>
          <t>CLUB_CUP</t>
        </is>
      </c>
      <c r="D39" s="14" t="inlineStr">
        <is>
          <t>杯赛</t>
        </is>
      </c>
      <c r="E39" s="14" t="inlineStr">
        <is>
          <t>欧女杯</t>
        </is>
      </c>
      <c r="F39" s="14" t="inlineStr">
        <is>
          <t>奥地利维也纳女足 vs 国际米兰女足</t>
        </is>
      </c>
      <c r="G39" s="26" t="n">
        <v>0.76</v>
      </c>
      <c r="H39" s="26" t="n">
        <v>-0.75</v>
      </c>
      <c r="I39" s="26" t="n">
        <v>0.9399999999999999</v>
      </c>
      <c r="J39" s="26" t="inlineStr">
        <is>
          <t>0.76/-0.75/0.94</t>
        </is>
      </c>
      <c r="K39" s="14" t="inlineStr">
        <is>
          <t>V4-B｜EV 0.09832255816817714</t>
        </is>
      </c>
      <c r="L39" s="14" t="inlineStr">
        <is>
          <t>国际米兰女足</t>
        </is>
      </c>
      <c r="M39" s="47" t="n">
        <v>0.5003594059204126</v>
      </c>
      <c r="N39" s="14" t="inlineStr">
        <is>
          <t>V4纸面入选-B</t>
        </is>
      </c>
      <c r="O39" s="14" t="inlineStr">
        <is>
          <t>1-1</t>
        </is>
      </c>
      <c r="P39" s="14" t="inlineStr">
        <is>
          <t>已结算</t>
        </is>
      </c>
      <c r="Q39" s="14" t="inlineStr">
        <is>
          <t>黑</t>
        </is>
      </c>
      <c r="R39" s="48" t="n">
        <v>0.9399999999999999</v>
      </c>
      <c r="S39" s="48">
        <f>IF(OR(Q39="",Q39="待结算"),"",IF(Q39="红",R39,IF(Q39="半红",R39*0.5,IF(Q39="走",0,IF(Q39="半黑",-0.5,-1)))))</f>
        <v/>
      </c>
      <c r="T39" s="14" t="inlineStr">
        <is>
          <t>D:\codex\v3_legacy\outputs\football_odds_trader\raw\titan007\20261002\20261002_081559_titan007_odds_snapshot.csv</t>
        </is>
      </c>
      <c r="U39" s="14">
        <f>IF(Q39="","",IF(Q39="待结算","待结算",IF(Q39="红","黑",IF(Q39="半红","半黑",IF(Q39="走","走",IF(Q39="半黑","半红","红"))))))</f>
        <v/>
      </c>
      <c r="V39" s="48">
        <f>IF(OR(U39="",U39="待结算"),"",IF(L39=LEFT(F39,FIND(" vs ",F39)-1),I39,G39))</f>
        <v/>
      </c>
      <c r="W39" s="48">
        <f>IF(OR(U39="",U39="待结算"),"",IF(U39="红",V39,IF(U39="半红",V39*0.5,IF(U39="走",0,IF(U39="半黑",-0.5,-1)))))</f>
        <v/>
      </c>
      <c r="X39" s="14" t="inlineStr">
        <is>
          <t>3092363</t>
        </is>
      </c>
      <c r="Y39" s="14" t="inlineStr">
        <is>
          <t>V4</t>
        </is>
      </c>
      <c r="Z39" s="14" t="inlineStr">
        <is>
          <t>prior-2026-10-01-v1</t>
        </is>
      </c>
      <c r="AA39" s="14" t="inlineStr">
        <is>
          <t>B</t>
        </is>
      </c>
      <c r="AB39" s="14" t="n">
        <v>0.372734095237836</v>
      </c>
      <c r="AC39" s="14" t="n">
        <v>0.2552506213651533</v>
      </c>
      <c r="AD39" s="14" t="n">
        <v>0</v>
      </c>
      <c r="AE39" s="14" t="n">
        <v>0</v>
      </c>
      <c r="AF39" s="14" t="n">
        <v>0.3720152833970107</v>
      </c>
      <c r="AG39" s="14" t="n">
        <v>0.09832255816817714</v>
      </c>
      <c r="AH39" s="14" t="n"/>
      <c r="AI39" s="14" t="n"/>
      <c r="AJ39" s="14" t="n">
        <v>0.09832255816817714</v>
      </c>
      <c r="AK39" s="14" t="n"/>
      <c r="AL39" s="14" t="n"/>
      <c r="AM39" s="14" t="n"/>
      <c r="AN39" s="14" t="inlineStr">
        <is>
          <t>EVALUATED</t>
        </is>
      </c>
      <c r="AO39" s="14" t="inlineStr">
        <is>
          <t>GIVING_VALIDATED_EDGE;BUCKET_PRIOR_ONLY;INTENT_INTERPRETATION_ONLY;EXPERT_MARKET</t>
        </is>
      </c>
      <c r="AP39" s="14" t="inlineStr">
        <is>
          <t>e416ba3f288a24adc8c0</t>
        </is>
      </c>
      <c r="AQ39" s="14" t="n">
        <v>-0.75</v>
      </c>
      <c r="AR39" s="14" t="n">
        <v>0.9399999999999999</v>
      </c>
      <c r="AS39" s="14" t="n">
        <v>-0.75</v>
      </c>
      <c r="AT39" s="14" t="n">
        <v>0.75</v>
      </c>
      <c r="AU39" s="14" t="n">
        <v>0.9399999999999999</v>
      </c>
      <c r="AV39" s="14" t="n">
        <v>0.76</v>
      </c>
      <c r="AW39" s="14" t="inlineStr">
        <is>
          <t>2026-10-01T08:49:13.813903+08:00</t>
        </is>
      </c>
      <c r="AX39" s="14" t="inlineStr">
        <is>
          <t>Titan007 Next</t>
        </is>
      </c>
      <c r="AY39" s="14" t="inlineStr">
        <is>
          <t>V4 Shadow Only；real_money=false；新增冻结记录</t>
        </is>
      </c>
    </row>
    <row r="40" ht="22" customHeight="1" s="39">
      <c r="A40" s="14" t="inlineStr">
        <is>
          <t>2026-10-01</t>
        </is>
      </c>
      <c r="B40" s="14" t="inlineStr">
        <is>
          <t>2026-10-02 01:00:00</t>
        </is>
      </c>
      <c r="C40" s="14" t="inlineStr">
        <is>
          <t>NATIONAL_YOUTH</t>
        </is>
      </c>
      <c r="D40" s="14" t="inlineStr">
        <is>
          <t>联赛</t>
        </is>
      </c>
      <c r="E40" s="14" t="inlineStr">
        <is>
          <t>欧青U21外</t>
        </is>
      </c>
      <c r="F40" s="14" t="inlineStr">
        <is>
          <t>匈牙利U21 vs 立陶宛U21</t>
        </is>
      </c>
      <c r="G40" s="26" t="n">
        <v>1.02</v>
      </c>
      <c r="H40" s="26" t="n">
        <v>-1.25</v>
      </c>
      <c r="I40" s="26" t="n">
        <v>0.8</v>
      </c>
      <c r="J40" s="26" t="inlineStr">
        <is>
          <t>1.02/-1.25/0.8</t>
        </is>
      </c>
      <c r="K40" s="14" t="inlineStr">
        <is>
          <t>V4-C｜EV 0.11570792165289534</t>
        </is>
      </c>
      <c r="L40" s="14" t="inlineStr">
        <is>
          <t>匈牙利U21</t>
        </is>
      </c>
      <c r="M40" s="47" t="n">
        <v>0.490181776986937</v>
      </c>
      <c r="N40" s="14" t="inlineStr">
        <is>
          <t>V4纸面入选-C</t>
        </is>
      </c>
      <c r="O40" s="14" t="inlineStr">
        <is>
          <t>2-1</t>
        </is>
      </c>
      <c r="P40" s="14" t="inlineStr">
        <is>
          <t>已结算</t>
        </is>
      </c>
      <c r="Q40" s="14" t="inlineStr">
        <is>
          <t>半黑</t>
        </is>
      </c>
      <c r="R40" s="48" t="n">
        <v>1.02</v>
      </c>
      <c r="S40" s="48">
        <f>IF(OR(Q40="",Q40="待结算"),"",IF(Q40="红",R40,IF(Q40="半红",R40*0.5,IF(Q40="走",0,IF(Q40="半黑",-0.5,-1)))))</f>
        <v/>
      </c>
      <c r="T40" s="14" t="inlineStr">
        <is>
          <t>D:\codex\v3_legacy\outputs\football_odds_trader\raw\titan007\20261002\20261002_081559_titan007_odds_snapshot.csv</t>
        </is>
      </c>
      <c r="U40" s="14">
        <f>IF(Q40="","",IF(Q40="待结算","待结算",IF(Q40="红","黑",IF(Q40="半红","半黑",IF(Q40="走","走",IF(Q40="半黑","半红","红"))))))</f>
        <v/>
      </c>
      <c r="V40" s="48">
        <f>IF(OR(U40="",U40="待结算"),"",IF(L40=LEFT(F40,FIND(" vs ",F40)-1),I40,G40))</f>
        <v/>
      </c>
      <c r="W40" s="48">
        <f>IF(OR(U40="",U40="待结算"),"",IF(U40="红",V40,IF(U40="半红",V40*0.5,IF(U40="走",0,IF(U40="半黑",-0.5,-1)))))</f>
        <v/>
      </c>
      <c r="X40" s="14" t="inlineStr">
        <is>
          <t>2781387</t>
        </is>
      </c>
      <c r="Y40" s="14" t="inlineStr">
        <is>
          <t>V4</t>
        </is>
      </c>
      <c r="Z40" s="14" t="inlineStr">
        <is>
          <t>prior-2026-10-01-v1</t>
        </is>
      </c>
      <c r="AA40" s="14" t="inlineStr">
        <is>
          <t>C</t>
        </is>
      </c>
      <c r="AB40" s="14" t="n">
        <v>0.490181776986937</v>
      </c>
      <c r="AC40" s="14" t="n">
        <v>0</v>
      </c>
      <c r="AD40" s="14" t="n">
        <v>0</v>
      </c>
      <c r="AE40" s="14" t="n">
        <v>0.2510814642785651</v>
      </c>
      <c r="AF40" s="14" t="n">
        <v>0.2587367587344979</v>
      </c>
      <c r="AG40" s="14" t="n">
        <v>0.1157079216528953</v>
      </c>
      <c r="AH40" s="14" t="n"/>
      <c r="AI40" s="14" t="n"/>
      <c r="AJ40" s="14" t="n">
        <v>0.1157079216528953</v>
      </c>
      <c r="AK40" s="14" t="n"/>
      <c r="AL40" s="14" t="n"/>
      <c r="AM40" s="14" t="n"/>
      <c r="AN40" s="14" t="inlineStr">
        <is>
          <t>EVALUATED</t>
        </is>
      </c>
      <c r="AO40" s="14" t="inlineStr">
        <is>
          <t>GIVING_VALIDATED_EDGE;BUCKET_PRIOR_ONLY;INTENT_INTERPRETATION_ONLY;EXPERT_MARKET</t>
        </is>
      </c>
      <c r="AP40" s="14" t="inlineStr">
        <is>
          <t>491938d9658a5892b4d3</t>
        </is>
      </c>
      <c r="AQ40" s="14" t="n">
        <v>-1.25</v>
      </c>
      <c r="AR40" s="14" t="n">
        <v>1.02</v>
      </c>
      <c r="AS40" s="14" t="n">
        <v>-1.25</v>
      </c>
      <c r="AT40" s="14" t="n">
        <v>1.25</v>
      </c>
      <c r="AU40" s="14" t="n">
        <v>1.02</v>
      </c>
      <c r="AV40" s="14" t="n">
        <v>0.8</v>
      </c>
      <c r="AW40" s="14" t="inlineStr">
        <is>
          <t>2026-10-01T08:49:13.813903+08:00</t>
        </is>
      </c>
      <c r="AX40" s="14" t="inlineStr">
        <is>
          <t>Titan007 Next</t>
        </is>
      </c>
      <c r="AY40" s="14" t="inlineStr">
        <is>
          <t>V4 Shadow Only；real_money=false；新增冻结记录</t>
        </is>
      </c>
    </row>
    <row r="41" ht="22" customHeight="1" s="39">
      <c r="A41" s="14" t="inlineStr">
        <is>
          <t>2026-10-01</t>
        </is>
      </c>
      <c r="B41" s="14" t="inlineStr">
        <is>
          <t>2026-10-02 02:45:00</t>
        </is>
      </c>
      <c r="C41" s="14" t="inlineStr">
        <is>
          <t>NATIONAL_OFFICIAL</t>
        </is>
      </c>
      <c r="D41" s="14" t="inlineStr">
        <is>
          <t>联赛</t>
        </is>
      </c>
      <c r="E41" s="14" t="inlineStr">
        <is>
          <t>欧国联</t>
        </is>
      </c>
      <c r="F41" s="14" t="inlineStr">
        <is>
          <t>希腊 vs 荷兰</t>
        </is>
      </c>
      <c r="G41" s="26" t="n">
        <v>0.8100000000000001</v>
      </c>
      <c r="H41" s="26" t="n">
        <v>-0.5</v>
      </c>
      <c r="I41" s="26" t="n">
        <v>1.07</v>
      </c>
      <c r="J41" s="26" t="inlineStr">
        <is>
          <t>0.81/-0.5/1.07</t>
        </is>
      </c>
      <c r="K41" s="14" t="inlineStr">
        <is>
          <t>V4-C｜EV 0.06720963326770585</t>
        </is>
      </c>
      <c r="L41" s="14" t="inlineStr">
        <is>
          <t>荷兰</t>
        </is>
      </c>
      <c r="M41" s="47" t="n">
        <v>0.5155602093080704</v>
      </c>
      <c r="N41" s="14" t="inlineStr">
        <is>
          <t>V4纸面入选-C</t>
        </is>
      </c>
      <c r="O41" s="14" t="inlineStr">
        <is>
          <t>2-2</t>
        </is>
      </c>
      <c r="P41" s="14" t="inlineStr">
        <is>
          <t>已结算</t>
        </is>
      </c>
      <c r="Q41" s="14" t="inlineStr">
        <is>
          <t>黑</t>
        </is>
      </c>
      <c r="R41" s="48" t="n">
        <v>1.07</v>
      </c>
      <c r="S41" s="48">
        <f>IF(OR(Q41="",Q41="待结算"),"",IF(Q41="红",R41,IF(Q41="半红",R41*0.5,IF(Q41="走",0,IF(Q41="半黑",-0.5,-1)))))</f>
        <v/>
      </c>
      <c r="T41" s="14" t="inlineStr">
        <is>
          <t>D:\codex\v3_legacy\outputs\football_odds_trader\raw\titan007\20261002\20261002_081559_titan007_odds_snapshot.csv</t>
        </is>
      </c>
      <c r="U41" s="14">
        <f>IF(Q41="","",IF(Q41="待结算","待结算",IF(Q41="红","黑",IF(Q41="半红","半黑",IF(Q41="走","走",IF(Q41="半黑","半红","红"))))))</f>
        <v/>
      </c>
      <c r="V41" s="48">
        <f>IF(OR(U41="",U41="待结算"),"",IF(L41=LEFT(F41,FIND(" vs ",F41)-1),I41,G41))</f>
        <v/>
      </c>
      <c r="W41" s="48">
        <f>IF(OR(U41="",U41="待结算"),"",IF(U41="红",V41,IF(U41="半红",V41*0.5,IF(U41="走",0,IF(U41="半黑",-0.5,-1)))))</f>
        <v/>
      </c>
      <c r="X41" s="14" t="inlineStr">
        <is>
          <t>2981441</t>
        </is>
      </c>
      <c r="Y41" s="14" t="inlineStr">
        <is>
          <t>V4</t>
        </is>
      </c>
      <c r="Z41" s="14" t="inlineStr">
        <is>
          <t>prior-2026-10-01-v1</t>
        </is>
      </c>
      <c r="AA41" s="14" t="inlineStr">
        <is>
          <t>C</t>
        </is>
      </c>
      <c r="AB41" s="14" t="n">
        <v>0.5155602093080704</v>
      </c>
      <c r="AC41" s="14" t="n">
        <v>0</v>
      </c>
      <c r="AD41" s="14" t="n">
        <v>0</v>
      </c>
      <c r="AE41" s="14" t="n">
        <v>0</v>
      </c>
      <c r="AF41" s="14" t="n">
        <v>0.4844397906919296</v>
      </c>
      <c r="AG41" s="14" t="n">
        <v>0.06720963326770585</v>
      </c>
      <c r="AH41" s="14" t="n"/>
      <c r="AI41" s="14" t="n"/>
      <c r="AJ41" s="14" t="n">
        <v>0.06720963326770585</v>
      </c>
      <c r="AK41" s="14" t="n"/>
      <c r="AL41" s="14" t="n"/>
      <c r="AM41" s="14" t="n"/>
      <c r="AN41" s="14" t="inlineStr">
        <is>
          <t>EVALUATED</t>
        </is>
      </c>
      <c r="AO41" s="14" t="inlineStr">
        <is>
          <t>GIVING_VALIDATED_EDGE;BUCKET_PRIOR_ONLY;INTENT_INTERPRETATION_ONLY;EXPERT_MARKET</t>
        </is>
      </c>
      <c r="AP41" s="14" t="inlineStr">
        <is>
          <t>4c776099edb9c3227d72</t>
        </is>
      </c>
      <c r="AQ41" s="14" t="n">
        <v>-0.5</v>
      </c>
      <c r="AR41" s="14" t="n">
        <v>1.07</v>
      </c>
      <c r="AS41" s="14" t="n">
        <v>-0.5</v>
      </c>
      <c r="AT41" s="14" t="n">
        <v>0.5</v>
      </c>
      <c r="AU41" s="14" t="n">
        <v>1.07</v>
      </c>
      <c r="AV41" s="14" t="n">
        <v>0.8100000000000001</v>
      </c>
      <c r="AW41" s="14" t="inlineStr">
        <is>
          <t>2026-10-01T08:49:13.813903+08:00</t>
        </is>
      </c>
      <c r="AX41" s="14" t="inlineStr">
        <is>
          <t>Titan007 Next</t>
        </is>
      </c>
      <c r="AY41" s="14" t="inlineStr">
        <is>
          <t>V4 Shadow Only；real_money=false；新增冻结记录</t>
        </is>
      </c>
    </row>
    <row r="42" ht="22" customHeight="1" s="39">
      <c r="A42" s="14" t="inlineStr">
        <is>
          <t>2026-10-01</t>
        </is>
      </c>
      <c r="B42" s="14" t="inlineStr">
        <is>
          <t>2026-10-02 02:45:00</t>
        </is>
      </c>
      <c r="C42" s="14" t="inlineStr">
        <is>
          <t>NATIONAL_OFFICIAL</t>
        </is>
      </c>
      <c r="D42" s="14" t="inlineStr">
        <is>
          <t>联赛</t>
        </is>
      </c>
      <c r="E42" s="14" t="inlineStr">
        <is>
          <t>欧国联</t>
        </is>
      </c>
      <c r="F42" s="14" t="inlineStr">
        <is>
          <t>马耳他 vs 直布罗陀</t>
        </is>
      </c>
      <c r="G42" s="26" t="n">
        <v>1.01</v>
      </c>
      <c r="H42" s="26" t="n">
        <v>-1.5</v>
      </c>
      <c r="I42" s="26" t="n">
        <v>0.87</v>
      </c>
      <c r="J42" s="26" t="inlineStr">
        <is>
          <t>1.01/-1.5/0.87</t>
        </is>
      </c>
      <c r="K42" s="14" t="inlineStr">
        <is>
          <t>V4-B｜EV 0.3443474861215502</t>
        </is>
      </c>
      <c r="L42" s="14" t="inlineStr">
        <is>
          <t>马耳他</t>
        </is>
      </c>
      <c r="M42" s="47" t="n">
        <v>0.6688295950853483</v>
      </c>
      <c r="N42" s="14" t="inlineStr">
        <is>
          <t>V4纸面入选-B</t>
        </is>
      </c>
      <c r="O42" s="14" t="inlineStr">
        <is>
          <t>1-1</t>
        </is>
      </c>
      <c r="P42" s="14" t="inlineStr">
        <is>
          <t>已结算</t>
        </is>
      </c>
      <c r="Q42" s="14" t="inlineStr">
        <is>
          <t>黑</t>
        </is>
      </c>
      <c r="R42" s="48" t="n">
        <v>1.01</v>
      </c>
      <c r="S42" s="48">
        <f>IF(OR(Q42="",Q42="待结算"),"",IF(Q42="红",R42,IF(Q42="半红",R42*0.5,IF(Q42="走",0,IF(Q42="半黑",-0.5,-1)))))</f>
        <v/>
      </c>
      <c r="T42" s="14" t="inlineStr">
        <is>
          <t>D:\codex\v3_legacy\outputs\football_odds_trader\raw\titan007\20261002\20261002_081559_titan007_odds_snapshot.csv</t>
        </is>
      </c>
      <c r="U42" s="14">
        <f>IF(Q42="","",IF(Q42="待结算","待结算",IF(Q42="红","黑",IF(Q42="半红","半黑",IF(Q42="走","走",IF(Q42="半黑","半红","红"))))))</f>
        <v/>
      </c>
      <c r="V42" s="48">
        <f>IF(OR(U42="",U42="待结算"),"",IF(L42=LEFT(F42,FIND(" vs ",F42)-1),I42,G42))</f>
        <v/>
      </c>
      <c r="W42" s="48">
        <f>IF(OR(U42="",U42="待结算"),"",IF(U42="红",V42,IF(U42="半红",V42*0.5,IF(U42="走",0,IF(U42="半黑",-0.5,-1)))))</f>
        <v/>
      </c>
      <c r="X42" s="14" t="inlineStr">
        <is>
          <t>2981576</t>
        </is>
      </c>
      <c r="Y42" s="14" t="inlineStr">
        <is>
          <t>V4</t>
        </is>
      </c>
      <c r="Z42" s="14" t="inlineStr">
        <is>
          <t>prior-2026-10-01-v1</t>
        </is>
      </c>
      <c r="AA42" s="14" t="inlineStr">
        <is>
          <t>B</t>
        </is>
      </c>
      <c r="AB42" s="14" t="n">
        <v>0.6688295950853483</v>
      </c>
      <c r="AC42" s="14" t="n">
        <v>0</v>
      </c>
      <c r="AD42" s="14" t="n">
        <v>0</v>
      </c>
      <c r="AE42" s="14" t="n">
        <v>0</v>
      </c>
      <c r="AF42" s="14" t="n">
        <v>0.3311704049146517</v>
      </c>
      <c r="AG42" s="14" t="n">
        <v>0.3443474861215502</v>
      </c>
      <c r="AH42" s="14" t="n"/>
      <c r="AI42" s="14" t="n"/>
      <c r="AJ42" s="14" t="n">
        <v>0.3443474861215502</v>
      </c>
      <c r="AK42" s="14" t="n"/>
      <c r="AL42" s="14" t="n"/>
      <c r="AM42" s="14" t="n"/>
      <c r="AN42" s="14" t="inlineStr">
        <is>
          <t>EVALUATED</t>
        </is>
      </c>
      <c r="AO42" s="14" t="inlineStr">
        <is>
          <t>GIVING_VALIDATED_EDGE;BUCKET_PRIOR_ONLY;INTENT_INTERPRETATION_ONLY;EXPERT_MARKET</t>
        </is>
      </c>
      <c r="AP42" s="14" t="inlineStr">
        <is>
          <t>285c4489f0193cbeb088</t>
        </is>
      </c>
      <c r="AQ42" s="14" t="n">
        <v>-1.5</v>
      </c>
      <c r="AR42" s="14" t="n">
        <v>1.01</v>
      </c>
      <c r="AS42" s="14" t="n">
        <v>-1.5</v>
      </c>
      <c r="AT42" s="14" t="n">
        <v>1.5</v>
      </c>
      <c r="AU42" s="14" t="n">
        <v>1.01</v>
      </c>
      <c r="AV42" s="14" t="n">
        <v>0.87</v>
      </c>
      <c r="AW42" s="14" t="inlineStr">
        <is>
          <t>2026-10-01T08:49:13.813903+08:00</t>
        </is>
      </c>
      <c r="AX42" s="14" t="inlineStr">
        <is>
          <t>Titan007 Next</t>
        </is>
      </c>
      <c r="AY42" s="14" t="inlineStr">
        <is>
          <t>V4 Shadow Only；real_money=false；新增冻结记录</t>
        </is>
      </c>
    </row>
    <row r="43" ht="22" customHeight="1" s="39">
      <c r="A43" s="14" t="inlineStr">
        <is>
          <t>2026-10-01</t>
        </is>
      </c>
      <c r="B43" s="14" t="inlineStr">
        <is>
          <t>2026-10-02 04:00:00</t>
        </is>
      </c>
      <c r="C43" s="14" t="inlineStr">
        <is>
          <t>CLUB_CUP</t>
        </is>
      </c>
      <c r="D43" s="14" t="inlineStr">
        <is>
          <t>杯赛</t>
        </is>
      </c>
      <c r="E43" s="14" t="inlineStr">
        <is>
          <t>秘鲁联杯</t>
        </is>
      </c>
      <c r="F43" s="14" t="inlineStr">
        <is>
          <t>水晶竞技队 vs AD塔尔玛</t>
        </is>
      </c>
      <c r="G43" s="26" t="n">
        <v>0.85</v>
      </c>
      <c r="H43" s="26" t="n">
        <v>-1</v>
      </c>
      <c r="I43" s="26" t="n">
        <v>0.97</v>
      </c>
      <c r="J43" s="26" t="inlineStr">
        <is>
          <t>0.85/-1.0/0.97</t>
        </is>
      </c>
      <c r="K43" s="14" t="inlineStr">
        <is>
          <t>V4-B｜EV 0.08628498097685028</t>
        </is>
      </c>
      <c r="L43" s="14" t="inlineStr">
        <is>
          <t>水晶竞技队</t>
        </is>
      </c>
      <c r="M43" s="47" t="n">
        <v>0.4492881286165132</v>
      </c>
      <c r="N43" s="14" t="inlineStr">
        <is>
          <t>V4纸面入选-B</t>
        </is>
      </c>
      <c r="O43" s="14" t="inlineStr">
        <is>
          <t>5-0</t>
        </is>
      </c>
      <c r="P43" s="14" t="inlineStr">
        <is>
          <t>已结算</t>
        </is>
      </c>
      <c r="Q43" s="14" t="inlineStr">
        <is>
          <t>红</t>
        </is>
      </c>
      <c r="R43" s="48" t="n">
        <v>0.85</v>
      </c>
      <c r="S43" s="48">
        <f>IF(OR(Q43="",Q43="待结算"),"",IF(Q43="红",R43,IF(Q43="半红",R43*0.5,IF(Q43="走",0,IF(Q43="半黑",-0.5,-1)))))</f>
        <v/>
      </c>
      <c r="T43" s="14" t="inlineStr">
        <is>
          <t>D:\codex\v3_legacy\outputs\football_odds_trader\raw\titan007\20261002\20261002_081559_titan007_odds_snapshot.csv</t>
        </is>
      </c>
      <c r="U43" s="14">
        <f>IF(Q43="","",IF(Q43="待结算","待结算",IF(Q43="红","黑",IF(Q43="半红","半黑",IF(Q43="走","走",IF(Q43="半黑","半红","红"))))))</f>
        <v/>
      </c>
      <c r="V43" s="48">
        <f>IF(OR(U43="",U43="待结算"),"",IF(L43=LEFT(F43,FIND(" vs ",F43)-1),I43,G43))</f>
        <v/>
      </c>
      <c r="W43" s="48">
        <f>IF(OR(U43="",U43="待结算"),"",IF(U43="红",V43,IF(U43="半红",V43*0.5,IF(U43="走",0,IF(U43="半黑",-0.5,-1)))))</f>
        <v/>
      </c>
      <c r="X43" s="14" t="inlineStr">
        <is>
          <t>3096177</t>
        </is>
      </c>
      <c r="Y43" s="14" t="inlineStr">
        <is>
          <t>V4</t>
        </is>
      </c>
      <c r="Z43" s="14" t="inlineStr">
        <is>
          <t>prior-2026-10-01-v1</t>
        </is>
      </c>
      <c r="AA43" s="14" t="inlineStr">
        <is>
          <t>B</t>
        </is>
      </c>
      <c r="AB43" s="14" t="n">
        <v>0.4492881286165132</v>
      </c>
      <c r="AC43" s="14" t="n">
        <v>0</v>
      </c>
      <c r="AD43" s="14" t="n">
        <v>0.2551019430363008</v>
      </c>
      <c r="AE43" s="14" t="n">
        <v>0</v>
      </c>
      <c r="AF43" s="14" t="n">
        <v>0.2956099283471859</v>
      </c>
      <c r="AG43" s="14" t="n">
        <v>0.08628498097685028</v>
      </c>
      <c r="AH43" s="14" t="n"/>
      <c r="AI43" s="14" t="n"/>
      <c r="AJ43" s="14" t="n">
        <v>0.08628498097685028</v>
      </c>
      <c r="AK43" s="14" t="n"/>
      <c r="AL43" s="14" t="n"/>
      <c r="AM43" s="14" t="n"/>
      <c r="AN43" s="14" t="inlineStr">
        <is>
          <t>EVALUATED</t>
        </is>
      </c>
      <c r="AO43" s="14" t="inlineStr">
        <is>
          <t>GIVING_VALIDATED_EDGE;BUCKET_PRIOR_ONLY;INTENT_INTERPRETATION_ONLY;EXPERT_MARKET</t>
        </is>
      </c>
      <c r="AP43" s="14" t="inlineStr">
        <is>
          <t>6c576e5952fef94764dc</t>
        </is>
      </c>
      <c r="AQ43" s="14" t="n">
        <v>-1</v>
      </c>
      <c r="AR43" s="14" t="n">
        <v>0.85</v>
      </c>
      <c r="AS43" s="14" t="n">
        <v>-1</v>
      </c>
      <c r="AT43" s="14" t="n">
        <v>1</v>
      </c>
      <c r="AU43" s="14" t="n">
        <v>0.85</v>
      </c>
      <c r="AV43" s="14" t="n">
        <v>0.97</v>
      </c>
      <c r="AW43" s="14" t="inlineStr">
        <is>
          <t>2026-10-01T08:49:13.813903+08:00</t>
        </is>
      </c>
      <c r="AX43" s="14" t="inlineStr">
        <is>
          <t>Titan007 Next</t>
        </is>
      </c>
      <c r="AY43" s="14" t="inlineStr">
        <is>
          <t>V4 Shadow Only；real_money=false；新增冻结记录</t>
        </is>
      </c>
    </row>
    <row r="44" ht="22" customHeight="1" s="39">
      <c r="A44" s="14" t="inlineStr">
        <is>
          <t>2026-10-01</t>
        </is>
      </c>
      <c r="B44" s="14" t="inlineStr">
        <is>
          <t>2026-10-02 05:30:00</t>
        </is>
      </c>
      <c r="C44" s="14" t="inlineStr">
        <is>
          <t>CLUB_LEAGUE</t>
        </is>
      </c>
      <c r="D44" s="14" t="inlineStr">
        <is>
          <t>联赛</t>
        </is>
      </c>
      <c r="E44" s="14" t="inlineStr">
        <is>
          <t>萨尔超春</t>
        </is>
      </c>
      <c r="F44" s="14" t="inlineStr">
        <is>
          <t>旧金山富尔特 vs 路斯天使</t>
        </is>
      </c>
      <c r="G44" s="26" t="n">
        <v>0.65</v>
      </c>
      <c r="H44" s="26" t="n">
        <v>-1</v>
      </c>
      <c r="I44" s="26" t="n">
        <v>1.05</v>
      </c>
      <c r="J44" s="26" t="inlineStr">
        <is>
          <t>0.65/-1.0/1.05</t>
        </is>
      </c>
      <c r="K44" s="14" t="inlineStr">
        <is>
          <t>V4-B｜EV 0.14844781544478808</t>
        </is>
      </c>
      <c r="L44" s="14" t="inlineStr">
        <is>
          <t>路斯天使</t>
        </is>
      </c>
      <c r="M44" s="47" t="n">
        <v>0.4350420336645062</v>
      </c>
      <c r="N44" s="14" t="inlineStr">
        <is>
          <t>V4纸面入选-B</t>
        </is>
      </c>
      <c r="O44" s="14" t="inlineStr">
        <is>
          <t>0-3</t>
        </is>
      </c>
      <c r="P44" s="14" t="inlineStr">
        <is>
          <t>已结算</t>
        </is>
      </c>
      <c r="Q44" s="14" t="inlineStr">
        <is>
          <t>红</t>
        </is>
      </c>
      <c r="R44" s="48" t="n">
        <v>1.05</v>
      </c>
      <c r="S44" s="48">
        <f>IF(OR(Q44="",Q44="待结算"),"",IF(Q44="红",R44,IF(Q44="半红",R44*0.5,IF(Q44="走",0,IF(Q44="半黑",-0.5,-1)))))</f>
        <v/>
      </c>
      <c r="T44" s="14" t="inlineStr">
        <is>
          <t>D:\codex\v3_legacy\outputs\football_odds_trader\raw\titan007\20261002\20261002_081559_titan007_odds_snapshot.csv</t>
        </is>
      </c>
      <c r="U44" s="14">
        <f>IF(Q44="","",IF(Q44="待结算","待结算",IF(Q44="红","黑",IF(Q44="半红","半黑",IF(Q44="走","走",IF(Q44="半黑","半红","红"))))))</f>
        <v/>
      </c>
      <c r="V44" s="48">
        <f>IF(OR(U44="",U44="待结算"),"",IF(L44=LEFT(F44,FIND(" vs ",F44)-1),I44,G44))</f>
        <v/>
      </c>
      <c r="W44" s="48">
        <f>IF(OR(U44="",U44="待结算"),"",IF(U44="红",V44,IF(U44="半红",V44*0.5,IF(U44="走",0,IF(U44="半黑",-0.5,-1)))))</f>
        <v/>
      </c>
      <c r="X44" s="14" t="inlineStr">
        <is>
          <t>3041929</t>
        </is>
      </c>
      <c r="Y44" s="14" t="inlineStr">
        <is>
          <t>V4</t>
        </is>
      </c>
      <c r="Z44" s="14" t="inlineStr">
        <is>
          <t>prior-2026-10-01-v1</t>
        </is>
      </c>
      <c r="AA44" s="14" t="inlineStr">
        <is>
          <t>B</t>
        </is>
      </c>
      <c r="AB44" s="14" t="n">
        <v>0.4350420336645062</v>
      </c>
      <c r="AC44" s="14" t="n">
        <v>0</v>
      </c>
      <c r="AD44" s="14" t="n">
        <v>0.2566116464325503</v>
      </c>
      <c r="AE44" s="14" t="n">
        <v>0</v>
      </c>
      <c r="AF44" s="14" t="n">
        <v>0.3083463199029435</v>
      </c>
      <c r="AG44" s="14" t="n">
        <v>0.1484478154447881</v>
      </c>
      <c r="AH44" s="14" t="n"/>
      <c r="AI44" s="14" t="n"/>
      <c r="AJ44" s="14" t="n">
        <v>0.1484478154447881</v>
      </c>
      <c r="AK44" s="14" t="n"/>
      <c r="AL44" s="14" t="n"/>
      <c r="AM44" s="14" t="n"/>
      <c r="AN44" s="14" t="inlineStr">
        <is>
          <t>EVALUATED</t>
        </is>
      </c>
      <c r="AO44" s="14" t="inlineStr">
        <is>
          <t>GIVING_VALIDATED_EDGE;BUCKET_PRIOR_ONLY;INTENT_INTERPRETATION_ONLY;EXPERT_MARKET</t>
        </is>
      </c>
      <c r="AP44" s="14" t="inlineStr">
        <is>
          <t>a5d96593cc86c482f601</t>
        </is>
      </c>
      <c r="AQ44" s="14" t="n">
        <v>-1</v>
      </c>
      <c r="AR44" s="14" t="n">
        <v>1.05</v>
      </c>
      <c r="AS44" s="14" t="n">
        <v>-1</v>
      </c>
      <c r="AT44" s="14" t="n">
        <v>1</v>
      </c>
      <c r="AU44" s="14" t="n">
        <v>1.05</v>
      </c>
      <c r="AV44" s="14" t="n">
        <v>0.65</v>
      </c>
      <c r="AW44" s="14" t="inlineStr">
        <is>
          <t>2026-10-01T08:49:13.813903+08:00</t>
        </is>
      </c>
      <c r="AX44" s="14" t="inlineStr">
        <is>
          <t>Titan007 Next</t>
        </is>
      </c>
      <c r="AY44" s="14" t="inlineStr">
        <is>
          <t>V4 Shadow Only；real_money=false；新增冻结记录</t>
        </is>
      </c>
    </row>
    <row r="45" ht="22" customHeight="1" s="39">
      <c r="A45" s="14" t="inlineStr">
        <is>
          <t>2026-10-01</t>
        </is>
      </c>
      <c r="B45" s="14" t="inlineStr">
        <is>
          <t>2026-10-02 08:00:00</t>
        </is>
      </c>
      <c r="C45" s="14" t="inlineStr">
        <is>
          <t>CLUB_LEAGUE</t>
        </is>
      </c>
      <c r="D45" s="14" t="inlineStr">
        <is>
          <t>联赛</t>
        </is>
      </c>
      <c r="E45" s="14" t="inlineStr">
        <is>
          <t>巴西乙</t>
        </is>
      </c>
      <c r="F45" s="14" t="inlineStr">
        <is>
          <t>诺瓦里桑蒂诺 vs 戈伊亚斯</t>
        </is>
      </c>
      <c r="G45" s="26" t="n">
        <v>0.86</v>
      </c>
      <c r="H45" s="26" t="n">
        <v>-0.75</v>
      </c>
      <c r="I45" s="26" t="n">
        <v>1.02</v>
      </c>
      <c r="J45" s="26" t="inlineStr">
        <is>
          <t>0.86/-0.75/1.02</t>
        </is>
      </c>
      <c r="K45" s="14" t="inlineStr">
        <is>
          <t>V4-B｜EV 0.1595178694036759</t>
        </is>
      </c>
      <c r="L45" s="14" t="inlineStr">
        <is>
          <t>诺瓦里桑蒂诺</t>
        </is>
      </c>
      <c r="M45" s="47" t="n">
        <v>0.5540864676446906</v>
      </c>
      <c r="N45" s="14" t="inlineStr">
        <is>
          <t>V4纸面入选-B</t>
        </is>
      </c>
      <c r="O45" s="14" t="inlineStr">
        <is>
          <t>3-0</t>
        </is>
      </c>
      <c r="P45" s="14" t="inlineStr">
        <is>
          <t>已结算</t>
        </is>
      </c>
      <c r="Q45" s="14" t="inlineStr">
        <is>
          <t>红半</t>
        </is>
      </c>
      <c r="R45" s="48" t="n">
        <v>0.86</v>
      </c>
      <c r="S45" s="48" t="n">
        <v>0.43</v>
      </c>
      <c r="T45" s="14" t="inlineStr">
        <is>
          <t>D:\codex\v3_legacy\outputs\football_odds_trader\raw\titan007\20261003\20261003_092303_titan007_odds_snapshot.csv</t>
        </is>
      </c>
      <c r="U45" s="14">
        <f>IF(Q45="","",IF(Q45="待结算","待结算",IF(Q45="红","黑",IF(Q45="半红","半黑",IF(Q45="走","走",IF(Q45="半黑","半红","红"))))))</f>
        <v/>
      </c>
      <c r="V45" s="48">
        <f>IF(OR(U45="",U45="待结算"),"",IF(L45=LEFT(F45,FIND(" vs ",F45)-1),I45,G45))</f>
        <v/>
      </c>
      <c r="W45" s="48">
        <f>IF(OR(U45="",U45="待结算"),"",IF(U45="红",V45,IF(U45="半红",V45*0.5,IF(U45="走",0,IF(U45="半黑",-0.5,-1)))))</f>
        <v/>
      </c>
      <c r="X45" s="14" t="inlineStr">
        <is>
          <t>2940213</t>
        </is>
      </c>
      <c r="Y45" s="14" t="inlineStr">
        <is>
          <t>V4</t>
        </is>
      </c>
      <c r="Z45" s="14" t="inlineStr">
        <is>
          <t>prior-2026-10-01-v1</t>
        </is>
      </c>
      <c r="AA45" s="14" t="inlineStr">
        <is>
          <t>B</t>
        </is>
      </c>
      <c r="AB45" s="14" t="n">
        <v>0.4251694280601393</v>
      </c>
      <c r="AC45" s="14" t="n">
        <v>0.2578340791691027</v>
      </c>
      <c r="AD45" s="14" t="n">
        <v>0</v>
      </c>
      <c r="AE45" s="14" t="n">
        <v>0</v>
      </c>
      <c r="AF45" s="14" t="n">
        <v>0.3169964927707581</v>
      </c>
      <c r="AG45" s="14" t="n">
        <v>0.1595178694036759</v>
      </c>
      <c r="AH45" s="14" t="n"/>
      <c r="AI45" s="14" t="n"/>
      <c r="AJ45" s="14" t="n">
        <v>0.1595178694036759</v>
      </c>
      <c r="AK45" s="14" t="n"/>
      <c r="AL45" s="14" t="n"/>
      <c r="AM45" s="14" t="n"/>
      <c r="AN45" s="14" t="inlineStr">
        <is>
          <t>EVALUATED</t>
        </is>
      </c>
      <c r="AO45" s="14" t="inlineStr">
        <is>
          <t>GIVING_VALIDATED_EDGE;BUCKET_PRIOR_ONLY;INTENT_INTERPRETATION_ONLY;EXPERT_MARKET</t>
        </is>
      </c>
      <c r="AP45" s="14" t="inlineStr">
        <is>
          <t>e0cc15e8646eecb39398</t>
        </is>
      </c>
      <c r="AQ45" s="14" t="n">
        <v>-0.75</v>
      </c>
      <c r="AR45" s="14" t="n">
        <v>0.86</v>
      </c>
      <c r="AS45" s="14" t="n">
        <v>-0.75</v>
      </c>
      <c r="AT45" s="14" t="n">
        <v>0.75</v>
      </c>
      <c r="AU45" s="14" t="n">
        <v>0.86</v>
      </c>
      <c r="AV45" s="14" t="n">
        <v>1.02</v>
      </c>
      <c r="AW45" s="14" t="inlineStr">
        <is>
          <t>2026-10-01T08:49:13.813903+08:00</t>
        </is>
      </c>
      <c r="AX45" s="14" t="inlineStr">
        <is>
          <t>Titan007 Next</t>
        </is>
      </c>
      <c r="AY45" s="14" t="inlineStr">
        <is>
          <t>V4 Shadow Only；real_money=false；新增冻结记录</t>
        </is>
      </c>
    </row>
    <row r="46" ht="22" customHeight="1" s="39">
      <c r="A46" s="14" t="inlineStr">
        <is>
          <t>2026-10-01</t>
        </is>
      </c>
      <c r="B46" s="14" t="inlineStr">
        <is>
          <t>2026-10-02 08:00:00</t>
        </is>
      </c>
      <c r="C46" s="14" t="inlineStr">
        <is>
          <t>CLUB_LEAGUE</t>
        </is>
      </c>
      <c r="D46" s="14" t="inlineStr">
        <is>
          <t>联赛</t>
        </is>
      </c>
      <c r="E46" s="14" t="inlineStr">
        <is>
          <t>萨尔超春</t>
        </is>
      </c>
      <c r="F46" s="14" t="inlineStr">
        <is>
          <t>印加阿鲁巴 vs 利梅诺</t>
        </is>
      </c>
      <c r="G46" s="26" t="n">
        <v>0.82</v>
      </c>
      <c r="H46" s="26" t="n">
        <v>-0.5</v>
      </c>
      <c r="I46" s="26" t="n">
        <v>0.88</v>
      </c>
      <c r="J46" s="26" t="inlineStr">
        <is>
          <t>0.82/-0.5/0.88</t>
        </is>
      </c>
      <c r="K46" s="14" t="inlineStr">
        <is>
          <t>V4-B｜EV 0.09420107994718996</t>
        </is>
      </c>
      <c r="L46" s="14" t="inlineStr">
        <is>
          <t>利梅诺</t>
        </is>
      </c>
      <c r="M46" s="47" t="n">
        <v>0.5820218510357393</v>
      </c>
      <c r="N46" s="14" t="inlineStr">
        <is>
          <t>V4纸面入选-B</t>
        </is>
      </c>
      <c r="O46" s="14" t="inlineStr">
        <is>
          <t>2-1</t>
        </is>
      </c>
      <c r="P46" s="14" t="inlineStr">
        <is>
          <t>已结算</t>
        </is>
      </c>
      <c r="Q46" s="14" t="inlineStr">
        <is>
          <t>黑半</t>
        </is>
      </c>
      <c r="R46" s="48" t="n">
        <v>0.88</v>
      </c>
      <c r="S46" s="48" t="n">
        <v>-0.5</v>
      </c>
      <c r="T46" s="14" t="inlineStr">
        <is>
          <t>D:\codex\v3_legacy\outputs\football_odds_trader\raw\titan007\20261003\20261003_092303_titan007_odds_snapshot.csv</t>
        </is>
      </c>
      <c r="U46" s="14">
        <f>IF(Q46="","",IF(Q46="待结算","待结算",IF(Q46="红","黑",IF(Q46="半红","半黑",IF(Q46="走","走",IF(Q46="半黑","半红","红"))))))</f>
        <v/>
      </c>
      <c r="V46" s="48">
        <f>IF(OR(U46="",U46="待结算"),"",IF(L46=LEFT(F46,FIND(" vs ",F46)-1),I46,G46))</f>
        <v/>
      </c>
      <c r="W46" s="48">
        <f>IF(OR(U46="",U46="待结算"),"",IF(U46="红",V46,IF(U46="半红",V46*0.5,IF(U46="走",0,IF(U46="半黑",-0.5,-1)))))</f>
        <v/>
      </c>
      <c r="X46" s="14" t="inlineStr">
        <is>
          <t>3041930</t>
        </is>
      </c>
      <c r="Y46" s="14" t="inlineStr">
        <is>
          <t>V4</t>
        </is>
      </c>
      <c r="Z46" s="14" t="inlineStr">
        <is>
          <t>prior-2026-10-01-v1</t>
        </is>
      </c>
      <c r="AA46" s="14" t="inlineStr">
        <is>
          <t>B</t>
        </is>
      </c>
      <c r="AB46" s="14" t="n">
        <v>0.5820218510357393</v>
      </c>
      <c r="AC46" s="14" t="n">
        <v>0</v>
      </c>
      <c r="AD46" s="14" t="n">
        <v>0</v>
      </c>
      <c r="AE46" s="14" t="n">
        <v>0</v>
      </c>
      <c r="AF46" s="14" t="n">
        <v>0.4179781489642607</v>
      </c>
      <c r="AG46" s="14" t="n">
        <v>0.09420107994718996</v>
      </c>
      <c r="AH46" s="14" t="n"/>
      <c r="AI46" s="14" t="n"/>
      <c r="AJ46" s="14" t="n">
        <v>0.09420107994718996</v>
      </c>
      <c r="AK46" s="14" t="n"/>
      <c r="AL46" s="14" t="n"/>
      <c r="AM46" s="14" t="n"/>
      <c r="AN46" s="14" t="inlineStr">
        <is>
          <t>EVALUATED</t>
        </is>
      </c>
      <c r="AO46" s="14" t="inlineStr">
        <is>
          <t>GIVING_VALIDATED_EDGE;BUCKET_PRIOR_ONLY;INTENT_INTERPRETATION_ONLY;EXPERT_MARKET</t>
        </is>
      </c>
      <c r="AP46" s="14" t="inlineStr">
        <is>
          <t>315bdf32b9e81fa1464b</t>
        </is>
      </c>
      <c r="AQ46" s="14" t="n">
        <v>-0.5</v>
      </c>
      <c r="AR46" s="14" t="n">
        <v>0.88</v>
      </c>
      <c r="AS46" s="14" t="n">
        <v>-0.5</v>
      </c>
      <c r="AT46" s="14" t="n">
        <v>0.5</v>
      </c>
      <c r="AU46" s="14" t="n">
        <v>0.88</v>
      </c>
      <c r="AV46" s="14" t="n">
        <v>0.82</v>
      </c>
      <c r="AW46" s="14" t="inlineStr">
        <is>
          <t>2026-10-01T08:49:13.813903+08:00</t>
        </is>
      </c>
      <c r="AX46" s="14" t="inlineStr">
        <is>
          <t>Titan007 Next</t>
        </is>
      </c>
      <c r="AY46" s="14" t="inlineStr">
        <is>
          <t>V4 Shadow Only；real_money=false；新增冻结记录</t>
        </is>
      </c>
    </row>
    <row r="47" ht="22" customHeight="1" s="39">
      <c r="A47" s="14" t="inlineStr">
        <is>
          <t>2026-10-01</t>
        </is>
      </c>
      <c r="B47" s="14" t="inlineStr">
        <is>
          <t>2026-10-02 08:15:00</t>
        </is>
      </c>
      <c r="C47" s="14" t="inlineStr">
        <is>
          <t>CLUB_CUP</t>
        </is>
      </c>
      <c r="D47" s="14" t="inlineStr">
        <is>
          <t>杯赛</t>
        </is>
      </c>
      <c r="E47" s="14" t="inlineStr">
        <is>
          <t>阿根廷杯</t>
        </is>
      </c>
      <c r="F47" s="14" t="inlineStr">
        <is>
          <t>普拉腾斯(中) vs 拉普拉塔大学生</t>
        </is>
      </c>
      <c r="G47" s="26" t="n">
        <v>0.99</v>
      </c>
      <c r="H47" s="26" t="n">
        <v>-0.25</v>
      </c>
      <c r="I47" s="26" t="n">
        <v>0.89</v>
      </c>
      <c r="J47" s="26" t="inlineStr">
        <is>
          <t>0.99/-0.25/0.89</t>
        </is>
      </c>
      <c r="K47" s="14" t="inlineStr">
        <is>
          <t>V4-C｜EV 0.06598784054955653</t>
        </is>
      </c>
      <c r="L47" s="14" t="inlineStr">
        <is>
          <t>拉普拉塔大学生</t>
        </is>
      </c>
      <c r="M47" s="47" t="n">
        <v>0.4962798269609524</v>
      </c>
      <c r="N47" s="14" t="inlineStr">
        <is>
          <t>V4纸面入选-C</t>
        </is>
      </c>
      <c r="O47" s="14" t="inlineStr">
        <is>
          <t>1-0</t>
        </is>
      </c>
      <c r="P47" s="14" t="inlineStr">
        <is>
          <t>已结算</t>
        </is>
      </c>
      <c r="Q47" s="14" t="inlineStr">
        <is>
          <t>黑半</t>
        </is>
      </c>
      <c r="R47" s="48" t="n">
        <v>0.89</v>
      </c>
      <c r="S47" s="48" t="n">
        <v>-0.5</v>
      </c>
      <c r="T47" s="14" t="inlineStr">
        <is>
          <t>D:\codex\v3_legacy\outputs\football_odds_trader\raw\titan007\20261003\20261003_092303_titan007_odds_snapshot.csv</t>
        </is>
      </c>
      <c r="U47" s="14">
        <f>IF(Q47="","",IF(Q47="待结算","待结算",IF(Q47="红","黑",IF(Q47="半红","半黑",IF(Q47="走","走",IF(Q47="半黑","半红","红"))))))</f>
        <v/>
      </c>
      <c r="V47" s="48">
        <f>IF(OR(U47="",U47="待结算"),"",IF(L47=LEFT(F47,FIND(" vs ",F47)-1),I47,G47))</f>
        <v/>
      </c>
      <c r="W47" s="48">
        <f>IF(OR(U47="",U47="待结算"),"",IF(U47="红",V47,IF(U47="半红",V47*0.5,IF(U47="走",0,IF(U47="半黑",-0.5,-1)))))</f>
        <v/>
      </c>
      <c r="X47" s="14" t="inlineStr">
        <is>
          <t>3085729</t>
        </is>
      </c>
      <c r="Y47" s="14" t="inlineStr">
        <is>
          <t>V4</t>
        </is>
      </c>
      <c r="Z47" s="14" t="inlineStr">
        <is>
          <t>prior-2026-10-01-v1</t>
        </is>
      </c>
      <c r="AA47" s="14" t="inlineStr">
        <is>
          <t>C</t>
        </is>
      </c>
      <c r="AB47" s="14" t="n">
        <v>0.4962798269609524</v>
      </c>
      <c r="AC47" s="14" t="n">
        <v>0</v>
      </c>
      <c r="AD47" s="14" t="n">
        <v>0</v>
      </c>
      <c r="AE47" s="14" t="n">
        <v>0.256037935186713</v>
      </c>
      <c r="AF47" s="14" t="n">
        <v>0.2476822378523347</v>
      </c>
      <c r="AG47" s="14" t="n">
        <v>0.06598784054955653</v>
      </c>
      <c r="AH47" s="14" t="n"/>
      <c r="AI47" s="14" t="n"/>
      <c r="AJ47" s="14" t="n">
        <v>0.06598784054955653</v>
      </c>
      <c r="AK47" s="14" t="n"/>
      <c r="AL47" s="14" t="n"/>
      <c r="AM47" s="14" t="n"/>
      <c r="AN47" s="14" t="inlineStr">
        <is>
          <t>EVALUATED</t>
        </is>
      </c>
      <c r="AO47" s="14" t="inlineStr">
        <is>
          <t>GIVING_VALIDATED_EDGE;BUCKET_PRIOR_ONLY;INTENT_INTERPRETATION_ONLY;EXPERT_MARKET</t>
        </is>
      </c>
      <c r="AP47" s="14" t="inlineStr">
        <is>
          <t>60143c90dc7e33072ca2</t>
        </is>
      </c>
      <c r="AQ47" s="14" t="n">
        <v>-0.25</v>
      </c>
      <c r="AR47" s="14" t="n">
        <v>0.89</v>
      </c>
      <c r="AS47" s="14" t="n">
        <v>-0.25</v>
      </c>
      <c r="AT47" s="14" t="n">
        <v>0.25</v>
      </c>
      <c r="AU47" s="14" t="n">
        <v>0.89</v>
      </c>
      <c r="AV47" s="14" t="n">
        <v>0.99</v>
      </c>
      <c r="AW47" s="14" t="inlineStr">
        <is>
          <t>2026-10-01T08:49:13.813903+08:00</t>
        </is>
      </c>
      <c r="AX47" s="14" t="inlineStr">
        <is>
          <t>Titan007 Next</t>
        </is>
      </c>
      <c r="AY47" s="14" t="inlineStr">
        <is>
          <t>V4 Shadow Only；real_money=false；新增冻结记录</t>
        </is>
      </c>
    </row>
    <row r="48" ht="22" customHeight="1" s="39">
      <c r="A48" s="14" t="inlineStr">
        <is>
          <t>2026-10-02</t>
        </is>
      </c>
      <c r="B48" s="14" t="inlineStr">
        <is>
          <t>2026-10-02 14:00:00</t>
        </is>
      </c>
      <c r="C48" s="14" t="inlineStr">
        <is>
          <t>NATIONAL_OFFICIAL</t>
        </is>
      </c>
      <c r="D48" s="14" t="inlineStr">
        <is>
          <t>联赛</t>
        </is>
      </c>
      <c r="E48" s="14" t="inlineStr">
        <is>
          <t>亚运女足</t>
        </is>
      </c>
      <c r="F48" s="14" t="inlineStr">
        <is>
          <t>中国女足(中) vs 韩国女足</t>
        </is>
      </c>
      <c r="G48" s="26" t="n">
        <v>0.4</v>
      </c>
      <c r="H48" s="26" t="n">
        <v>-1</v>
      </c>
      <c r="I48" s="26" t="n">
        <v>1.42</v>
      </c>
      <c r="J48" s="26" t="inlineStr">
        <is>
          <t>0.4/-1.0/1.42</t>
        </is>
      </c>
      <c r="K48" s="14" t="inlineStr">
        <is>
          <t>V4-B｜EV 0.4462762612519922</t>
        </is>
      </c>
      <c r="L48" s="14" t="inlineStr">
        <is>
          <t>韩国女足</t>
        </is>
      </c>
      <c r="M48" s="47" t="n">
        <v>0.4938497555771875</v>
      </c>
      <c r="N48" s="14" t="inlineStr">
        <is>
          <t>V4纸面入选-B</t>
        </is>
      </c>
      <c r="O48" s="14" t="inlineStr">
        <is>
          <t>0-1</t>
        </is>
      </c>
      <c r="P48" s="14" t="inlineStr">
        <is>
          <t>已结算</t>
        </is>
      </c>
      <c r="Q48" s="14" t="inlineStr">
        <is>
          <t>走</t>
        </is>
      </c>
      <c r="R48" s="48" t="n">
        <v>1.42</v>
      </c>
      <c r="S48" s="48">
        <f>IF(OR(Q48="",Q48="待结算"),"",IF(Q48="红",R48,IF(Q48="半红",R48*0.5,IF(Q48="走",0,IF(Q48="半黑",-0.5,-1)))))</f>
        <v/>
      </c>
      <c r="T48" s="14" t="inlineStr">
        <is>
          <t>D:\codex\v3_legacy\outputs\football_odds_trader\raw\titan007\20261003\20261003_092303_titan007_odds_snapshot.csv</t>
        </is>
      </c>
      <c r="U48" s="14">
        <f>IF(Q48="","",IF(Q48="待结算","待结算",IF(Q48="红","黑",IF(Q48="半红","半黑",IF(Q48="走","走",IF(Q48="半黑","半红","红"))))))</f>
        <v/>
      </c>
      <c r="V48" s="48">
        <f>IF(OR(U48="",U48="待结算"),"",IF(L48=LEFT(F48,FIND(" vs ",F48)-1),I48,G48))</f>
        <v/>
      </c>
      <c r="W48" s="48">
        <f>IF(OR(U48="",U48="待结算"),"",IF(U48="红",V48,IF(U48="半红",V48*0.5,IF(U48="走",0,IF(U48="半黑",-0.5,-1)))))</f>
        <v/>
      </c>
      <c r="X48" s="14" t="inlineStr">
        <is>
          <t>3096763</t>
        </is>
      </c>
      <c r="Y48" s="14" t="inlineStr">
        <is>
          <t>V4</t>
        </is>
      </c>
      <c r="Z48" s="14" t="inlineStr">
        <is>
          <t>prior-2026-10-02-v1</t>
        </is>
      </c>
      <c r="AA48" s="14" t="inlineStr">
        <is>
          <t>B</t>
        </is>
      </c>
      <c r="AB48" s="14" t="n">
        <v>0.4938497555771875</v>
      </c>
      <c r="AC48" s="14" t="n">
        <v>0</v>
      </c>
      <c r="AD48" s="14" t="n">
        <v>0.2511598527551985</v>
      </c>
      <c r="AE48" s="14" t="n">
        <v>0</v>
      </c>
      <c r="AF48" s="14" t="n">
        <v>0.254990391667614</v>
      </c>
      <c r="AG48" s="14" t="n">
        <v>0.4462762612519922</v>
      </c>
      <c r="AH48" s="14" t="n"/>
      <c r="AI48" s="14" t="n"/>
      <c r="AJ48" s="14" t="n">
        <v>0.4462762612519922</v>
      </c>
      <c r="AK48" s="14" t="n"/>
      <c r="AL48" s="14" t="n"/>
      <c r="AM48" s="14" t="n"/>
      <c r="AN48" s="14" t="inlineStr">
        <is>
          <t>EVALUATED</t>
        </is>
      </c>
      <c r="AO48" s="14" t="inlineStr">
        <is>
          <t>GIVING_VALIDATED_EDGE;BUCKET_PRIOR_ONLY;INTENT_INTERPRETATION_ONLY;EXPERT_MARKET</t>
        </is>
      </c>
      <c r="AP48" s="14" t="inlineStr">
        <is>
          <t>574845c743374ba8fed8</t>
        </is>
      </c>
      <c r="AQ48" s="14" t="n">
        <v>-1</v>
      </c>
      <c r="AR48" s="14" t="n">
        <v>1.42</v>
      </c>
      <c r="AS48" s="14" t="n">
        <v>-1</v>
      </c>
      <c r="AT48" s="14" t="n">
        <v>1</v>
      </c>
      <c r="AU48" s="14" t="n">
        <v>1.42</v>
      </c>
      <c r="AV48" s="14" t="n">
        <v>0.4</v>
      </c>
      <c r="AW48" s="14" t="inlineStr">
        <is>
          <t>2026-10-02T08:17:52.952859+08:00</t>
        </is>
      </c>
      <c r="AX48" s="14" t="inlineStr">
        <is>
          <t>Titan007 Next</t>
        </is>
      </c>
      <c r="AY48" s="14" t="inlineStr">
        <is>
          <t>V4 Shadow Only；real_money=false；新增冻结记录</t>
        </is>
      </c>
    </row>
    <row r="49" ht="22" customHeight="1" s="39">
      <c r="A49" s="14" t="inlineStr">
        <is>
          <t>2026-10-02</t>
        </is>
      </c>
      <c r="B49" s="14" t="inlineStr">
        <is>
          <t>2026-10-02 20:30:00</t>
        </is>
      </c>
      <c r="C49" s="14" t="inlineStr">
        <is>
          <t>CLUB_LEAGUE</t>
        </is>
      </c>
      <c r="D49" s="14" t="inlineStr">
        <is>
          <t>联赛</t>
        </is>
      </c>
      <c r="E49" s="14" t="inlineStr">
        <is>
          <t>埃及甲</t>
        </is>
      </c>
      <c r="F49" s="14" t="inlineStr">
        <is>
          <t>卡巴阿斯玛利 vs 三角洲联</t>
        </is>
      </c>
      <c r="G49" s="26" t="n">
        <v>0.95</v>
      </c>
      <c r="H49" s="26" t="n">
        <v>-1.25</v>
      </c>
      <c r="I49" s="26" t="n">
        <v>0.75</v>
      </c>
      <c r="J49" s="26" t="inlineStr">
        <is>
          <t>0.95/-1.25/0.75</t>
        </is>
      </c>
      <c r="K49" s="14" t="inlineStr">
        <is>
          <t>V4-B｜EV 0.22988294990889258</t>
        </is>
      </c>
      <c r="L49" s="14" t="inlineStr">
        <is>
          <t>卡巴阿斯玛利</t>
        </is>
      </c>
      <c r="M49" s="47" t="n">
        <v>0.5691215999702264</v>
      </c>
      <c r="N49" s="14" t="inlineStr">
        <is>
          <t>V4纸面入选-B</t>
        </is>
      </c>
      <c r="O49" s="14" t="inlineStr">
        <is>
          <t>2-0</t>
        </is>
      </c>
      <c r="P49" s="14" t="inlineStr">
        <is>
          <t>已结算</t>
        </is>
      </c>
      <c r="Q49" s="14" t="inlineStr">
        <is>
          <t>红</t>
        </is>
      </c>
      <c r="R49" s="48" t="n">
        <v>0.95</v>
      </c>
      <c r="S49" s="48">
        <f>IF(OR(Q49="",Q49="待结算"),"",IF(Q49="红",R49,IF(Q49="半红",R49*0.5,IF(Q49="走",0,IF(Q49="半黑",-0.5,-1)))))</f>
        <v/>
      </c>
      <c r="T49" s="14" t="inlineStr">
        <is>
          <t>D:\codex\v3_legacy\outputs\football_odds_trader\raw\titan007\20261003\20261003_092303_titan007_odds_snapshot.csv</t>
        </is>
      </c>
      <c r="U49" s="14">
        <f>IF(Q49="","",IF(Q49="待结算","待结算",IF(Q49="红","黑",IF(Q49="半红","半黑",IF(Q49="走","走",IF(Q49="半黑","半红","红"))))))</f>
        <v/>
      </c>
      <c r="V49" s="48">
        <f>IF(OR(U49="",U49="待结算"),"",IF(L49=LEFT(F49,FIND(" vs ",F49)-1),I49,G49))</f>
        <v/>
      </c>
      <c r="W49" s="48">
        <f>IF(OR(U49="",U49="待结算"),"",IF(U49="红",V49,IF(U49="半红",V49*0.5,IF(U49="走",0,IF(U49="半黑",-0.5,-1)))))</f>
        <v/>
      </c>
      <c r="X49" s="14" t="inlineStr">
        <is>
          <t>3095551</t>
        </is>
      </c>
      <c r="Y49" s="14" t="inlineStr">
        <is>
          <t>V4</t>
        </is>
      </c>
      <c r="Z49" s="14" t="inlineStr">
        <is>
          <t>prior-2026-10-02-v1</t>
        </is>
      </c>
      <c r="AA49" s="14" t="inlineStr">
        <is>
          <t>B</t>
        </is>
      </c>
      <c r="AB49" s="14" t="n">
        <v>0.5691215999702264</v>
      </c>
      <c r="AC49" s="14" t="n">
        <v>0</v>
      </c>
      <c r="AD49" s="14" t="n">
        <v>0</v>
      </c>
      <c r="AE49" s="14" t="n">
        <v>0.2401916599339022</v>
      </c>
      <c r="AF49" s="14" t="n">
        <v>0.1906867400958714</v>
      </c>
      <c r="AG49" s="14" t="n">
        <v>0.2298829499088926</v>
      </c>
      <c r="AH49" s="14" t="n"/>
      <c r="AI49" s="14" t="n"/>
      <c r="AJ49" s="14" t="n">
        <v>0.2298829499088926</v>
      </c>
      <c r="AK49" s="14" t="n"/>
      <c r="AL49" s="14" t="n"/>
      <c r="AM49" s="14" t="n"/>
      <c r="AN49" s="14" t="inlineStr">
        <is>
          <t>EVALUATED</t>
        </is>
      </c>
      <c r="AO49" s="14" t="inlineStr">
        <is>
          <t>GIVING_VALIDATED_EDGE;BUCKET_PRIOR_ONLY;INTENT_INTERPRETATION_ONLY;EXPERT_MARKET</t>
        </is>
      </c>
      <c r="AP49" s="14" t="inlineStr">
        <is>
          <t>5abc8129895a29c16a78</t>
        </is>
      </c>
      <c r="AQ49" s="14" t="n">
        <v>-1.25</v>
      </c>
      <c r="AR49" s="14" t="n">
        <v>0.95</v>
      </c>
      <c r="AS49" s="14" t="n">
        <v>-1.25</v>
      </c>
      <c r="AT49" s="14" t="n">
        <v>1.25</v>
      </c>
      <c r="AU49" s="14" t="n">
        <v>0.95</v>
      </c>
      <c r="AV49" s="14" t="n">
        <v>0.75</v>
      </c>
      <c r="AW49" s="14" t="inlineStr">
        <is>
          <t>2026-10-02T08:17:52.952859+08:00</t>
        </is>
      </c>
      <c r="AX49" s="14" t="inlineStr">
        <is>
          <t>Titan007 Next</t>
        </is>
      </c>
      <c r="AY49" s="14" t="inlineStr">
        <is>
          <t>V4 Shadow Only；real_money=false；新增冻结记录</t>
        </is>
      </c>
    </row>
    <row r="50" ht="22" customHeight="1" s="39">
      <c r="A50" s="14" t="inlineStr">
        <is>
          <t>2026-10-02</t>
        </is>
      </c>
      <c r="B50" s="14" t="inlineStr">
        <is>
          <t>2026-10-02 20:30:00</t>
        </is>
      </c>
      <c r="C50" s="14" t="inlineStr">
        <is>
          <t>CLUB_LEAGUE</t>
        </is>
      </c>
      <c r="D50" s="14" t="inlineStr">
        <is>
          <t>联赛</t>
        </is>
      </c>
      <c r="E50" s="14" t="inlineStr">
        <is>
          <t>埃及甲</t>
        </is>
      </c>
      <c r="F50" s="14" t="inlineStr">
        <is>
          <t>坦塔 vs 哈伊赫多</t>
        </is>
      </c>
      <c r="G50" s="26" t="n">
        <v>0.7</v>
      </c>
      <c r="H50" s="26" t="n">
        <v>-0.25</v>
      </c>
      <c r="I50" s="26" t="n">
        <v>1</v>
      </c>
      <c r="J50" s="26" t="inlineStr">
        <is>
          <t>0.7/-0.25/1.0</t>
        </is>
      </c>
      <c r="K50" s="14" t="inlineStr">
        <is>
          <t>V4-B｜EV 0.07489338062179096</t>
        </is>
      </c>
      <c r="L50" s="14" t="inlineStr">
        <is>
          <t>哈伊赫多</t>
        </is>
      </c>
      <c r="M50" s="47" t="n">
        <v>0.4722724637269708</v>
      </c>
      <c r="N50" s="14" t="inlineStr">
        <is>
          <t>V4纸面入选-B</t>
        </is>
      </c>
      <c r="O50" s="14" t="inlineStr">
        <is>
          <t>0-2</t>
        </is>
      </c>
      <c r="P50" s="14" t="inlineStr">
        <is>
          <t>已结算</t>
        </is>
      </c>
      <c r="Q50" s="14" t="inlineStr">
        <is>
          <t>红</t>
        </is>
      </c>
      <c r="R50" s="48" t="n">
        <v>1</v>
      </c>
      <c r="S50" s="48">
        <f>IF(OR(Q50="",Q50="待结算"),"",IF(Q50="红",R50,IF(Q50="半红",R50*0.5,IF(Q50="走",0,IF(Q50="半黑",-0.5,-1)))))</f>
        <v/>
      </c>
      <c r="T50" s="14" t="inlineStr">
        <is>
          <t>D:\codex\v3_legacy\outputs\football_odds_trader\raw\titan007\20261003\20261003_092303_titan007_odds_snapshot.csv</t>
        </is>
      </c>
      <c r="U50" s="14">
        <f>IF(Q50="","",IF(Q50="待结算","待结算",IF(Q50="红","黑",IF(Q50="半红","半黑",IF(Q50="走","走",IF(Q50="半黑","半红","红"))))))</f>
        <v/>
      </c>
      <c r="V50" s="48">
        <f>IF(OR(U50="",U50="待结算"),"",IF(L50=LEFT(F50,FIND(" vs ",F50)-1),I50,G50))</f>
        <v/>
      </c>
      <c r="W50" s="48">
        <f>IF(OR(U50="",U50="待结算"),"",IF(U50="红",V50,IF(U50="半红",V50*0.5,IF(U50="走",0,IF(U50="半黑",-0.5,-1)))))</f>
        <v/>
      </c>
      <c r="X50" s="14" t="inlineStr">
        <is>
          <t>3095553</t>
        </is>
      </c>
      <c r="Y50" s="14" t="inlineStr">
        <is>
          <t>V4</t>
        </is>
      </c>
      <c r="Z50" s="14" t="inlineStr">
        <is>
          <t>prior-2026-10-02-v1</t>
        </is>
      </c>
      <c r="AA50" s="14" t="inlineStr">
        <is>
          <t>B</t>
        </is>
      </c>
      <c r="AB50" s="14" t="n">
        <v>0.4722724637269708</v>
      </c>
      <c r="AC50" s="14" t="n">
        <v>0</v>
      </c>
      <c r="AD50" s="14" t="n">
        <v>0</v>
      </c>
      <c r="AE50" s="14" t="n">
        <v>0.2606969063356987</v>
      </c>
      <c r="AF50" s="14" t="n">
        <v>0.2670306299373305</v>
      </c>
      <c r="AG50" s="14" t="n">
        <v>0.07489338062179096</v>
      </c>
      <c r="AH50" s="14" t="n"/>
      <c r="AI50" s="14" t="n"/>
      <c r="AJ50" s="14" t="n">
        <v>0.07489338062179096</v>
      </c>
      <c r="AK50" s="14" t="n"/>
      <c r="AL50" s="14" t="n"/>
      <c r="AM50" s="14" t="n"/>
      <c r="AN50" s="14" t="inlineStr">
        <is>
          <t>EVALUATED</t>
        </is>
      </c>
      <c r="AO50" s="14" t="inlineStr">
        <is>
          <t>GIVING_VALIDATED_EDGE;BUCKET_PRIOR_ONLY;INTENT_INTERPRETATION_ONLY;EXPERT_MARKET</t>
        </is>
      </c>
      <c r="AP50" s="14" t="inlineStr">
        <is>
          <t>6c49036b575ec4b99d8e</t>
        </is>
      </c>
      <c r="AQ50" s="14" t="n">
        <v>-0.25</v>
      </c>
      <c r="AR50" s="14" t="n">
        <v>1</v>
      </c>
      <c r="AS50" s="14" t="n">
        <v>-0.25</v>
      </c>
      <c r="AT50" s="14" t="n">
        <v>0.25</v>
      </c>
      <c r="AU50" s="14" t="n">
        <v>1</v>
      </c>
      <c r="AV50" s="14" t="n">
        <v>0.7</v>
      </c>
      <c r="AW50" s="14" t="inlineStr">
        <is>
          <t>2026-10-02T08:17:52.952859+08:00</t>
        </is>
      </c>
      <c r="AX50" s="14" t="inlineStr">
        <is>
          <t>Titan007 Next</t>
        </is>
      </c>
      <c r="AY50" s="14" t="inlineStr">
        <is>
          <t>V4 Shadow Only；real_money=false；新增冻结记录</t>
        </is>
      </c>
    </row>
    <row r="51" ht="22" customHeight="1" s="39">
      <c r="A51" s="14" t="inlineStr">
        <is>
          <t>2026-10-02</t>
        </is>
      </c>
      <c r="B51" s="14" t="inlineStr">
        <is>
          <t>2026-10-02 21:15:00</t>
        </is>
      </c>
      <c r="C51" s="14" t="inlineStr">
        <is>
          <t>CLUB_CUP</t>
        </is>
      </c>
      <c r="D51" s="14" t="inlineStr">
        <is>
          <t>杯赛</t>
        </is>
      </c>
      <c r="E51" s="14" t="inlineStr">
        <is>
          <t>阿联酋杯</t>
        </is>
      </c>
      <c r="F51" s="14" t="inlineStr">
        <is>
          <t>艾因 vs 阿治曼</t>
        </is>
      </c>
      <c r="G51" s="26" t="n">
        <v>0.88</v>
      </c>
      <c r="H51" s="26" t="n">
        <v>-1.5</v>
      </c>
      <c r="I51" s="26" t="n">
        <v>0.82</v>
      </c>
      <c r="J51" s="26" t="inlineStr">
        <is>
          <t>0.88/-1.5/0.82</t>
        </is>
      </c>
      <c r="K51" s="14" t="inlineStr">
        <is>
          <t>V4-B｜EV 0.08948851553045883</t>
        </is>
      </c>
      <c r="L51" s="14" t="inlineStr">
        <is>
          <t>艾因</t>
        </is>
      </c>
      <c r="M51" s="47" t="n">
        <v>0.5795151678353504</v>
      </c>
      <c r="N51" s="14" t="inlineStr">
        <is>
          <t>V4纸面入选-B</t>
        </is>
      </c>
      <c r="O51" s="14" t="inlineStr">
        <is>
          <t>2-3</t>
        </is>
      </c>
      <c r="P51" s="14" t="inlineStr">
        <is>
          <t>已结算</t>
        </is>
      </c>
      <c r="Q51" s="14" t="inlineStr">
        <is>
          <t>黑</t>
        </is>
      </c>
      <c r="R51" s="48" t="n">
        <v>0.88</v>
      </c>
      <c r="S51" s="48">
        <f>IF(OR(Q51="",Q51="待结算"),"",IF(Q51="红",R51,IF(Q51="半红",R51*0.5,IF(Q51="走",0,IF(Q51="半黑",-0.5,-1)))))</f>
        <v/>
      </c>
      <c r="T51" s="14" t="inlineStr">
        <is>
          <t>D:\codex\v3_legacy\outputs\football_odds_trader\raw\titan007\20261003\20261003_092303_titan007_odds_snapshot.csv</t>
        </is>
      </c>
      <c r="U51" s="14">
        <f>IF(Q51="","",IF(Q51="待结算","待结算",IF(Q51="红","黑",IF(Q51="半红","半黑",IF(Q51="走","走",IF(Q51="半黑","半红","红"))))))</f>
        <v/>
      </c>
      <c r="V51" s="48">
        <f>IF(OR(U51="",U51="待结算"),"",IF(L51=LEFT(F51,FIND(" vs ",F51)-1),I51,G51))</f>
        <v/>
      </c>
      <c r="W51" s="48">
        <f>IF(OR(U51="",U51="待结算"),"",IF(U51="红",V51,IF(U51="半红",V51*0.5,IF(U51="走",0,IF(U51="半黑",-0.5,-1)))))</f>
        <v/>
      </c>
      <c r="X51" s="14" t="inlineStr">
        <is>
          <t>3084334</t>
        </is>
      </c>
      <c r="Y51" s="14" t="inlineStr">
        <is>
          <t>V4</t>
        </is>
      </c>
      <c r="Z51" s="14" t="inlineStr">
        <is>
          <t>prior-2026-10-02-v1</t>
        </is>
      </c>
      <c r="AA51" s="14" t="inlineStr">
        <is>
          <t>B</t>
        </is>
      </c>
      <c r="AB51" s="14" t="n">
        <v>0.5795151678353504</v>
      </c>
      <c r="AC51" s="14" t="n">
        <v>0</v>
      </c>
      <c r="AD51" s="14" t="n">
        <v>0</v>
      </c>
      <c r="AE51" s="14" t="n">
        <v>0</v>
      </c>
      <c r="AF51" s="14" t="n">
        <v>0.4204848321646495</v>
      </c>
      <c r="AG51" s="14" t="n">
        <v>0.08948851553045883</v>
      </c>
      <c r="AH51" s="14" t="n"/>
      <c r="AI51" s="14" t="n"/>
      <c r="AJ51" s="14" t="n">
        <v>0.08948851553045883</v>
      </c>
      <c r="AK51" s="14" t="n"/>
      <c r="AL51" s="14" t="n"/>
      <c r="AM51" s="14" t="n"/>
      <c r="AN51" s="14" t="inlineStr">
        <is>
          <t>EVALUATED</t>
        </is>
      </c>
      <c r="AO51" s="14" t="inlineStr">
        <is>
          <t>GIVING_VALIDATED_EDGE;BUCKET_PRIOR_ONLY;INTENT_INTERPRETATION_ONLY;EXPERT_MARKET</t>
        </is>
      </c>
      <c r="AP51" s="14" t="inlineStr">
        <is>
          <t>aa62fe1e7f5298e2bf7e</t>
        </is>
      </c>
      <c r="AQ51" s="14" t="n">
        <v>-1.5</v>
      </c>
      <c r="AR51" s="14" t="n">
        <v>0.88</v>
      </c>
      <c r="AS51" s="14" t="n">
        <v>-1.5</v>
      </c>
      <c r="AT51" s="14" t="n">
        <v>1.5</v>
      </c>
      <c r="AU51" s="14" t="n">
        <v>0.88</v>
      </c>
      <c r="AV51" s="14" t="n">
        <v>0.82</v>
      </c>
      <c r="AW51" s="14" t="inlineStr">
        <is>
          <t>2026-10-02T08:17:52.952859+08:00</t>
        </is>
      </c>
      <c r="AX51" s="14" t="inlineStr">
        <is>
          <t>Titan007 Next</t>
        </is>
      </c>
      <c r="AY51" s="14" t="inlineStr">
        <is>
          <t>V4 Shadow Only；real_money=false；新增冻结记录</t>
        </is>
      </c>
    </row>
    <row r="52" ht="22" customHeight="1" s="39">
      <c r="A52" s="14" t="inlineStr">
        <is>
          <t>2026-10-02</t>
        </is>
      </c>
      <c r="B52" s="14" t="inlineStr">
        <is>
          <t>2026-10-02 21:15:00</t>
        </is>
      </c>
      <c r="C52" s="14" t="inlineStr">
        <is>
          <t>CLUB_CUP</t>
        </is>
      </c>
      <c r="D52" s="14" t="inlineStr">
        <is>
          <t>杯赛</t>
        </is>
      </c>
      <c r="E52" s="14" t="inlineStr">
        <is>
          <t>阿联酋杯</t>
        </is>
      </c>
      <c r="F52" s="14" t="inlineStr">
        <is>
          <t>迪拜祈祷 vs 伊蒂哈德卡尔巴</t>
        </is>
      </c>
      <c r="G52" s="26" t="n">
        <v>0.9</v>
      </c>
      <c r="H52" s="26" t="n">
        <v>-1.5</v>
      </c>
      <c r="I52" s="26" t="n">
        <v>0.8</v>
      </c>
      <c r="J52" s="26" t="inlineStr">
        <is>
          <t>0.9/-1.5/0.8</t>
        </is>
      </c>
      <c r="K52" s="14" t="inlineStr">
        <is>
          <t>V4-C｜EV 0.06735754188022858</t>
        </is>
      </c>
      <c r="L52" s="14" t="inlineStr">
        <is>
          <t>迪拜祈祷</t>
        </is>
      </c>
      <c r="M52" s="47" t="n">
        <v>0.5617671273053835</v>
      </c>
      <c r="N52" s="14" t="inlineStr">
        <is>
          <t>V4纸面入选-C</t>
        </is>
      </c>
      <c r="O52" s="14" t="inlineStr">
        <is>
          <t>4-0</t>
        </is>
      </c>
      <c r="P52" s="14" t="inlineStr">
        <is>
          <t>已结算</t>
        </is>
      </c>
      <c r="Q52" s="14" t="inlineStr">
        <is>
          <t>红</t>
        </is>
      </c>
      <c r="R52" s="48" t="n">
        <v>0.9</v>
      </c>
      <c r="S52" s="48">
        <f>IF(OR(Q52="",Q52="待结算"),"",IF(Q52="红",R52,IF(Q52="半红",R52*0.5,IF(Q52="走",0,IF(Q52="半黑",-0.5,-1)))))</f>
        <v/>
      </c>
      <c r="T52" s="14" t="inlineStr">
        <is>
          <t>D:\codex\v3_legacy\outputs\football_odds_trader\raw\titan007\20261003\20261003_092303_titan007_odds_snapshot.csv</t>
        </is>
      </c>
      <c r="U52" s="14">
        <f>IF(Q52="","",IF(Q52="待结算","待结算",IF(Q52="红","黑",IF(Q52="半红","半黑",IF(Q52="走","走",IF(Q52="半黑","半红","红"))))))</f>
        <v/>
      </c>
      <c r="V52" s="48">
        <f>IF(OR(U52="",U52="待结算"),"",IF(L52=LEFT(F52,FIND(" vs ",F52)-1),I52,G52))</f>
        <v/>
      </c>
      <c r="W52" s="48">
        <f>IF(OR(U52="",U52="待结算"),"",IF(U52="红",V52,IF(U52="半红",V52*0.5,IF(U52="走",0,IF(U52="半黑",-0.5,-1)))))</f>
        <v/>
      </c>
      <c r="X52" s="14" t="inlineStr">
        <is>
          <t>3084335</t>
        </is>
      </c>
      <c r="Y52" s="14" t="inlineStr">
        <is>
          <t>V4</t>
        </is>
      </c>
      <c r="Z52" s="14" t="inlineStr">
        <is>
          <t>prior-2026-10-02-v1</t>
        </is>
      </c>
      <c r="AA52" s="14" t="inlineStr">
        <is>
          <t>C</t>
        </is>
      </c>
      <c r="AB52" s="14" t="n">
        <v>0.5617671273053835</v>
      </c>
      <c r="AC52" s="14" t="n">
        <v>0</v>
      </c>
      <c r="AD52" s="14" t="n">
        <v>0</v>
      </c>
      <c r="AE52" s="14" t="n">
        <v>0</v>
      </c>
      <c r="AF52" s="14" t="n">
        <v>0.4382328726946165</v>
      </c>
      <c r="AG52" s="14" t="n">
        <v>0.06735754188022858</v>
      </c>
      <c r="AH52" s="14" t="n"/>
      <c r="AI52" s="14" t="n"/>
      <c r="AJ52" s="14" t="n">
        <v>0.06735754188022858</v>
      </c>
      <c r="AK52" s="14" t="n"/>
      <c r="AL52" s="14" t="n"/>
      <c r="AM52" s="14" t="n"/>
      <c r="AN52" s="14" t="inlineStr">
        <is>
          <t>EVALUATED</t>
        </is>
      </c>
      <c r="AO52" s="14" t="inlineStr">
        <is>
          <t>GIVING_VALIDATED_EDGE;BUCKET_PRIOR_ONLY;INTENT_INTERPRETATION_ONLY;EXPERT_MARKET</t>
        </is>
      </c>
      <c r="AP52" s="14" t="inlineStr">
        <is>
          <t>a535ffbf7a7b8aff4059</t>
        </is>
      </c>
      <c r="AQ52" s="14" t="n">
        <v>-1.5</v>
      </c>
      <c r="AR52" s="14" t="n">
        <v>0.9</v>
      </c>
      <c r="AS52" s="14" t="n">
        <v>-1.5</v>
      </c>
      <c r="AT52" s="14" t="n">
        <v>1.5</v>
      </c>
      <c r="AU52" s="14" t="n">
        <v>0.9</v>
      </c>
      <c r="AV52" s="14" t="n">
        <v>0.8</v>
      </c>
      <c r="AW52" s="14" t="inlineStr">
        <is>
          <t>2026-10-02T08:17:52.952859+08:00</t>
        </is>
      </c>
      <c r="AX52" s="14" t="inlineStr">
        <is>
          <t>Titan007 Next</t>
        </is>
      </c>
      <c r="AY52" s="14" t="inlineStr">
        <is>
          <t>V4 Shadow Only；real_money=false；新增冻结记录</t>
        </is>
      </c>
    </row>
    <row r="53" ht="22" customHeight="1" s="39">
      <c r="A53" s="14" t="inlineStr">
        <is>
          <t>2026-10-02</t>
        </is>
      </c>
      <c r="B53" s="14" t="inlineStr">
        <is>
          <t>2026-10-02 22:00:00</t>
        </is>
      </c>
      <c r="C53" s="14" t="inlineStr">
        <is>
          <t>NATIONAL_OFFICIAL</t>
        </is>
      </c>
      <c r="D53" s="14" t="inlineStr">
        <is>
          <t>联赛</t>
        </is>
      </c>
      <c r="E53" s="14" t="inlineStr">
        <is>
          <t>欧国联</t>
        </is>
      </c>
      <c r="F53" s="14" t="inlineStr">
        <is>
          <t>哈萨克斯坦 vs 摩尔多瓦</t>
        </is>
      </c>
      <c r="G53" s="26" t="n">
        <v>0.9</v>
      </c>
      <c r="H53" s="26" t="n">
        <v>-0.5</v>
      </c>
      <c r="I53" s="26" t="n">
        <v>0.98</v>
      </c>
      <c r="J53" s="26" t="inlineStr">
        <is>
          <t>0.9/-0.5/0.98</t>
        </is>
      </c>
      <c r="K53" s="14" t="inlineStr">
        <is>
          <t>V4-B｜EV 0.20211298254092958</t>
        </is>
      </c>
      <c r="L53" s="14" t="inlineStr">
        <is>
          <t>哈萨克斯坦</t>
        </is>
      </c>
      <c r="M53" s="47" t="n">
        <v>0.6326910434425945</v>
      </c>
      <c r="N53" s="14" t="inlineStr">
        <is>
          <t>V4纸面入选-B</t>
        </is>
      </c>
      <c r="O53" s="14" t="inlineStr">
        <is>
          <t>1-2</t>
        </is>
      </c>
      <c r="P53" s="14" t="inlineStr">
        <is>
          <t>已结算</t>
        </is>
      </c>
      <c r="Q53" s="14" t="inlineStr">
        <is>
          <t>黑</t>
        </is>
      </c>
      <c r="R53" s="48" t="n">
        <v>0.9</v>
      </c>
      <c r="S53" s="48">
        <f>IF(OR(Q53="",Q53="待结算"),"",IF(Q53="红",R53,IF(Q53="半红",R53*0.5,IF(Q53="走",0,IF(Q53="半黑",-0.5,-1)))))</f>
        <v/>
      </c>
      <c r="T53" s="14" t="inlineStr">
        <is>
          <t>D:\codex\v3_legacy\outputs\football_odds_trader\raw\titan007\20261003\20261003_092303_titan007_odds_snapshot.csv</t>
        </is>
      </c>
      <c r="U53" s="14">
        <f>IF(Q53="","",IF(Q53="待结算","待结算",IF(Q53="红","黑",IF(Q53="半红","半黑",IF(Q53="走","走",IF(Q53="半黑","半红","红"))))))</f>
        <v/>
      </c>
      <c r="V53" s="48">
        <f>IF(OR(U53="",U53="待结算"),"",IF(L53=LEFT(F53,FIND(" vs ",F53)-1),I53,G53))</f>
        <v/>
      </c>
      <c r="W53" s="48">
        <f>IF(OR(U53="",U53="待结算"),"",IF(U53="红",V53,IF(U53="半红",V53*0.5,IF(U53="走",0,IF(U53="半黑",-0.5,-1)))))</f>
        <v/>
      </c>
      <c r="X53" s="14" t="inlineStr">
        <is>
          <t>2981539</t>
        </is>
      </c>
      <c r="Y53" s="14" t="inlineStr">
        <is>
          <t>V4</t>
        </is>
      </c>
      <c r="Z53" s="14" t="inlineStr">
        <is>
          <t>prior-2026-10-02-v1</t>
        </is>
      </c>
      <c r="AA53" s="14" t="inlineStr">
        <is>
          <t>B</t>
        </is>
      </c>
      <c r="AB53" s="14" t="n">
        <v>0.6326910434425945</v>
      </c>
      <c r="AC53" s="14" t="n">
        <v>0</v>
      </c>
      <c r="AD53" s="14" t="n">
        <v>0</v>
      </c>
      <c r="AE53" s="14" t="n">
        <v>0</v>
      </c>
      <c r="AF53" s="14" t="n">
        <v>0.3673089565574055</v>
      </c>
      <c r="AG53" s="14" t="n">
        <v>0.2021129825409296</v>
      </c>
      <c r="AH53" s="14" t="n"/>
      <c r="AI53" s="14" t="n"/>
      <c r="AJ53" s="14" t="n">
        <v>0.2021129825409296</v>
      </c>
      <c r="AK53" s="14" t="n"/>
      <c r="AL53" s="14" t="n"/>
      <c r="AM53" s="14" t="n"/>
      <c r="AN53" s="14" t="inlineStr">
        <is>
          <t>EVALUATED</t>
        </is>
      </c>
      <c r="AO53" s="14" t="inlineStr">
        <is>
          <t>GIVING_VALIDATED_EDGE;BUCKET_PRIOR_ONLY;INTENT_INTERPRETATION_ONLY;EXPERT_MARKET</t>
        </is>
      </c>
      <c r="AP53" s="14" t="inlineStr">
        <is>
          <t>a2fda673ef805ac318eb</t>
        </is>
      </c>
      <c r="AQ53" s="14" t="n">
        <v>-0.5</v>
      </c>
      <c r="AR53" s="14" t="n">
        <v>0.9</v>
      </c>
      <c r="AS53" s="14" t="n">
        <v>-0.5</v>
      </c>
      <c r="AT53" s="14" t="n">
        <v>0.5</v>
      </c>
      <c r="AU53" s="14" t="n">
        <v>0.9</v>
      </c>
      <c r="AV53" s="14" t="n">
        <v>0.98</v>
      </c>
      <c r="AW53" s="14" t="inlineStr">
        <is>
          <t>2026-10-02T08:17:52.952859+08:00</t>
        </is>
      </c>
      <c r="AX53" s="14" t="inlineStr">
        <is>
          <t>Titan007 Next</t>
        </is>
      </c>
      <c r="AY53" s="14" t="inlineStr">
        <is>
          <t>V4 Shadow Only；real_money=false；新增冻结记录</t>
        </is>
      </c>
    </row>
    <row r="54" ht="22" customHeight="1" s="39">
      <c r="A54" s="14" t="inlineStr">
        <is>
          <t>2026-10-02</t>
        </is>
      </c>
      <c r="B54" s="14" t="inlineStr">
        <is>
          <t>2026-10-02 23:45:00</t>
        </is>
      </c>
      <c r="C54" s="14" t="inlineStr">
        <is>
          <t>CLUB_CUP</t>
        </is>
      </c>
      <c r="D54" s="14" t="inlineStr">
        <is>
          <t>杯赛</t>
        </is>
      </c>
      <c r="E54" s="14" t="inlineStr">
        <is>
          <t>阿联酋杯</t>
        </is>
      </c>
      <c r="F54" s="14" t="inlineStr">
        <is>
          <t>迪拜青年国民 vs 迪拜胜利</t>
        </is>
      </c>
      <c r="G54" s="26" t="n">
        <v>0.8</v>
      </c>
      <c r="H54" s="26" t="n">
        <v>-0.75</v>
      </c>
      <c r="I54" s="26" t="n">
        <v>0.9</v>
      </c>
      <c r="J54" s="26" t="inlineStr">
        <is>
          <t>0.8/-0.75/0.9</t>
        </is>
      </c>
      <c r="K54" s="14" t="inlineStr">
        <is>
          <t>V4-B｜EV 0.08838180959494946</t>
        </is>
      </c>
      <c r="L54" s="14" t="inlineStr">
        <is>
          <t>迪拜青年国民</t>
        </is>
      </c>
      <c r="M54" s="47" t="n">
        <v>0.5337012664952371</v>
      </c>
      <c r="N54" s="14" t="inlineStr">
        <is>
          <t>V4纸面入选-B</t>
        </is>
      </c>
      <c r="O54" s="14" t="inlineStr">
        <is>
          <t>1-1</t>
        </is>
      </c>
      <c r="P54" s="14" t="inlineStr">
        <is>
          <t>已结算</t>
        </is>
      </c>
      <c r="Q54" s="14" t="inlineStr">
        <is>
          <t>黑</t>
        </is>
      </c>
      <c r="R54" s="48" t="n">
        <v>0.8</v>
      </c>
      <c r="S54" s="48">
        <f>IF(OR(Q54="",Q54="待结算"),"",IF(Q54="红",R54,IF(Q54="半红",R54*0.5,IF(Q54="走",0,IF(Q54="半黑",-0.5,-1)))))</f>
        <v/>
      </c>
      <c r="T54" s="14" t="inlineStr">
        <is>
          <t>D:\codex\v3_legacy\outputs\football_odds_trader\raw\titan007\20261003\20261003_092303_titan007_odds_snapshot.csv</t>
        </is>
      </c>
      <c r="U54" s="14">
        <f>IF(Q54="","",IF(Q54="待结算","待结算",IF(Q54="红","黑",IF(Q54="半红","半黑",IF(Q54="走","走",IF(Q54="半黑","半红","红"))))))</f>
        <v/>
      </c>
      <c r="V54" s="48">
        <f>IF(OR(U54="",U54="待结算"),"",IF(L54=LEFT(F54,FIND(" vs ",F54)-1),I54,G54))</f>
        <v/>
      </c>
      <c r="W54" s="48">
        <f>IF(OR(U54="",U54="待结算"),"",IF(U54="红",V54,IF(U54="半红",V54*0.5,IF(U54="走",0,IF(U54="半黑",-0.5,-1)))))</f>
        <v/>
      </c>
      <c r="X54" s="14" t="inlineStr">
        <is>
          <t>3084336</t>
        </is>
      </c>
      <c r="Y54" s="14" t="inlineStr">
        <is>
          <t>V4</t>
        </is>
      </c>
      <c r="Z54" s="14" t="inlineStr">
        <is>
          <t>prior-2026-10-02-v1</t>
        </is>
      </c>
      <c r="AA54" s="14" t="inlineStr">
        <is>
          <t>B</t>
        </is>
      </c>
      <c r="AB54" s="14" t="n">
        <v>0.4059817365917145</v>
      </c>
      <c r="AC54" s="14" t="n">
        <v>0.2554390598070452</v>
      </c>
      <c r="AD54" s="14" t="n">
        <v>0</v>
      </c>
      <c r="AE54" s="14" t="n">
        <v>0</v>
      </c>
      <c r="AF54" s="14" t="n">
        <v>0.3385792036012403</v>
      </c>
      <c r="AG54" s="14" t="n">
        <v>0.08838180959494946</v>
      </c>
      <c r="AH54" s="14" t="n"/>
      <c r="AI54" s="14" t="n"/>
      <c r="AJ54" s="14" t="n">
        <v>0.08838180959494946</v>
      </c>
      <c r="AK54" s="14" t="n"/>
      <c r="AL54" s="14" t="n"/>
      <c r="AM54" s="14" t="n"/>
      <c r="AN54" s="14" t="inlineStr">
        <is>
          <t>EVALUATED</t>
        </is>
      </c>
      <c r="AO54" s="14" t="inlineStr">
        <is>
          <t>GIVING_VALIDATED_EDGE;BUCKET_PRIOR_ONLY;INTENT_INTERPRETATION_ONLY;EXPERT_MARKET</t>
        </is>
      </c>
      <c r="AP54" s="14" t="inlineStr">
        <is>
          <t>4c27015154cfe5c5a115</t>
        </is>
      </c>
      <c r="AQ54" s="14" t="n">
        <v>-0.75</v>
      </c>
      <c r="AR54" s="14" t="n">
        <v>0.8</v>
      </c>
      <c r="AS54" s="14" t="n">
        <v>-0.75</v>
      </c>
      <c r="AT54" s="14" t="n">
        <v>0.75</v>
      </c>
      <c r="AU54" s="14" t="n">
        <v>0.8</v>
      </c>
      <c r="AV54" s="14" t="n">
        <v>0.9</v>
      </c>
      <c r="AW54" s="14" t="inlineStr">
        <is>
          <t>2026-10-02T08:17:52.952859+08:00</t>
        </is>
      </c>
      <c r="AX54" s="14" t="inlineStr">
        <is>
          <t>Titan007 Next</t>
        </is>
      </c>
      <c r="AY54" s="14" t="inlineStr">
        <is>
          <t>V4 Shadow Only；real_money=false；新增冻结记录</t>
        </is>
      </c>
    </row>
    <row r="55" ht="22" customHeight="1" s="39">
      <c r="A55" s="14" t="inlineStr">
        <is>
          <t>2026-10-02</t>
        </is>
      </c>
      <c r="B55" s="14" t="inlineStr">
        <is>
          <t>2026-10-03 00:00:00</t>
        </is>
      </c>
      <c r="C55" s="14" t="inlineStr">
        <is>
          <t>NATIONAL_OFFICIAL</t>
        </is>
      </c>
      <c r="D55" s="14" t="inlineStr">
        <is>
          <t>联赛</t>
        </is>
      </c>
      <c r="E55" s="14" t="inlineStr">
        <is>
          <t>欧国联</t>
        </is>
      </c>
      <c r="F55" s="14" t="inlineStr">
        <is>
          <t>拉脱维亚 vs 黑山</t>
        </is>
      </c>
      <c r="G55" s="26" t="n">
        <v>0.83</v>
      </c>
      <c r="H55" s="26" t="n">
        <v>-0.75</v>
      </c>
      <c r="I55" s="26" t="n">
        <v>1.05</v>
      </c>
      <c r="J55" s="26" t="inlineStr">
        <is>
          <t>0.83/-0.75/1.05</t>
        </is>
      </c>
      <c r="K55" s="14" t="inlineStr">
        <is>
          <t>V4-B｜EV 0.11809403621282294</t>
        </is>
      </c>
      <c r="L55" s="14" t="inlineStr">
        <is>
          <t>黑山</t>
        </is>
      </c>
      <c r="M55" s="47" t="n">
        <v>0.4828862514375211</v>
      </c>
      <c r="N55" s="14" t="inlineStr">
        <is>
          <t>V4纸面入选-B</t>
        </is>
      </c>
      <c r="O55" s="14" t="inlineStr">
        <is>
          <t>1-2</t>
        </is>
      </c>
      <c r="P55" s="14" t="inlineStr">
        <is>
          <t>已结算</t>
        </is>
      </c>
      <c r="Q55" s="14" t="inlineStr">
        <is>
          <t>半红</t>
        </is>
      </c>
      <c r="R55" s="48" t="n">
        <v>1.05</v>
      </c>
      <c r="S55" s="48">
        <f>IF(OR(Q55="",Q55="待结算"),"",IF(Q55="红",R55,IF(Q55="半红",R55*0.5,IF(Q55="走",0,IF(Q55="半黑",-0.5,-1)))))</f>
        <v/>
      </c>
      <c r="T55" s="14" t="inlineStr">
        <is>
          <t>D:\codex\v3_legacy\outputs\football_odds_trader\raw\titan007\20261003\20261003_092303_titan007_odds_snapshot.csv</t>
        </is>
      </c>
      <c r="U55" s="14">
        <f>IF(Q55="","",IF(Q55="待结算","待结算",IF(Q55="红","黑",IF(Q55="半红","半黑",IF(Q55="走","走",IF(Q55="半黑","半红","红"))))))</f>
        <v/>
      </c>
      <c r="V55" s="48">
        <f>IF(OR(U55="",U55="待结算"),"",IF(L55=LEFT(F55,FIND(" vs ",F55)-1),I55,G55))</f>
        <v/>
      </c>
      <c r="W55" s="48">
        <f>IF(OR(U55="",U55="待结算"),"",IF(U55="红",V55,IF(U55="半红",V55*0.5,IF(U55="走",0,IF(U55="半黑",-0.5,-1)))))</f>
        <v/>
      </c>
      <c r="X55" s="14" t="inlineStr">
        <is>
          <t>2981540</t>
        </is>
      </c>
      <c r="Y55" s="14" t="inlineStr">
        <is>
          <t>V4</t>
        </is>
      </c>
      <c r="Z55" s="14" t="inlineStr">
        <is>
          <t>prior-2026-10-02-v1</t>
        </is>
      </c>
      <c r="AA55" s="14" t="inlineStr">
        <is>
          <t>B</t>
        </is>
      </c>
      <c r="AB55" s="14" t="n">
        <v>0.3547090306716166</v>
      </c>
      <c r="AC55" s="14" t="n">
        <v>0.256354441531809</v>
      </c>
      <c r="AD55" s="14" t="n">
        <v>0</v>
      </c>
      <c r="AE55" s="14" t="n">
        <v>0</v>
      </c>
      <c r="AF55" s="14" t="n">
        <v>0.3889365277965743</v>
      </c>
      <c r="AG55" s="14" t="n">
        <v>0.1180940362128229</v>
      </c>
      <c r="AH55" s="14" t="n"/>
      <c r="AI55" s="14" t="n"/>
      <c r="AJ55" s="14" t="n">
        <v>0.1180940362128229</v>
      </c>
      <c r="AK55" s="14" t="n"/>
      <c r="AL55" s="14" t="n"/>
      <c r="AM55" s="14" t="n"/>
      <c r="AN55" s="14" t="inlineStr">
        <is>
          <t>EVALUATED</t>
        </is>
      </c>
      <c r="AO55" s="14" t="inlineStr">
        <is>
          <t>GIVING_VALIDATED_EDGE;BUCKET_PRIOR_ONLY;INTENT_INTERPRETATION_ONLY;EXPERT_MARKET</t>
        </is>
      </c>
      <c r="AP55" s="14" t="inlineStr">
        <is>
          <t>5da4b7f0677069749ee4</t>
        </is>
      </c>
      <c r="AQ55" s="14" t="n">
        <v>-0.75</v>
      </c>
      <c r="AR55" s="14" t="n">
        <v>1.05</v>
      </c>
      <c r="AS55" s="14" t="n">
        <v>-0.75</v>
      </c>
      <c r="AT55" s="14" t="n">
        <v>0.75</v>
      </c>
      <c r="AU55" s="14" t="n">
        <v>1.05</v>
      </c>
      <c r="AV55" s="14" t="n">
        <v>0.83</v>
      </c>
      <c r="AW55" s="14" t="inlineStr">
        <is>
          <t>2026-10-02T08:17:52.952859+08:00</t>
        </is>
      </c>
      <c r="AX55" s="14" t="inlineStr">
        <is>
          <t>Titan007 Next</t>
        </is>
      </c>
      <c r="AY55" s="14" t="inlineStr">
        <is>
          <t>V4 Shadow Only；real_money=false；新增冻结记录</t>
        </is>
      </c>
    </row>
    <row r="56" ht="22" customHeight="1" s="39">
      <c r="A56" s="14" t="inlineStr">
        <is>
          <t>2026-10-02</t>
        </is>
      </c>
      <c r="B56" s="14" t="inlineStr">
        <is>
          <t>2026-10-03 00:00:00</t>
        </is>
      </c>
      <c r="C56" s="14" t="inlineStr">
        <is>
          <t>NATIONAL_YOUTH</t>
        </is>
      </c>
      <c r="D56" s="14" t="inlineStr">
        <is>
          <t>联赛</t>
        </is>
      </c>
      <c r="E56" s="14" t="inlineStr">
        <is>
          <t>欧青U21外</t>
        </is>
      </c>
      <c r="F56" s="14" t="inlineStr">
        <is>
          <t>斯洛文尼亚U21 vs 荷兰U21</t>
        </is>
      </c>
      <c r="G56" s="26" t="n">
        <v>0.9</v>
      </c>
      <c r="H56" s="26" t="n">
        <v>-1.5</v>
      </c>
      <c r="I56" s="26" t="n">
        <v>0.92</v>
      </c>
      <c r="J56" s="26" t="inlineStr">
        <is>
          <t>0.9/-1.5/0.92</t>
        </is>
      </c>
      <c r="K56" s="14" t="inlineStr">
        <is>
          <t>V4-C｜EV 0.0895438130029802</t>
        </is>
      </c>
      <c r="L56" s="14" t="inlineStr">
        <is>
          <t>荷兰U21</t>
        </is>
      </c>
      <c r="M56" s="47" t="n">
        <v>0.5674707359390522</v>
      </c>
      <c r="N56" s="14" t="inlineStr">
        <is>
          <t>V4纸面入选-C</t>
        </is>
      </c>
      <c r="O56" s="14" t="inlineStr">
        <is>
          <t>2-4</t>
        </is>
      </c>
      <c r="P56" s="14" t="inlineStr">
        <is>
          <t>已结算</t>
        </is>
      </c>
      <c r="Q56" s="14" t="inlineStr">
        <is>
          <t>红</t>
        </is>
      </c>
      <c r="R56" s="48" t="n">
        <v>0.92</v>
      </c>
      <c r="S56" s="48">
        <f>IF(OR(Q56="",Q56="待结算"),"",IF(Q56="红",R56,IF(Q56="半红",R56*0.5,IF(Q56="走",0,IF(Q56="半黑",-0.5,-1)))))</f>
        <v/>
      </c>
      <c r="T56" s="14" t="inlineStr">
        <is>
          <t>D:\codex\v3_legacy\outputs\football_odds_trader\raw\titan007\20261003\20261003_092303_titan007_odds_snapshot.csv</t>
        </is>
      </c>
      <c r="U56" s="14">
        <f>IF(Q56="","",IF(Q56="待结算","待结算",IF(Q56="红","黑",IF(Q56="半红","半黑",IF(Q56="走","走",IF(Q56="半黑","半红","红"))))))</f>
        <v/>
      </c>
      <c r="V56" s="48">
        <f>IF(OR(U56="",U56="待结算"),"",IF(L56=LEFT(F56,FIND(" vs ",F56)-1),I56,G56))</f>
        <v/>
      </c>
      <c r="W56" s="48">
        <f>IF(OR(U56="",U56="待结算"),"",IF(U56="红",V56,IF(U56="半红",V56*0.5,IF(U56="走",0,IF(U56="半黑",-0.5,-1)))))</f>
        <v/>
      </c>
      <c r="X56" s="14" t="inlineStr">
        <is>
          <t>2781368</t>
        </is>
      </c>
      <c r="Y56" s="14" t="inlineStr">
        <is>
          <t>V4</t>
        </is>
      </c>
      <c r="Z56" s="14" t="inlineStr">
        <is>
          <t>prior-2026-10-02-v1</t>
        </is>
      </c>
      <c r="AA56" s="14" t="inlineStr">
        <is>
          <t>C</t>
        </is>
      </c>
      <c r="AB56" s="14" t="n">
        <v>0.5674707359390522</v>
      </c>
      <c r="AC56" s="14" t="n">
        <v>0</v>
      </c>
      <c r="AD56" s="14" t="n">
        <v>0</v>
      </c>
      <c r="AE56" s="14" t="n">
        <v>0</v>
      </c>
      <c r="AF56" s="14" t="n">
        <v>0.4325292640609478</v>
      </c>
      <c r="AG56" s="14" t="n">
        <v>0.0895438130029802</v>
      </c>
      <c r="AH56" s="14" t="n"/>
      <c r="AI56" s="14" t="n"/>
      <c r="AJ56" s="14" t="n">
        <v>0.0895438130029802</v>
      </c>
      <c r="AK56" s="14" t="n"/>
      <c r="AL56" s="14" t="n"/>
      <c r="AM56" s="14" t="n"/>
      <c r="AN56" s="14" t="inlineStr">
        <is>
          <t>EVALUATED</t>
        </is>
      </c>
      <c r="AO56" s="14" t="inlineStr">
        <is>
          <t>GIVING_VALIDATED_EDGE;BUCKET_PRIOR_ONLY;INTENT_INTERPRETATION_ONLY;EXPERT_MARKET</t>
        </is>
      </c>
      <c r="AP56" s="14" t="inlineStr">
        <is>
          <t>0f425035f7b2d6a6408b</t>
        </is>
      </c>
      <c r="AQ56" s="14" t="n">
        <v>-1.5</v>
      </c>
      <c r="AR56" s="14" t="n">
        <v>0.92</v>
      </c>
      <c r="AS56" s="14" t="n">
        <v>-1.5</v>
      </c>
      <c r="AT56" s="14" t="n">
        <v>1.5</v>
      </c>
      <c r="AU56" s="14" t="n">
        <v>0.92</v>
      </c>
      <c r="AV56" s="14" t="n">
        <v>0.9</v>
      </c>
      <c r="AW56" s="14" t="inlineStr">
        <is>
          <t>2026-10-02T08:17:52.952859+08:00</t>
        </is>
      </c>
      <c r="AX56" s="14" t="inlineStr">
        <is>
          <t>Titan007 Next</t>
        </is>
      </c>
      <c r="AY56" s="14" t="inlineStr">
        <is>
          <t>V4 Shadow Only；real_money=false；新增冻结记录</t>
        </is>
      </c>
    </row>
    <row r="57" ht="22" customHeight="1" s="39">
      <c r="A57" s="14" t="inlineStr">
        <is>
          <t>2026-10-02</t>
        </is>
      </c>
      <c r="B57" s="14" t="inlineStr">
        <is>
          <t>2026-10-03 00:00:00</t>
        </is>
      </c>
      <c r="C57" s="14" t="inlineStr">
        <is>
          <t>CLUB_LEAGUE</t>
        </is>
      </c>
      <c r="D57" s="14" t="inlineStr">
        <is>
          <t>联赛</t>
        </is>
      </c>
      <c r="E57" s="14" t="inlineStr">
        <is>
          <t>捷丙</t>
        </is>
      </c>
      <c r="F57" s="14" t="inlineStr">
        <is>
          <t>赫拉尼斯 vs 利森B队</t>
        </is>
      </c>
      <c r="G57" s="26" t="n">
        <v>0.9</v>
      </c>
      <c r="H57" s="26" t="n">
        <v>-0.75</v>
      </c>
      <c r="I57" s="26" t="n">
        <v>0.8</v>
      </c>
      <c r="J57" s="26" t="inlineStr">
        <is>
          <t>0.9/-0.75/0.8</t>
        </is>
      </c>
      <c r="K57" s="14" t="inlineStr">
        <is>
          <t>V4-B｜EV 0.12154160189973962</t>
        </is>
      </c>
      <c r="L57" s="14" t="inlineStr">
        <is>
          <t>利森B队</t>
        </is>
      </c>
      <c r="M57" s="47" t="n">
        <v>0.5521826093098634</v>
      </c>
      <c r="N57" s="14" t="inlineStr">
        <is>
          <t>V4纸面入选-B</t>
        </is>
      </c>
      <c r="O57" s="14" t="inlineStr">
        <is>
          <t>1-1</t>
        </is>
      </c>
      <c r="P57" s="14" t="inlineStr">
        <is>
          <t>已结算</t>
        </is>
      </c>
      <c r="Q57" s="14" t="inlineStr">
        <is>
          <t>黑</t>
        </is>
      </c>
      <c r="R57" s="48" t="n">
        <v>0.8</v>
      </c>
      <c r="S57" s="48">
        <f>IF(OR(Q57="",Q57="待结算"),"",IF(Q57="红",R57,IF(Q57="半红",R57*0.5,IF(Q57="走",0,IF(Q57="半黑",-0.5,-1)))))</f>
        <v/>
      </c>
      <c r="T57" s="14" t="inlineStr">
        <is>
          <t>D:\codex\v3_legacy\outputs\football_odds_trader\raw\titan007\20261003\20261003_092303_titan007_odds_snapshot.csv</t>
        </is>
      </c>
      <c r="U57" s="14">
        <f>IF(Q57="","",IF(Q57="待结算","待结算",IF(Q57="红","黑",IF(Q57="半红","半黑",IF(Q57="走","走",IF(Q57="半黑","半红","红"))))))</f>
        <v/>
      </c>
      <c r="V57" s="48">
        <f>IF(OR(U57="",U57="待结算"),"",IF(L57=LEFT(F57,FIND(" vs ",F57)-1),I57,G57))</f>
        <v/>
      </c>
      <c r="W57" s="48">
        <f>IF(OR(U57="",U57="待结算"),"",IF(U57="红",V57,IF(U57="半红",V57*0.5,IF(U57="走",0,IF(U57="半黑",-0.5,-1)))))</f>
        <v/>
      </c>
      <c r="X57" s="14" t="inlineStr">
        <is>
          <t>3043225</t>
        </is>
      </c>
      <c r="Y57" s="14" t="inlineStr">
        <is>
          <t>V4</t>
        </is>
      </c>
      <c r="Z57" s="14" t="inlineStr">
        <is>
          <t>prior-2026-10-02-v1</t>
        </is>
      </c>
      <c r="AA57" s="14" t="inlineStr">
        <is>
          <t>B</t>
        </is>
      </c>
      <c r="AB57" s="14" t="n">
        <v>0.4245697041678781</v>
      </c>
      <c r="AC57" s="14" t="n">
        <v>0.2552258102839707</v>
      </c>
      <c r="AD57" s="14" t="n">
        <v>0</v>
      </c>
      <c r="AE57" s="14" t="n">
        <v>0</v>
      </c>
      <c r="AF57" s="14" t="n">
        <v>0.3202044855481512</v>
      </c>
      <c r="AG57" s="14" t="n">
        <v>0.1215416018997396</v>
      </c>
      <c r="AH57" s="14" t="n"/>
      <c r="AI57" s="14" t="n"/>
      <c r="AJ57" s="14" t="n">
        <v>0.1215416018997396</v>
      </c>
      <c r="AK57" s="14" t="n"/>
      <c r="AL57" s="14" t="n"/>
      <c r="AM57" s="14" t="n"/>
      <c r="AN57" s="14" t="inlineStr">
        <is>
          <t>EVALUATED</t>
        </is>
      </c>
      <c r="AO57" s="14" t="inlineStr">
        <is>
          <t>GIVING_VALIDATED_EDGE;BUCKET_PRIOR_ONLY;INTENT_INTERPRETATION_ONLY;EXPERT_MARKET</t>
        </is>
      </c>
      <c r="AP57" s="14" t="inlineStr">
        <is>
          <t>64c5c7e83d5f13e27789</t>
        </is>
      </c>
      <c r="AQ57" s="14" t="n">
        <v>-0.75</v>
      </c>
      <c r="AR57" s="14" t="n">
        <v>0.8</v>
      </c>
      <c r="AS57" s="14" t="n">
        <v>-0.75</v>
      </c>
      <c r="AT57" s="14" t="n">
        <v>0.75</v>
      </c>
      <c r="AU57" s="14" t="n">
        <v>0.8</v>
      </c>
      <c r="AV57" s="14" t="n">
        <v>0.9</v>
      </c>
      <c r="AW57" s="14" t="inlineStr">
        <is>
          <t>2026-10-02T08:17:52.952859+08:00</t>
        </is>
      </c>
      <c r="AX57" s="14" t="inlineStr">
        <is>
          <t>Titan007 Next</t>
        </is>
      </c>
      <c r="AY57" s="14" t="inlineStr">
        <is>
          <t>V4 Shadow Only；real_money=false；新增冻结记录</t>
        </is>
      </c>
    </row>
    <row r="58" ht="22" customHeight="1" s="39">
      <c r="A58" s="14" t="inlineStr">
        <is>
          <t>2026-10-02</t>
        </is>
      </c>
      <c r="B58" s="14" t="inlineStr">
        <is>
          <t>2026-10-03 01:00:00</t>
        </is>
      </c>
      <c r="C58" s="14" t="inlineStr">
        <is>
          <t>CLUB_LEAGUE</t>
        </is>
      </c>
      <c r="D58" s="14" t="inlineStr">
        <is>
          <t>联赛</t>
        </is>
      </c>
      <c r="E58" s="14" t="inlineStr">
        <is>
          <t>丹麦乙</t>
        </is>
      </c>
      <c r="F58" s="14" t="inlineStr">
        <is>
          <t>VSK奥胡斯 vs 布拉布兰</t>
        </is>
      </c>
      <c r="G58" s="26" t="n">
        <v>0.95</v>
      </c>
      <c r="H58" s="26" t="n">
        <v>-0.5</v>
      </c>
      <c r="I58" s="26" t="n">
        <v>0.75</v>
      </c>
      <c r="J58" s="26" t="inlineStr">
        <is>
          <t>0.95/-0.5/0.75</t>
        </is>
      </c>
      <c r="K58" s="14" t="inlineStr">
        <is>
          <t>V4-B｜EV 0.16518098520740404</t>
        </is>
      </c>
      <c r="L58" s="14" t="inlineStr">
        <is>
          <t>VSK奥胡斯</t>
        </is>
      </c>
      <c r="M58" s="47" t="n">
        <v>0.5975287103627713</v>
      </c>
      <c r="N58" s="14" t="inlineStr">
        <is>
          <t>V4纸面入选-B</t>
        </is>
      </c>
      <c r="O58" s="14" t="inlineStr">
        <is>
          <t>0-2</t>
        </is>
      </c>
      <c r="P58" s="14" t="inlineStr">
        <is>
          <t>已结算</t>
        </is>
      </c>
      <c r="Q58" s="14" t="inlineStr">
        <is>
          <t>黑</t>
        </is>
      </c>
      <c r="R58" s="48" t="n">
        <v>0.95</v>
      </c>
      <c r="S58" s="48">
        <f>IF(OR(Q58="",Q58="待结算"),"",IF(Q58="红",R58,IF(Q58="半红",R58*0.5,IF(Q58="走",0,IF(Q58="半黑",-0.5,-1)))))</f>
        <v/>
      </c>
      <c r="T58" s="14" t="inlineStr">
        <is>
          <t>D:\codex\v3_legacy\outputs\football_odds_trader\raw\titan007\20261003\20261003_092303_titan007_odds_snapshot.csv</t>
        </is>
      </c>
      <c r="U58" s="14">
        <f>IF(Q58="","",IF(Q58="待结算","待结算",IF(Q58="红","黑",IF(Q58="半红","半黑",IF(Q58="走","走",IF(Q58="半黑","半红","红"))))))</f>
        <v/>
      </c>
      <c r="V58" s="48">
        <f>IF(OR(U58="",U58="待结算"),"",IF(L58=LEFT(F58,FIND(" vs ",F58)-1),I58,G58))</f>
        <v/>
      </c>
      <c r="W58" s="48">
        <f>IF(OR(U58="",U58="待结算"),"",IF(U58="红",V58,IF(U58="半红",V58*0.5,IF(U58="走",0,IF(U58="半黑",-0.5,-1)))))</f>
        <v/>
      </c>
      <c r="X58" s="14" t="inlineStr">
        <is>
          <t>3020902</t>
        </is>
      </c>
      <c r="Y58" s="14" t="inlineStr">
        <is>
          <t>V4</t>
        </is>
      </c>
      <c r="Z58" s="14" t="inlineStr">
        <is>
          <t>prior-2026-10-02-v1</t>
        </is>
      </c>
      <c r="AA58" s="14" t="inlineStr">
        <is>
          <t>B</t>
        </is>
      </c>
      <c r="AB58" s="14" t="n">
        <v>0.5975287103627713</v>
      </c>
      <c r="AC58" s="14" t="n">
        <v>0</v>
      </c>
      <c r="AD58" s="14" t="n">
        <v>0</v>
      </c>
      <c r="AE58" s="14" t="n">
        <v>0</v>
      </c>
      <c r="AF58" s="14" t="n">
        <v>0.4024712896372287</v>
      </c>
      <c r="AG58" s="14" t="n">
        <v>0.165180985207404</v>
      </c>
      <c r="AH58" s="14" t="n"/>
      <c r="AI58" s="14" t="n"/>
      <c r="AJ58" s="14" t="n">
        <v>0.165180985207404</v>
      </c>
      <c r="AK58" s="14" t="n"/>
      <c r="AL58" s="14" t="n"/>
      <c r="AM58" s="14" t="n"/>
      <c r="AN58" s="14" t="inlineStr">
        <is>
          <t>EVALUATED</t>
        </is>
      </c>
      <c r="AO58" s="14" t="inlineStr">
        <is>
          <t>GIVING_VALIDATED_EDGE;BUCKET_PRIOR_ONLY;INTENT_INTERPRETATION_ONLY;EXPERT_MARKET</t>
        </is>
      </c>
      <c r="AP58" s="14" t="inlineStr">
        <is>
          <t>a8645b5b0351a73a5b9f</t>
        </is>
      </c>
      <c r="AQ58" s="14" t="n">
        <v>-0.5</v>
      </c>
      <c r="AR58" s="14" t="n">
        <v>0.95</v>
      </c>
      <c r="AS58" s="14" t="n">
        <v>-0.5</v>
      </c>
      <c r="AT58" s="14" t="n">
        <v>0.5</v>
      </c>
      <c r="AU58" s="14" t="n">
        <v>0.95</v>
      </c>
      <c r="AV58" s="14" t="n">
        <v>0.75</v>
      </c>
      <c r="AW58" s="14" t="inlineStr">
        <is>
          <t>2026-10-02T08:17:52.952859+08:00</t>
        </is>
      </c>
      <c r="AX58" s="14" t="inlineStr">
        <is>
          <t>Titan007 Next</t>
        </is>
      </c>
      <c r="AY58" s="14" t="inlineStr">
        <is>
          <t>V4 Shadow Only；real_money=false；新增冻结记录</t>
        </is>
      </c>
    </row>
    <row r="59" ht="22" customHeight="1" s="39">
      <c r="A59" s="14" t="inlineStr">
        <is>
          <t>2026-10-02</t>
        </is>
      </c>
      <c r="B59" s="14" t="inlineStr">
        <is>
          <t>2026-10-03 02:00:00</t>
        </is>
      </c>
      <c r="C59" s="14" t="inlineStr">
        <is>
          <t>CLUB_LEAGUE</t>
        </is>
      </c>
      <c r="D59" s="14" t="inlineStr">
        <is>
          <t>联赛</t>
        </is>
      </c>
      <c r="E59" s="14" t="inlineStr">
        <is>
          <t>阿女甲</t>
        </is>
      </c>
      <c r="F59" s="14" t="inlineStr">
        <is>
          <t>圣罗伦素女足 vs 飓风队女足</t>
        </is>
      </c>
      <c r="G59" s="26" t="n">
        <v>0.8</v>
      </c>
      <c r="H59" s="26" t="n">
        <v>-1.25</v>
      </c>
      <c r="I59" s="26" t="n">
        <v>0.9</v>
      </c>
      <c r="J59" s="26" t="inlineStr">
        <is>
          <t>0.8/-1.25/0.9</t>
        </is>
      </c>
      <c r="K59" s="14" t="inlineStr">
        <is>
          <t>V4-B｜EV 0.19588224965362586</t>
        </is>
      </c>
      <c r="L59" s="14" t="inlineStr">
        <is>
          <t>圣罗伦素女足</t>
        </is>
      </c>
      <c r="M59" s="47" t="n">
        <v>0.5998563526711784</v>
      </c>
      <c r="N59" s="14" t="inlineStr">
        <is>
          <t>V4纸面入选-B</t>
        </is>
      </c>
      <c r="O59" s="14" t="inlineStr">
        <is>
          <t>3-1</t>
        </is>
      </c>
      <c r="P59" s="14" t="inlineStr">
        <is>
          <t>已结算</t>
        </is>
      </c>
      <c r="Q59" s="14" t="inlineStr">
        <is>
          <t>红</t>
        </is>
      </c>
      <c r="R59" s="48" t="n">
        <v>0.8</v>
      </c>
      <c r="S59" s="48">
        <f>IF(OR(Q59="",Q59="待结算"),"",IF(Q59="红",R59,IF(Q59="半红",R59*0.5,IF(Q59="走",0,IF(Q59="半黑",-0.5,-1)))))</f>
        <v/>
      </c>
      <c r="T59" s="14" t="inlineStr">
        <is>
          <t>D:\codex\v3_legacy\outputs\football_odds_trader\raw\titan007\20261003\20261003_092303_titan007_odds_snapshot.csv</t>
        </is>
      </c>
      <c r="U59" s="14">
        <f>IF(Q59="","",IF(Q59="待结算","待结算",IF(Q59="红","黑",IF(Q59="半红","半黑",IF(Q59="走","走",IF(Q59="半黑","半红","红"))))))</f>
        <v/>
      </c>
      <c r="V59" s="48">
        <f>IF(OR(U59="",U59="待结算"),"",IF(L59=LEFT(F59,FIND(" vs ",F59)-1),I59,G59))</f>
        <v/>
      </c>
      <c r="W59" s="48">
        <f>IF(OR(U59="",U59="待结算"),"",IF(U59="红",V59,IF(U59="半红",V59*0.5,IF(U59="走",0,IF(U59="半黑",-0.5,-1)))))</f>
        <v/>
      </c>
      <c r="X59" s="14" t="inlineStr">
        <is>
          <t>3096523</t>
        </is>
      </c>
      <c r="Y59" s="14" t="inlineStr">
        <is>
          <t>V4</t>
        </is>
      </c>
      <c r="Z59" s="14" t="inlineStr">
        <is>
          <t>prior-2026-10-02-v1</t>
        </is>
      </c>
      <c r="AA59" s="14" t="inlineStr">
        <is>
          <t>B</t>
        </is>
      </c>
      <c r="AB59" s="14" t="n">
        <v>0.5998563526711784</v>
      </c>
      <c r="AC59" s="14" t="n">
        <v>0</v>
      </c>
      <c r="AD59" s="14" t="n">
        <v>0</v>
      </c>
      <c r="AE59" s="14" t="n">
        <v>0.2322816296910094</v>
      </c>
      <c r="AF59" s="14" t="n">
        <v>0.1678620176378122</v>
      </c>
      <c r="AG59" s="14" t="n">
        <v>0.1958822496536259</v>
      </c>
      <c r="AH59" s="14" t="n"/>
      <c r="AI59" s="14" t="n"/>
      <c r="AJ59" s="14" t="n">
        <v>0.1958822496536259</v>
      </c>
      <c r="AK59" s="14" t="n"/>
      <c r="AL59" s="14" t="n"/>
      <c r="AM59" s="14" t="n"/>
      <c r="AN59" s="14" t="inlineStr">
        <is>
          <t>EVALUATED</t>
        </is>
      </c>
      <c r="AO59" s="14" t="inlineStr">
        <is>
          <t>GIVING_VALIDATED_EDGE;BUCKET_PRIOR_ONLY;INTENT_INTERPRETATION_ONLY;EXPERT_MARKET</t>
        </is>
      </c>
      <c r="AP59" s="14" t="inlineStr">
        <is>
          <t>f3cc3ef30e01680d94b1</t>
        </is>
      </c>
      <c r="AQ59" s="14" t="n">
        <v>-1.25</v>
      </c>
      <c r="AR59" s="14" t="n">
        <v>0.8</v>
      </c>
      <c r="AS59" s="14" t="n">
        <v>-1.25</v>
      </c>
      <c r="AT59" s="14" t="n">
        <v>1.25</v>
      </c>
      <c r="AU59" s="14" t="n">
        <v>0.8</v>
      </c>
      <c r="AV59" s="14" t="n">
        <v>0.9</v>
      </c>
      <c r="AW59" s="14" t="inlineStr">
        <is>
          <t>2026-10-02T08:17:52.952859+08:00</t>
        </is>
      </c>
      <c r="AX59" s="14" t="inlineStr">
        <is>
          <t>Titan007 Next</t>
        </is>
      </c>
      <c r="AY59" s="14" t="inlineStr">
        <is>
          <t>V4 Shadow Only；real_money=false；新增冻结记录</t>
        </is>
      </c>
    </row>
    <row r="60" ht="22" customHeight="1" s="39">
      <c r="A60" s="14" t="inlineStr">
        <is>
          <t>2026-10-02</t>
        </is>
      </c>
      <c r="B60" s="14" t="inlineStr">
        <is>
          <t>2026-10-03 02:30:00</t>
        </is>
      </c>
      <c r="C60" s="14" t="inlineStr">
        <is>
          <t>UNKNOWN</t>
        </is>
      </c>
      <c r="D60" s="14" t="inlineStr">
        <is>
          <t>联赛</t>
        </is>
      </c>
      <c r="E60" s="14" t="inlineStr">
        <is>
          <t>威冠南</t>
        </is>
      </c>
      <c r="F60" s="14" t="inlineStr">
        <is>
          <t>卡马顿 vs 马奇奥</t>
        </is>
      </c>
      <c r="G60" s="26" t="n">
        <v>0.9</v>
      </c>
      <c r="H60" s="26" t="n">
        <v>-1</v>
      </c>
      <c r="I60" s="26" t="n">
        <v>0.8</v>
      </c>
      <c r="J60" s="26" t="inlineStr">
        <is>
          <t>0.9/-1.0/0.8</t>
        </is>
      </c>
      <c r="K60" s="14" t="inlineStr">
        <is>
          <t>V4-C｜EV 0.13271043209907735</t>
        </is>
      </c>
      <c r="L60" s="14" t="inlineStr">
        <is>
          <t>卡马顿</t>
        </is>
      </c>
      <c r="M60" s="47" t="n">
        <v>0.4632233021687283</v>
      </c>
      <c r="N60" s="14" t="inlineStr">
        <is>
          <t>V4纸面入选-C</t>
        </is>
      </c>
      <c r="O60" s="14" t="inlineStr">
        <is>
          <t>1-2</t>
        </is>
      </c>
      <c r="P60" s="14" t="inlineStr">
        <is>
          <t>已结算</t>
        </is>
      </c>
      <c r="Q60" s="14" t="inlineStr">
        <is>
          <t>黑</t>
        </is>
      </c>
      <c r="R60" s="48" t="n">
        <v>0.9</v>
      </c>
      <c r="S60" s="48">
        <f>IF(OR(Q60="",Q60="待结算"),"",IF(Q60="红",R60,IF(Q60="半红",R60*0.5,IF(Q60="走",0,IF(Q60="半黑",-0.5,-1)))))</f>
        <v/>
      </c>
      <c r="T60" s="14" t="inlineStr">
        <is>
          <t>D:\codex\v3_legacy\outputs\football_odds_trader\raw\titan007\20261003\20261003_092303_titan007_odds_snapshot.csv</t>
        </is>
      </c>
      <c r="U60" s="14">
        <f>IF(Q60="","",IF(Q60="待结算","待结算",IF(Q60="红","黑",IF(Q60="半红","半黑",IF(Q60="走","走",IF(Q60="半黑","半红","红"))))))</f>
        <v/>
      </c>
      <c r="V60" s="48">
        <f>IF(OR(U60="",U60="待结算"),"",IF(L60=LEFT(F60,FIND(" vs ",F60)-1),I60,G60))</f>
        <v/>
      </c>
      <c r="W60" s="48">
        <f>IF(OR(U60="",U60="待结算"),"",IF(U60="红",V60,IF(U60="半红",V60*0.5,IF(U60="走",0,IF(U60="半黑",-0.5,-1)))))</f>
        <v/>
      </c>
      <c r="X60" s="14" t="inlineStr">
        <is>
          <t>3021423</t>
        </is>
      </c>
      <c r="Y60" s="14" t="inlineStr">
        <is>
          <t>V4</t>
        </is>
      </c>
      <c r="Z60" s="14" t="inlineStr">
        <is>
          <t>prior-2026-10-02-v1</t>
        </is>
      </c>
      <c r="AA60" s="14" t="inlineStr">
        <is>
          <t>C</t>
        </is>
      </c>
      <c r="AB60" s="14" t="n">
        <v>0.4632233021687283</v>
      </c>
      <c r="AC60" s="14" t="n">
        <v>0</v>
      </c>
      <c r="AD60" s="14" t="n">
        <v>0.2525861579784937</v>
      </c>
      <c r="AE60" s="14" t="n">
        <v>0</v>
      </c>
      <c r="AF60" s="14" t="n">
        <v>0.2841905398527781</v>
      </c>
      <c r="AG60" s="14" t="n">
        <v>0.1327104320990773</v>
      </c>
      <c r="AH60" s="14" t="n"/>
      <c r="AI60" s="14" t="n"/>
      <c r="AJ60" s="14" t="n">
        <v>0.1327104320990773</v>
      </c>
      <c r="AK60" s="14" t="n"/>
      <c r="AL60" s="14" t="n"/>
      <c r="AM60" s="14" t="n"/>
      <c r="AN60" s="14" t="inlineStr">
        <is>
          <t>EVALUATED</t>
        </is>
      </c>
      <c r="AO60" s="14" t="inlineStr">
        <is>
          <t>GIVING_VALIDATED_EDGE;BUCKET_PRIOR_ONLY;INTENT_INTERPRETATION_ONLY;EXPERT_MARKET</t>
        </is>
      </c>
      <c r="AP60" s="14" t="inlineStr">
        <is>
          <t>f1b6268441c20c3646c5</t>
        </is>
      </c>
      <c r="AQ60" s="14" t="n">
        <v>-1</v>
      </c>
      <c r="AR60" s="14" t="n">
        <v>0.9</v>
      </c>
      <c r="AS60" s="14" t="n">
        <v>-1</v>
      </c>
      <c r="AT60" s="14" t="n">
        <v>1</v>
      </c>
      <c r="AU60" s="14" t="n">
        <v>0.9</v>
      </c>
      <c r="AV60" s="14" t="n">
        <v>0.8</v>
      </c>
      <c r="AW60" s="14" t="inlineStr">
        <is>
          <t>2026-10-02T08:17:52.952859+08:00</t>
        </is>
      </c>
      <c r="AX60" s="14" t="inlineStr">
        <is>
          <t>Titan007 Next</t>
        </is>
      </c>
      <c r="AY60" s="14" t="inlineStr">
        <is>
          <t>V4 Shadow Only；real_money=false；新增冻结记录</t>
        </is>
      </c>
    </row>
    <row r="61" ht="22" customHeight="1" s="39">
      <c r="A61" s="14" t="inlineStr">
        <is>
          <t>2026-10-02</t>
        </is>
      </c>
      <c r="B61" s="14" t="inlineStr">
        <is>
          <t>2026-10-03 02:45:00</t>
        </is>
      </c>
      <c r="C61" s="14" t="inlineStr">
        <is>
          <t>NATIONAL_OFFICIAL</t>
        </is>
      </c>
      <c r="D61" s="14" t="inlineStr">
        <is>
          <t>联赛</t>
        </is>
      </c>
      <c r="E61" s="14" t="inlineStr">
        <is>
          <t>欧国联</t>
        </is>
      </c>
      <c r="F61" s="14" t="inlineStr">
        <is>
          <t>法国 vs 意大利</t>
        </is>
      </c>
      <c r="G61" s="26" t="n">
        <v>0.98</v>
      </c>
      <c r="H61" s="26" t="n">
        <v>-1.25</v>
      </c>
      <c r="I61" s="26" t="n">
        <v>0.9</v>
      </c>
      <c r="J61" s="26" t="inlineStr">
        <is>
          <t>0.98/-1.25/0.9</t>
        </is>
      </c>
      <c r="K61" s="14" t="inlineStr">
        <is>
          <t>V4-B｜EV 0.10068913947724284</t>
        </is>
      </c>
      <c r="L61" s="14" t="inlineStr">
        <is>
          <t>法国</t>
        </is>
      </c>
      <c r="M61" s="47" t="n">
        <v>0.4927250427431271</v>
      </c>
      <c r="N61" s="14" t="inlineStr">
        <is>
          <t>V4纸面入选-B</t>
        </is>
      </c>
      <c r="O61" s="14" t="inlineStr">
        <is>
          <t>1-1</t>
        </is>
      </c>
      <c r="P61" s="14" t="inlineStr">
        <is>
          <t>已结算</t>
        </is>
      </c>
      <c r="Q61" s="14" t="inlineStr">
        <is>
          <t>黑</t>
        </is>
      </c>
      <c r="R61" s="48" t="n">
        <v>0.98</v>
      </c>
      <c r="S61" s="48">
        <f>IF(OR(Q61="",Q61="待结算"),"",IF(Q61="红",R61,IF(Q61="半红",R61*0.5,IF(Q61="走",0,IF(Q61="半黑",-0.5,-1)))))</f>
        <v/>
      </c>
      <c r="T61" s="14" t="inlineStr">
        <is>
          <t>D:\codex\v3_legacy\outputs\football_odds_trader\raw\titan007\20261003\20261003_092303_titan007_odds_snapshot.csv</t>
        </is>
      </c>
      <c r="U61" s="14">
        <f>IF(Q61="","",IF(Q61="待结算","待结算",IF(Q61="红","黑",IF(Q61="半红","半黑",IF(Q61="走","走",IF(Q61="半黑","半红","红"))))))</f>
        <v/>
      </c>
      <c r="V61" s="48">
        <f>IF(OR(U61="",U61="待结算"),"",IF(L61=LEFT(F61,FIND(" vs ",F61)-1),I61,G61))</f>
        <v/>
      </c>
      <c r="W61" s="48">
        <f>IF(OR(U61="",U61="待结算"),"",IF(U61="红",V61,IF(U61="半红",V61*0.5,IF(U61="走",0,IF(U61="半黑",-0.5,-1)))))</f>
        <v/>
      </c>
      <c r="X61" s="14" t="inlineStr">
        <is>
          <t>2981445</t>
        </is>
      </c>
      <c r="Y61" s="14" t="inlineStr">
        <is>
          <t>V4</t>
        </is>
      </c>
      <c r="Z61" s="14" t="inlineStr">
        <is>
          <t>prior-2026-10-02-v1</t>
        </is>
      </c>
      <c r="AA61" s="14" t="inlineStr">
        <is>
          <t>B</t>
        </is>
      </c>
      <c r="AB61" s="14" t="n">
        <v>0.4927250427431271</v>
      </c>
      <c r="AC61" s="14" t="n">
        <v>0</v>
      </c>
      <c r="AD61" s="14" t="n">
        <v>0</v>
      </c>
      <c r="AE61" s="14" t="n">
        <v>0.2501871096917025</v>
      </c>
      <c r="AF61" s="14" t="n">
        <v>0.2570878475651704</v>
      </c>
      <c r="AG61" s="14" t="n">
        <v>0.1006891394772428</v>
      </c>
      <c r="AH61" s="14" t="n"/>
      <c r="AI61" s="14" t="n"/>
      <c r="AJ61" s="14" t="n">
        <v>0.1006891394772428</v>
      </c>
      <c r="AK61" s="14" t="n"/>
      <c r="AL61" s="14" t="n"/>
      <c r="AM61" s="14" t="n"/>
      <c r="AN61" s="14" t="inlineStr">
        <is>
          <t>EVALUATED</t>
        </is>
      </c>
      <c r="AO61" s="14" t="inlineStr">
        <is>
          <t>GIVING_VALIDATED_EDGE;BUCKET_PRIOR_ONLY;INTENT_INTERPRETATION_ONLY;EXPERT_MARKET</t>
        </is>
      </c>
      <c r="AP61" s="14" t="inlineStr">
        <is>
          <t>6ef9720e409b316eca00</t>
        </is>
      </c>
      <c r="AQ61" s="14" t="n">
        <v>-1.25</v>
      </c>
      <c r="AR61" s="14" t="n">
        <v>0.98</v>
      </c>
      <c r="AS61" s="14" t="n">
        <v>-1.25</v>
      </c>
      <c r="AT61" s="14" t="n">
        <v>1.25</v>
      </c>
      <c r="AU61" s="14" t="n">
        <v>0.98</v>
      </c>
      <c r="AV61" s="14" t="n">
        <v>0.9</v>
      </c>
      <c r="AW61" s="14" t="inlineStr">
        <is>
          <t>2026-10-02T08:17:52.952859+08:00</t>
        </is>
      </c>
      <c r="AX61" s="14" t="inlineStr">
        <is>
          <t>Titan007 Next</t>
        </is>
      </c>
      <c r="AY61" s="14" t="inlineStr">
        <is>
          <t>V4 Shadow Only；real_money=false；新增冻结记录</t>
        </is>
      </c>
    </row>
    <row r="62" ht="22" customHeight="1" s="39">
      <c r="A62" s="14" t="inlineStr">
        <is>
          <t>2026-10-02</t>
        </is>
      </c>
      <c r="B62" s="14" t="inlineStr">
        <is>
          <t>2026-10-03 02:45:00</t>
        </is>
      </c>
      <c r="C62" s="14" t="inlineStr">
        <is>
          <t>NATIONAL_OFFICIAL</t>
        </is>
      </c>
      <c r="D62" s="14" t="inlineStr">
        <is>
          <t>联赛</t>
        </is>
      </c>
      <c r="E62" s="14" t="inlineStr">
        <is>
          <t>欧国联</t>
        </is>
      </c>
      <c r="F62" s="14" t="inlineStr">
        <is>
          <t>比利时 vs 土耳其</t>
        </is>
      </c>
      <c r="G62" s="26" t="n">
        <v>0.87</v>
      </c>
      <c r="H62" s="26" t="n">
        <v>-1</v>
      </c>
      <c r="I62" s="26" t="n">
        <v>1.01</v>
      </c>
      <c r="J62" s="26" t="inlineStr">
        <is>
          <t>0.87/-1.0/1.01</t>
        </is>
      </c>
      <c r="K62" s="14" t="inlineStr">
        <is>
          <t>V4-B｜EV 0.09945674881340338</t>
        </is>
      </c>
      <c r="L62" s="14" t="inlineStr">
        <is>
          <t>比利时</t>
        </is>
      </c>
      <c r="M62" s="47" t="n">
        <v>0.4523318498403794</v>
      </c>
      <c r="N62" s="14" t="inlineStr">
        <is>
          <t>V4纸面入选-B</t>
        </is>
      </c>
      <c r="O62" s="14" t="inlineStr">
        <is>
          <t>3-0</t>
        </is>
      </c>
      <c r="P62" s="14" t="inlineStr">
        <is>
          <t>已结算</t>
        </is>
      </c>
      <c r="Q62" s="14" t="inlineStr">
        <is>
          <t>红</t>
        </is>
      </c>
      <c r="R62" s="48" t="n">
        <v>0.87</v>
      </c>
      <c r="S62" s="48">
        <f>IF(OR(Q62="",Q62="待结算"),"",IF(Q62="红",R62,IF(Q62="半红",R62*0.5,IF(Q62="走",0,IF(Q62="半黑",-0.5,-1)))))</f>
        <v/>
      </c>
      <c r="T62" s="14" t="inlineStr">
        <is>
          <t>D:\codex\v3_legacy\outputs\football_odds_trader\raw\titan007\20261003\20261003_092303_titan007_odds_snapshot.csv</t>
        </is>
      </c>
      <c r="U62" s="14">
        <f>IF(Q62="","",IF(Q62="待结算","待结算",IF(Q62="红","黑",IF(Q62="半红","半黑",IF(Q62="走","走",IF(Q62="半黑","半红","红"))))))</f>
        <v/>
      </c>
      <c r="V62" s="48">
        <f>IF(OR(U62="",U62="待结算"),"",IF(L62=LEFT(F62,FIND(" vs ",F62)-1),I62,G62))</f>
        <v/>
      </c>
      <c r="W62" s="48">
        <f>IF(OR(U62="",U62="待结算"),"",IF(U62="红",V62,IF(U62="半红",V62*0.5,IF(U62="走",0,IF(U62="半黑",-0.5,-1)))))</f>
        <v/>
      </c>
      <c r="X62" s="14" t="inlineStr">
        <is>
          <t>2981446</t>
        </is>
      </c>
      <c r="Y62" s="14" t="inlineStr">
        <is>
          <t>V4</t>
        </is>
      </c>
      <c r="Z62" s="14" t="inlineStr">
        <is>
          <t>prior-2026-10-02-v1</t>
        </is>
      </c>
      <c r="AA62" s="14" t="inlineStr">
        <is>
          <t>B</t>
        </is>
      </c>
      <c r="AB62" s="14" t="n">
        <v>0.4523318498403794</v>
      </c>
      <c r="AC62" s="14" t="n">
        <v>0</v>
      </c>
      <c r="AD62" s="14" t="n">
        <v>0.2535961896118939</v>
      </c>
      <c r="AE62" s="14" t="n">
        <v>0</v>
      </c>
      <c r="AF62" s="14" t="n">
        <v>0.2940719605477267</v>
      </c>
      <c r="AG62" s="14" t="n">
        <v>0.09945674881340338</v>
      </c>
      <c r="AH62" s="14" t="n"/>
      <c r="AI62" s="14" t="n"/>
      <c r="AJ62" s="14" t="n">
        <v>0.09945674881340338</v>
      </c>
      <c r="AK62" s="14" t="n"/>
      <c r="AL62" s="14" t="n"/>
      <c r="AM62" s="14" t="n"/>
      <c r="AN62" s="14" t="inlineStr">
        <is>
          <t>EVALUATED</t>
        </is>
      </c>
      <c r="AO62" s="14" t="inlineStr">
        <is>
          <t>GIVING_VALIDATED_EDGE;BUCKET_PRIOR_ONLY;INTENT_INTERPRETATION_ONLY;EXPERT_MARKET</t>
        </is>
      </c>
      <c r="AP62" s="14" t="inlineStr">
        <is>
          <t>64fe50e7aee4444a808c</t>
        </is>
      </c>
      <c r="AQ62" s="14" t="n">
        <v>-1</v>
      </c>
      <c r="AR62" s="14" t="n">
        <v>0.87</v>
      </c>
      <c r="AS62" s="14" t="n">
        <v>-1</v>
      </c>
      <c r="AT62" s="14" t="n">
        <v>1</v>
      </c>
      <c r="AU62" s="14" t="n">
        <v>0.87</v>
      </c>
      <c r="AV62" s="14" t="n">
        <v>1.01</v>
      </c>
      <c r="AW62" s="14" t="inlineStr">
        <is>
          <t>2026-10-02T08:17:52.952859+08:00</t>
        </is>
      </c>
      <c r="AX62" s="14" t="inlineStr">
        <is>
          <t>Titan007 Next</t>
        </is>
      </c>
      <c r="AY62" s="14" t="inlineStr">
        <is>
          <t>V4 Shadow Only；real_money=false；新增冻结记录</t>
        </is>
      </c>
    </row>
    <row r="63" ht="22" customHeight="1" s="39">
      <c r="A63" s="14" t="inlineStr">
        <is>
          <t>2026-10-02</t>
        </is>
      </c>
      <c r="B63" s="14" t="inlineStr">
        <is>
          <t>2026-10-03 02:45:00</t>
        </is>
      </c>
      <c r="C63" s="14" t="inlineStr">
        <is>
          <t>NATIONAL_OFFICIAL</t>
        </is>
      </c>
      <c r="D63" s="14" t="inlineStr">
        <is>
          <t>联赛</t>
        </is>
      </c>
      <c r="E63" s="14" t="inlineStr">
        <is>
          <t>欧国联</t>
        </is>
      </c>
      <c r="F63" s="14" t="inlineStr">
        <is>
          <t>乌克兰(中) vs 北爱尔兰</t>
        </is>
      </c>
      <c r="G63" s="26" t="n">
        <v>0.93</v>
      </c>
      <c r="H63" s="26" t="n">
        <v>-0.5</v>
      </c>
      <c r="I63" s="26" t="n">
        <v>0.95</v>
      </c>
      <c r="J63" s="26" t="inlineStr">
        <is>
          <t>0.93/-0.5/0.95</t>
        </is>
      </c>
      <c r="K63" s="14" t="inlineStr">
        <is>
          <t>V4-B｜EV 0.10060170128660595</t>
        </is>
      </c>
      <c r="L63" s="14" t="inlineStr">
        <is>
          <t>乌克兰(中)</t>
        </is>
      </c>
      <c r="M63" s="47" t="n">
        <v>0.5702599488531637</v>
      </c>
      <c r="N63" s="14" t="inlineStr">
        <is>
          <t>V4纸面入选-B</t>
        </is>
      </c>
      <c r="O63" s="14" t="inlineStr">
        <is>
          <t>0-3</t>
        </is>
      </c>
      <c r="P63" s="14" t="inlineStr">
        <is>
          <t>已结算</t>
        </is>
      </c>
      <c r="Q63" s="14" t="inlineStr">
        <is>
          <t>黑</t>
        </is>
      </c>
      <c r="R63" s="48" t="n">
        <v>0.93</v>
      </c>
      <c r="S63" s="48">
        <f>IF(OR(Q63="",Q63="待结算"),"",IF(Q63="红",R63,IF(Q63="半红",R63*0.5,IF(Q63="走",0,IF(Q63="半黑",-0.5,-1)))))</f>
        <v/>
      </c>
      <c r="T63" s="14" t="inlineStr">
        <is>
          <t>D:\codex\v3_legacy\outputs\football_odds_trader\raw\titan007\20261003\20261003_092303_titan007_odds_snapshot.csv</t>
        </is>
      </c>
      <c r="U63" s="14">
        <f>IF(Q63="","",IF(Q63="待结算","待结算",IF(Q63="红","黑",IF(Q63="半红","半黑",IF(Q63="走","走",IF(Q63="半黑","半红","红"))))))</f>
        <v/>
      </c>
      <c r="V63" s="48">
        <f>IF(OR(U63="",U63="待结算"),"",IF(L63=LEFT(F63,FIND(" vs ",F63)-1),I63,G63))</f>
        <v/>
      </c>
      <c r="W63" s="48">
        <f>IF(OR(U63="",U63="待结算"),"",IF(U63="红",V63,IF(U63="半红",V63*0.5,IF(U63="走",0,IF(U63="半黑",-0.5,-1)))))</f>
        <v/>
      </c>
      <c r="X63" s="14" t="inlineStr">
        <is>
          <t>2981493</t>
        </is>
      </c>
      <c r="Y63" s="14" t="inlineStr">
        <is>
          <t>V4</t>
        </is>
      </c>
      <c r="Z63" s="14" t="inlineStr">
        <is>
          <t>prior-2026-10-02-v1</t>
        </is>
      </c>
      <c r="AA63" s="14" t="inlineStr">
        <is>
          <t>B</t>
        </is>
      </c>
      <c r="AB63" s="14" t="n">
        <v>0.5702599488531637</v>
      </c>
      <c r="AC63" s="14" t="n">
        <v>0</v>
      </c>
      <c r="AD63" s="14" t="n">
        <v>0</v>
      </c>
      <c r="AE63" s="14" t="n">
        <v>0</v>
      </c>
      <c r="AF63" s="14" t="n">
        <v>0.4297400511468363</v>
      </c>
      <c r="AG63" s="14" t="n">
        <v>0.1006017012866059</v>
      </c>
      <c r="AH63" s="14" t="n"/>
      <c r="AI63" s="14" t="n"/>
      <c r="AJ63" s="14" t="n">
        <v>0.1006017012866059</v>
      </c>
      <c r="AK63" s="14" t="n"/>
      <c r="AL63" s="14" t="n"/>
      <c r="AM63" s="14" t="n"/>
      <c r="AN63" s="14" t="inlineStr">
        <is>
          <t>EVALUATED</t>
        </is>
      </c>
      <c r="AO63" s="14" t="inlineStr">
        <is>
          <t>GIVING_VALIDATED_EDGE;BUCKET_PRIOR_ONLY;INTENT_INTERPRETATION_ONLY;EXPERT_MARKET</t>
        </is>
      </c>
      <c r="AP63" s="14" t="inlineStr">
        <is>
          <t>cdfbc393f624e036e0d3</t>
        </is>
      </c>
      <c r="AQ63" s="14" t="n">
        <v>-0.5</v>
      </c>
      <c r="AR63" s="14" t="n">
        <v>0.93</v>
      </c>
      <c r="AS63" s="14" t="n">
        <v>-0.5</v>
      </c>
      <c r="AT63" s="14" t="n">
        <v>0.5</v>
      </c>
      <c r="AU63" s="14" t="n">
        <v>0.93</v>
      </c>
      <c r="AV63" s="14" t="n">
        <v>0.95</v>
      </c>
      <c r="AW63" s="14" t="inlineStr">
        <is>
          <t>2026-10-02T08:17:52.952859+08:00</t>
        </is>
      </c>
      <c r="AX63" s="14" t="inlineStr">
        <is>
          <t>Titan007 Next</t>
        </is>
      </c>
      <c r="AY63" s="14" t="inlineStr">
        <is>
          <t>V4 Shadow Only；real_money=false；新增冻结记录</t>
        </is>
      </c>
    </row>
    <row r="64" ht="22" customHeight="1" s="39">
      <c r="A64" s="14" t="inlineStr">
        <is>
          <t>2026-10-02</t>
        </is>
      </c>
      <c r="B64" s="14" t="inlineStr">
        <is>
          <t>2026-10-03 02:45:00</t>
        </is>
      </c>
      <c r="C64" s="14" t="inlineStr">
        <is>
          <t>NATIONAL_OFFICIAL</t>
        </is>
      </c>
      <c r="D64" s="14" t="inlineStr">
        <is>
          <t>联赛</t>
        </is>
      </c>
      <c r="E64" s="14" t="inlineStr">
        <is>
          <t>欧国联</t>
        </is>
      </c>
      <c r="F64" s="14" t="inlineStr">
        <is>
          <t>匈牙利 vs 格鲁吉亚</t>
        </is>
      </c>
      <c r="G64" s="26" t="n">
        <v>1.08</v>
      </c>
      <c r="H64" s="26" t="n">
        <v>-0.5</v>
      </c>
      <c r="I64" s="26" t="n">
        <v>0.8</v>
      </c>
      <c r="J64" s="26" t="inlineStr">
        <is>
          <t>1.08/-0.5/0.8</t>
        </is>
      </c>
      <c r="K64" s="14" t="inlineStr">
        <is>
          <t>V4-B｜EV 0.09240726620113165</t>
        </is>
      </c>
      <c r="L64" s="14" t="inlineStr">
        <is>
          <t>匈牙利</t>
        </is>
      </c>
      <c r="M64" s="47" t="n">
        <v>0.5251958010582364</v>
      </c>
      <c r="N64" s="14" t="inlineStr">
        <is>
          <t>V4纸面入选-B</t>
        </is>
      </c>
      <c r="O64" s="14" t="inlineStr">
        <is>
          <t>1-0</t>
        </is>
      </c>
      <c r="P64" s="14" t="inlineStr">
        <is>
          <t>已结算</t>
        </is>
      </c>
      <c r="Q64" s="14" t="inlineStr">
        <is>
          <t>红</t>
        </is>
      </c>
      <c r="R64" s="48" t="n">
        <v>1.08</v>
      </c>
      <c r="S64" s="48">
        <f>IF(OR(Q64="",Q64="待结算"),"",IF(Q64="红",R64,IF(Q64="半红",R64*0.5,IF(Q64="走",0,IF(Q64="半黑",-0.5,-1)))))</f>
        <v/>
      </c>
      <c r="T64" s="14" t="inlineStr">
        <is>
          <t>D:\codex\v3_legacy\outputs\football_odds_trader\raw\titan007\20261003\20261003_092303_titan007_odds_snapshot.csv</t>
        </is>
      </c>
      <c r="U64" s="14">
        <f>IF(Q64="","",IF(Q64="待结算","待结算",IF(Q64="红","黑",IF(Q64="半红","半黑",IF(Q64="走","走",IF(Q64="半黑","半红","红"))))))</f>
        <v/>
      </c>
      <c r="V64" s="48">
        <f>IF(OR(U64="",U64="待结算"),"",IF(L64=LEFT(F64,FIND(" vs ",F64)-1),I64,G64))</f>
        <v/>
      </c>
      <c r="W64" s="48">
        <f>IF(OR(U64="",U64="待结算"),"",IF(U64="红",V64,IF(U64="半红",V64*0.5,IF(U64="走",0,IF(U64="半黑",-0.5,-1)))))</f>
        <v/>
      </c>
      <c r="X64" s="14" t="inlineStr">
        <is>
          <t>2981494</t>
        </is>
      </c>
      <c r="Y64" s="14" t="inlineStr">
        <is>
          <t>V4</t>
        </is>
      </c>
      <c r="Z64" s="14" t="inlineStr">
        <is>
          <t>prior-2026-10-02-v1</t>
        </is>
      </c>
      <c r="AA64" s="14" t="inlineStr">
        <is>
          <t>B</t>
        </is>
      </c>
      <c r="AB64" s="14" t="n">
        <v>0.5251958010582364</v>
      </c>
      <c r="AC64" s="14" t="n">
        <v>0</v>
      </c>
      <c r="AD64" s="14" t="n">
        <v>0</v>
      </c>
      <c r="AE64" s="14" t="n">
        <v>0</v>
      </c>
      <c r="AF64" s="14" t="n">
        <v>0.4748041989417637</v>
      </c>
      <c r="AG64" s="14" t="n">
        <v>0.09240726620113165</v>
      </c>
      <c r="AH64" s="14" t="n"/>
      <c r="AI64" s="14" t="n"/>
      <c r="AJ64" s="14" t="n">
        <v>0.09240726620113165</v>
      </c>
      <c r="AK64" s="14" t="n"/>
      <c r="AL64" s="14" t="n"/>
      <c r="AM64" s="14" t="n"/>
      <c r="AN64" s="14" t="inlineStr">
        <is>
          <t>EVALUATED</t>
        </is>
      </c>
      <c r="AO64" s="14" t="inlineStr">
        <is>
          <t>GIVING_VALIDATED_EDGE;BUCKET_PRIOR_ONLY;INTENT_INTERPRETATION_ONLY;EXPERT_MARKET</t>
        </is>
      </c>
      <c r="AP64" s="14" t="inlineStr">
        <is>
          <t>a945918921c34f15fc16</t>
        </is>
      </c>
      <c r="AQ64" s="14" t="n">
        <v>-0.5</v>
      </c>
      <c r="AR64" s="14" t="n">
        <v>1.08</v>
      </c>
      <c r="AS64" s="14" t="n">
        <v>-0.5</v>
      </c>
      <c r="AT64" s="14" t="n">
        <v>0.5</v>
      </c>
      <c r="AU64" s="14" t="n">
        <v>1.08</v>
      </c>
      <c r="AV64" s="14" t="n">
        <v>0.8</v>
      </c>
      <c r="AW64" s="14" t="inlineStr">
        <is>
          <t>2026-10-02T08:17:52.952859+08:00</t>
        </is>
      </c>
      <c r="AX64" s="14" t="inlineStr">
        <is>
          <t>Titan007 Next</t>
        </is>
      </c>
      <c r="AY64" s="14" t="inlineStr">
        <is>
          <t>V4 Shadow Only；real_money=false；新增冻结记录</t>
        </is>
      </c>
    </row>
    <row r="65" ht="22" customHeight="1" s="39">
      <c r="A65" s="14" t="inlineStr">
        <is>
          <t>2026-10-02</t>
        </is>
      </c>
      <c r="B65" s="14" t="inlineStr">
        <is>
          <t>2026-10-03 02:45:00</t>
        </is>
      </c>
      <c r="C65" s="14" t="inlineStr">
        <is>
          <t>NATIONAL_OFFICIAL</t>
        </is>
      </c>
      <c r="D65" s="14" t="inlineStr">
        <is>
          <t>联赛</t>
        </is>
      </c>
      <c r="E65" s="14" t="inlineStr">
        <is>
          <t>欧国联</t>
        </is>
      </c>
      <c r="F65" s="14" t="inlineStr">
        <is>
          <t>波兰 vs 罗马尼亚</t>
        </is>
      </c>
      <c r="G65" s="26" t="n">
        <v>0.89</v>
      </c>
      <c r="H65" s="26" t="n">
        <v>-1</v>
      </c>
      <c r="I65" s="26" t="n">
        <v>0.99</v>
      </c>
      <c r="J65" s="26" t="inlineStr">
        <is>
          <t>0.89/-1.0/0.99</t>
        </is>
      </c>
      <c r="K65" s="14" t="inlineStr">
        <is>
          <t>V4-B｜EV 0.08689251283920191</t>
        </is>
      </c>
      <c r="L65" s="14" t="inlineStr">
        <is>
          <t>波兰</t>
        </is>
      </c>
      <c r="M65" s="47" t="n">
        <v>0.4397470435990605</v>
      </c>
      <c r="N65" s="14" t="inlineStr">
        <is>
          <t>V4纸面入选-B</t>
        </is>
      </c>
      <c r="O65" s="14" t="inlineStr">
        <is>
          <t>6-0</t>
        </is>
      </c>
      <c r="P65" s="14" t="inlineStr">
        <is>
          <t>已结算</t>
        </is>
      </c>
      <c r="Q65" s="14" t="inlineStr">
        <is>
          <t>红</t>
        </is>
      </c>
      <c r="R65" s="48" t="n">
        <v>0.89</v>
      </c>
      <c r="S65" s="48">
        <f>IF(OR(Q65="",Q65="待结算"),"",IF(Q65="红",R65,IF(Q65="半红",R65*0.5,IF(Q65="走",0,IF(Q65="半黑",-0.5,-1)))))</f>
        <v/>
      </c>
      <c r="T65" s="14" t="inlineStr">
        <is>
          <t>D:\codex\v3_legacy\outputs\football_odds_trader\raw\titan007\20261003\20261003_092303_titan007_odds_snapshot.csv</t>
        </is>
      </c>
      <c r="U65" s="14">
        <f>IF(Q65="","",IF(Q65="待结算","待结算",IF(Q65="红","黑",IF(Q65="半红","半黑",IF(Q65="走","走",IF(Q65="半黑","半红","红"))))))</f>
        <v/>
      </c>
      <c r="V65" s="48">
        <f>IF(OR(U65="",U65="待结算"),"",IF(L65=LEFT(F65,FIND(" vs ",F65)-1),I65,G65))</f>
        <v/>
      </c>
      <c r="W65" s="48">
        <f>IF(OR(U65="",U65="待结算"),"",IF(U65="红",V65,IF(U65="半红",V65*0.5,IF(U65="走",0,IF(U65="半黑",-0.5,-1)))))</f>
        <v/>
      </c>
      <c r="X65" s="14" t="inlineStr">
        <is>
          <t>2981495</t>
        </is>
      </c>
      <c r="Y65" s="14" t="inlineStr">
        <is>
          <t>V4</t>
        </is>
      </c>
      <c r="Z65" s="14" t="inlineStr">
        <is>
          <t>prior-2026-10-02-v1</t>
        </is>
      </c>
      <c r="AA65" s="14" t="inlineStr">
        <is>
          <t>B</t>
        </is>
      </c>
      <c r="AB65" s="14" t="n">
        <v>0.4397470435990605</v>
      </c>
      <c r="AC65" s="14" t="n">
        <v>0</v>
      </c>
      <c r="AD65" s="14" t="n">
        <v>0.2557706004369775</v>
      </c>
      <c r="AE65" s="14" t="n">
        <v>0</v>
      </c>
      <c r="AF65" s="14" t="n">
        <v>0.3044823559639619</v>
      </c>
      <c r="AG65" s="14" t="n">
        <v>0.08689251283920191</v>
      </c>
      <c r="AH65" s="14" t="n"/>
      <c r="AI65" s="14" t="n"/>
      <c r="AJ65" s="14" t="n">
        <v>0.08689251283920191</v>
      </c>
      <c r="AK65" s="14" t="n"/>
      <c r="AL65" s="14" t="n"/>
      <c r="AM65" s="14" t="n"/>
      <c r="AN65" s="14" t="inlineStr">
        <is>
          <t>EVALUATED</t>
        </is>
      </c>
      <c r="AO65" s="14" t="inlineStr">
        <is>
          <t>GIVING_VALIDATED_EDGE;BUCKET_PRIOR_ONLY;INTENT_INTERPRETATION_ONLY;EXPERT_MARKET</t>
        </is>
      </c>
      <c r="AP65" s="14" t="inlineStr">
        <is>
          <t>69efcc4d38f48be167f6</t>
        </is>
      </c>
      <c r="AQ65" s="14" t="n">
        <v>-1</v>
      </c>
      <c r="AR65" s="14" t="n">
        <v>0.89</v>
      </c>
      <c r="AS65" s="14" t="n">
        <v>-1</v>
      </c>
      <c r="AT65" s="14" t="n">
        <v>1</v>
      </c>
      <c r="AU65" s="14" t="n">
        <v>0.89</v>
      </c>
      <c r="AV65" s="14" t="n">
        <v>0.99</v>
      </c>
      <c r="AW65" s="14" t="inlineStr">
        <is>
          <t>2026-10-02T08:17:52.952859+08:00</t>
        </is>
      </c>
      <c r="AX65" s="14" t="inlineStr">
        <is>
          <t>Titan007 Next</t>
        </is>
      </c>
      <c r="AY65" s="14" t="inlineStr">
        <is>
          <t>V4 Shadow Only；real_money=false；新增冻结记录</t>
        </is>
      </c>
    </row>
    <row r="66" ht="22" customHeight="1" s="39">
      <c r="A66" s="14" t="inlineStr">
        <is>
          <t>2026-10-02</t>
        </is>
      </c>
      <c r="B66" s="14" t="inlineStr">
        <is>
          <t>2026-10-03 02:45:00</t>
        </is>
      </c>
      <c r="C66" s="14" t="inlineStr">
        <is>
          <t>NATIONAL_OFFICIAL</t>
        </is>
      </c>
      <c r="D66" s="14" t="inlineStr">
        <is>
          <t>联赛</t>
        </is>
      </c>
      <c r="E66" s="14" t="inlineStr">
        <is>
          <t>欧国联</t>
        </is>
      </c>
      <c r="F66" s="14" t="inlineStr">
        <is>
          <t>法罗群岛 vs 斯洛伐克</t>
        </is>
      </c>
      <c r="G66" s="26" t="n">
        <v>1.09</v>
      </c>
      <c r="H66" s="26" t="n">
        <v>-0.75</v>
      </c>
      <c r="I66" s="26" t="n">
        <v>0.79</v>
      </c>
      <c r="J66" s="26" t="inlineStr">
        <is>
          <t>1.09/-0.75/0.79</t>
        </is>
      </c>
      <c r="K66" s="14" t="inlineStr">
        <is>
          <t>V4-B｜EV 0.13557955913679937</t>
        </is>
      </c>
      <c r="L66" s="14" t="inlineStr">
        <is>
          <t>斯洛伐克</t>
        </is>
      </c>
      <c r="M66" s="47" t="n">
        <v>0.5625859300901942</v>
      </c>
      <c r="N66" s="14" t="inlineStr">
        <is>
          <t>V4纸面入选-B</t>
        </is>
      </c>
      <c r="O66" s="14" t="inlineStr">
        <is>
          <t>1-1</t>
        </is>
      </c>
      <c r="P66" s="14" t="inlineStr">
        <is>
          <t>已结算</t>
        </is>
      </c>
      <c r="Q66" s="14" t="inlineStr">
        <is>
          <t>黑</t>
        </is>
      </c>
      <c r="R66" s="48" t="n">
        <v>0.79</v>
      </c>
      <c r="S66" s="48">
        <f>IF(OR(Q66="",Q66="待结算"),"",IF(Q66="红",R66,IF(Q66="半红",R66*0.5,IF(Q66="走",0,IF(Q66="半黑",-0.5,-1)))))</f>
        <v/>
      </c>
      <c r="T66" s="14" t="inlineStr">
        <is>
          <t>D:\codex\v3_legacy\outputs\football_odds_trader\raw\titan007\20261003\20261003_092303_titan007_odds_snapshot.csv</t>
        </is>
      </c>
      <c r="U66" s="14">
        <f>IF(Q66="","",IF(Q66="待结算","待结算",IF(Q66="红","黑",IF(Q66="半红","半黑",IF(Q66="走","走",IF(Q66="半黑","半红","红"))))))</f>
        <v/>
      </c>
      <c r="V66" s="48">
        <f>IF(OR(U66="",U66="待结算"),"",IF(L66=LEFT(F66,FIND(" vs ",F66)-1),I66,G66))</f>
        <v/>
      </c>
      <c r="W66" s="48">
        <f>IF(OR(U66="",U66="待结算"),"",IF(U66="红",V66,IF(U66="半红",V66*0.5,IF(U66="走",0,IF(U66="半黑",-0.5,-1)))))</f>
        <v/>
      </c>
      <c r="X66" s="14" t="inlineStr">
        <is>
          <t>2981542</t>
        </is>
      </c>
      <c r="Y66" s="14" t="inlineStr">
        <is>
          <t>V4</t>
        </is>
      </c>
      <c r="Z66" s="14" t="inlineStr">
        <is>
          <t>prior-2026-10-02-v1</t>
        </is>
      </c>
      <c r="AA66" s="14" t="inlineStr">
        <is>
          <t>B</t>
        </is>
      </c>
      <c r="AB66" s="14" t="n">
        <v>0.4340351858148424</v>
      </c>
      <c r="AC66" s="14" t="n">
        <v>0.2571014885507036</v>
      </c>
      <c r="AD66" s="14" t="n">
        <v>0</v>
      </c>
      <c r="AE66" s="14" t="n">
        <v>0</v>
      </c>
      <c r="AF66" s="14" t="n">
        <v>0.3088633256344541</v>
      </c>
      <c r="AG66" s="14" t="n">
        <v>0.1355795591367994</v>
      </c>
      <c r="AH66" s="14" t="n"/>
      <c r="AI66" s="14" t="n"/>
      <c r="AJ66" s="14" t="n">
        <v>0.1355795591367994</v>
      </c>
      <c r="AK66" s="14" t="n"/>
      <c r="AL66" s="14" t="n"/>
      <c r="AM66" s="14" t="n"/>
      <c r="AN66" s="14" t="inlineStr">
        <is>
          <t>EVALUATED</t>
        </is>
      </c>
      <c r="AO66" s="14" t="inlineStr">
        <is>
          <t>GIVING_VALIDATED_EDGE;BUCKET_PRIOR_ONLY;INTENT_INTERPRETATION_ONLY;EXPERT_MARKET</t>
        </is>
      </c>
      <c r="AP66" s="14" t="inlineStr">
        <is>
          <t>2bfcb16d24ef639bb52b</t>
        </is>
      </c>
      <c r="AQ66" s="14" t="n">
        <v>-0.75</v>
      </c>
      <c r="AR66" s="14" t="n">
        <v>0.79</v>
      </c>
      <c r="AS66" s="14" t="n">
        <v>-0.75</v>
      </c>
      <c r="AT66" s="14" t="n">
        <v>0.75</v>
      </c>
      <c r="AU66" s="14" t="n">
        <v>0.79</v>
      </c>
      <c r="AV66" s="14" t="n">
        <v>1.09</v>
      </c>
      <c r="AW66" s="14" t="inlineStr">
        <is>
          <t>2026-10-02T08:17:52.952859+08:00</t>
        </is>
      </c>
      <c r="AX66" s="14" t="inlineStr">
        <is>
          <t>Titan007 Next</t>
        </is>
      </c>
      <c r="AY66" s="14" t="inlineStr">
        <is>
          <t>V4 Shadow Only；real_money=false；新增冻结记录</t>
        </is>
      </c>
    </row>
    <row r="67" ht="22" customHeight="1" s="39">
      <c r="A67" s="14" t="inlineStr">
        <is>
          <t>2026-10-02</t>
        </is>
      </c>
      <c r="B67" s="14" t="inlineStr">
        <is>
          <t>2026-10-03 02:45:00</t>
        </is>
      </c>
      <c r="C67" s="14" t="inlineStr">
        <is>
          <t>NATIONAL_YOUTH</t>
        </is>
      </c>
      <c r="D67" s="14" t="inlineStr">
        <is>
          <t>联赛</t>
        </is>
      </c>
      <c r="E67" s="14" t="inlineStr">
        <is>
          <t>欧青U21外</t>
        </is>
      </c>
      <c r="F67" s="14" t="inlineStr">
        <is>
          <t>英格兰U21 vs 斯洛伐克U21</t>
        </is>
      </c>
      <c r="G67" s="26" t="n">
        <v>0.91</v>
      </c>
      <c r="H67" s="26" t="n">
        <v>-2</v>
      </c>
      <c r="I67" s="26" t="n">
        <v>0.91</v>
      </c>
      <c r="J67" s="26" t="inlineStr">
        <is>
          <t>0.91/-2.0/0.91</t>
        </is>
      </c>
      <c r="K67" s="14" t="inlineStr">
        <is>
          <t>V4-C｜EV 0.07875468651870682</t>
        </is>
      </c>
      <c r="L67" s="14" t="inlineStr">
        <is>
          <t>英格兰U21</t>
        </is>
      </c>
      <c r="M67" s="47" t="n">
        <v>0.4359319280374241</v>
      </c>
      <c r="N67" s="14" t="inlineStr">
        <is>
          <t>V4纸面入选-C</t>
        </is>
      </c>
      <c r="O67" s="14" t="inlineStr">
        <is>
          <t>0-0</t>
        </is>
      </c>
      <c r="P67" s="14" t="inlineStr">
        <is>
          <t>已结算</t>
        </is>
      </c>
      <c r="Q67" s="14" t="inlineStr">
        <is>
          <t>黑</t>
        </is>
      </c>
      <c r="R67" s="48" t="n">
        <v>0.91</v>
      </c>
      <c r="S67" s="48">
        <f>IF(OR(Q67="",Q67="待结算"),"",IF(Q67="红",R67,IF(Q67="半红",R67*0.5,IF(Q67="走",0,IF(Q67="半黑",-0.5,-1)))))</f>
        <v/>
      </c>
      <c r="T67" s="14" t="inlineStr">
        <is>
          <t>D:\codex\v3_legacy\outputs\football_odds_trader\raw\titan007\20261003\20261003_092303_titan007_odds_snapshot.csv</t>
        </is>
      </c>
      <c r="U67" s="14">
        <f>IF(Q67="","",IF(Q67="待结算","待结算",IF(Q67="红","黑",IF(Q67="半红","半黑",IF(Q67="走","走",IF(Q67="半黑","半红","红"))))))</f>
        <v/>
      </c>
      <c r="V67" s="48">
        <f>IF(OR(U67="",U67="待结算"),"",IF(L67=LEFT(F67,FIND(" vs ",F67)-1),I67,G67))</f>
        <v/>
      </c>
      <c r="W67" s="48">
        <f>IF(OR(U67="",U67="待结算"),"",IF(U67="红",V67,IF(U67="半红",V67*0.5,IF(U67="走",0,IF(U67="半黑",-0.5,-1)))))</f>
        <v/>
      </c>
      <c r="X67" s="14" t="inlineStr">
        <is>
          <t>2781437</t>
        </is>
      </c>
      <c r="Y67" s="14" t="inlineStr">
        <is>
          <t>V4</t>
        </is>
      </c>
      <c r="Z67" s="14" t="inlineStr">
        <is>
          <t>prior-2026-10-02-v1</t>
        </is>
      </c>
      <c r="AA67" s="14" t="inlineStr">
        <is>
          <t>C</t>
        </is>
      </c>
      <c r="AB67" s="14" t="n">
        <v>0.4359319280374241</v>
      </c>
      <c r="AC67" s="14" t="n">
        <v>0</v>
      </c>
      <c r="AD67" s="14" t="n">
        <v>0.2461247039672268</v>
      </c>
      <c r="AE67" s="14" t="n">
        <v>0</v>
      </c>
      <c r="AF67" s="14" t="n">
        <v>0.3179433679953491</v>
      </c>
      <c r="AG67" s="14" t="n">
        <v>0.07875468651870682</v>
      </c>
      <c r="AH67" s="14" t="n"/>
      <c r="AI67" s="14" t="n"/>
      <c r="AJ67" s="14" t="n">
        <v>0.07875468651870682</v>
      </c>
      <c r="AK67" s="14" t="n"/>
      <c r="AL67" s="14" t="n"/>
      <c r="AM67" s="14" t="n"/>
      <c r="AN67" s="14" t="inlineStr">
        <is>
          <t>EVALUATED</t>
        </is>
      </c>
      <c r="AO67" s="14" t="inlineStr">
        <is>
          <t>GIVING_VALIDATED_EDGE;BUCKET_PRIOR_ONLY;INTENT_INTERPRETATION_ONLY;EXPERT_MARKET</t>
        </is>
      </c>
      <c r="AP67" s="14" t="inlineStr">
        <is>
          <t>b2ed35f4cfa4bae463a3</t>
        </is>
      </c>
      <c r="AQ67" s="14" t="n">
        <v>-2</v>
      </c>
      <c r="AR67" s="14" t="n">
        <v>0.91</v>
      </c>
      <c r="AS67" s="14" t="n">
        <v>-2</v>
      </c>
      <c r="AT67" s="14" t="n">
        <v>2</v>
      </c>
      <c r="AU67" s="14" t="n">
        <v>0.91</v>
      </c>
      <c r="AV67" s="14" t="n">
        <v>0.91</v>
      </c>
      <c r="AW67" s="14" t="inlineStr">
        <is>
          <t>2026-10-02T08:17:52.952859+08:00</t>
        </is>
      </c>
      <c r="AX67" s="14" t="inlineStr">
        <is>
          <t>Titan007 Next</t>
        </is>
      </c>
      <c r="AY67" s="14" t="inlineStr">
        <is>
          <t>V4 Shadow Only；real_money=false；新增冻结记录</t>
        </is>
      </c>
    </row>
    <row r="68" ht="22" customHeight="1" s="39">
      <c r="A68" s="14" t="inlineStr">
        <is>
          <t>2026-10-02</t>
        </is>
      </c>
      <c r="B68" s="14" t="inlineStr">
        <is>
          <t>2026-10-03 06:00:00</t>
        </is>
      </c>
      <c r="C68" s="14" t="inlineStr">
        <is>
          <t>CLUB_LEAGUE</t>
        </is>
      </c>
      <c r="D68" s="14" t="inlineStr">
        <is>
          <t>联赛</t>
        </is>
      </c>
      <c r="E68" s="14" t="inlineStr">
        <is>
          <t>阿乙</t>
        </is>
      </c>
      <c r="F68" s="14" t="inlineStr">
        <is>
          <t>费罗卡利 vs 玛德恩</t>
        </is>
      </c>
      <c r="G68" s="26" t="n">
        <v>0.77</v>
      </c>
      <c r="H68" s="26" t="n">
        <v>-0.25</v>
      </c>
      <c r="I68" s="26" t="n">
        <v>0.99</v>
      </c>
      <c r="J68" s="26" t="inlineStr">
        <is>
          <t>0.77/-0.25/0.99</t>
        </is>
      </c>
      <c r="K68" s="14" t="inlineStr">
        <is>
          <t>V4-B｜EV 0.09844767753909162</t>
        </is>
      </c>
      <c r="L68" s="14" t="inlineStr">
        <is>
          <t>费罗卡利</t>
        </is>
      </c>
      <c r="M68" s="47" t="n">
        <v>0.5515643610932215</v>
      </c>
      <c r="N68" s="14" t="inlineStr">
        <is>
          <t>V4纸面入选-B</t>
        </is>
      </c>
      <c r="O68" s="14" t="inlineStr">
        <is>
          <t>0-2</t>
        </is>
      </c>
      <c r="P68" s="14" t="inlineStr">
        <is>
          <t>已结算</t>
        </is>
      </c>
      <c r="Q68" s="14" t="inlineStr">
        <is>
          <t>黑</t>
        </is>
      </c>
      <c r="R68" s="48" t="n">
        <v>0.77</v>
      </c>
      <c r="S68" s="48">
        <f>IF(OR(Q68="",Q68="待结算"),"",IF(Q68="红",R68,IF(Q68="半红",R68*0.5,IF(Q68="走",0,IF(Q68="半黑",-0.5,-1)))))</f>
        <v/>
      </c>
      <c r="T68" s="14" t="inlineStr">
        <is>
          <t>D:\codex\v3_legacy\outputs\football_odds_trader\raw\titan007\20261003\20261003_092303_titan007_odds_snapshot.csv</t>
        </is>
      </c>
      <c r="U68" s="14">
        <f>IF(Q68="","",IF(Q68="待结算","待结算",IF(Q68="红","黑",IF(Q68="半红","半黑",IF(Q68="走","走",IF(Q68="半黑","半红","红"))))))</f>
        <v/>
      </c>
      <c r="V68" s="48">
        <f>IF(OR(U68="",U68="待结算"),"",IF(L68=LEFT(F68,FIND(" vs ",F68)-1),I68,G68))</f>
        <v/>
      </c>
      <c r="W68" s="48">
        <f>IF(OR(U68="",U68="待结算"),"",IF(U68="红",V68,IF(U68="半红",V68*0.5,IF(U68="走",0,IF(U68="半黑",-0.5,-1)))))</f>
        <v/>
      </c>
      <c r="X68" s="14" t="inlineStr">
        <is>
          <t>2916726</t>
        </is>
      </c>
      <c r="Y68" s="14" t="inlineStr">
        <is>
          <t>V4</t>
        </is>
      </c>
      <c r="Z68" s="14" t="inlineStr">
        <is>
          <t>prior-2026-10-02-v1</t>
        </is>
      </c>
      <c r="AA68" s="14" t="inlineStr">
        <is>
          <t>B</t>
        </is>
      </c>
      <c r="AB68" s="14" t="n">
        <v>0.5515643610932215</v>
      </c>
      <c r="AC68" s="14" t="n">
        <v>0</v>
      </c>
      <c r="AD68" s="14" t="n">
        <v>0</v>
      </c>
      <c r="AE68" s="14" t="n">
        <v>0.2443575168081793</v>
      </c>
      <c r="AF68" s="14" t="n">
        <v>0.2040781220985993</v>
      </c>
      <c r="AG68" s="14" t="n">
        <v>0.09844767753909162</v>
      </c>
      <c r="AH68" s="14" t="n"/>
      <c r="AI68" s="14" t="n"/>
      <c r="AJ68" s="14" t="n">
        <v>0.09844767753909162</v>
      </c>
      <c r="AK68" s="14" t="n"/>
      <c r="AL68" s="14" t="n"/>
      <c r="AM68" s="14" t="n"/>
      <c r="AN68" s="14" t="inlineStr">
        <is>
          <t>EVALUATED</t>
        </is>
      </c>
      <c r="AO68" s="14" t="inlineStr">
        <is>
          <t>GIVING_VALIDATED_EDGE;BUCKET_PRIOR_ONLY;INTENT_INTERPRETATION_ONLY;EXPERT_MARKET</t>
        </is>
      </c>
      <c r="AP68" s="14" t="inlineStr">
        <is>
          <t>232e2cb6de36ed0569ee</t>
        </is>
      </c>
      <c r="AQ68" s="14" t="n">
        <v>-0.25</v>
      </c>
      <c r="AR68" s="14" t="n">
        <v>0.77</v>
      </c>
      <c r="AS68" s="14" t="n">
        <v>-0.25</v>
      </c>
      <c r="AT68" s="14" t="n">
        <v>0.25</v>
      </c>
      <c r="AU68" s="14" t="n">
        <v>0.77</v>
      </c>
      <c r="AV68" s="14" t="n">
        <v>0.99</v>
      </c>
      <c r="AW68" s="14" t="inlineStr">
        <is>
          <t>2026-10-02T08:17:52.952859+08:00</t>
        </is>
      </c>
      <c r="AX68" s="14" t="inlineStr">
        <is>
          <t>Titan007 Next</t>
        </is>
      </c>
      <c r="AY68" s="14" t="inlineStr">
        <is>
          <t>V4 Shadow Only；real_money=false；新增冻结记录</t>
        </is>
      </c>
    </row>
    <row r="69" ht="22" customHeight="1" s="39">
      <c r="A69" s="14" t="inlineStr">
        <is>
          <t>2026-10-02</t>
        </is>
      </c>
      <c r="B69" s="14" t="inlineStr">
        <is>
          <t>2026-10-03 06:15:00</t>
        </is>
      </c>
      <c r="C69" s="14" t="inlineStr">
        <is>
          <t>CLUB_LEAGUE</t>
        </is>
      </c>
      <c r="D69" s="14" t="inlineStr">
        <is>
          <t>联赛</t>
        </is>
      </c>
      <c r="E69" s="14" t="inlineStr">
        <is>
          <t>阿甲</t>
        </is>
      </c>
      <c r="F69" s="14" t="inlineStr">
        <is>
          <t>阿根廷独立 vs 科尔多瓦学院</t>
        </is>
      </c>
      <c r="G69" s="26" t="n">
        <v>1.03</v>
      </c>
      <c r="H69" s="26" t="n">
        <v>-0.25</v>
      </c>
      <c r="I69" s="26" t="n">
        <v>0.85</v>
      </c>
      <c r="J69" s="26" t="inlineStr">
        <is>
          <t>1.03/-0.25/0.85</t>
        </is>
      </c>
      <c r="K69" s="14" t="inlineStr">
        <is>
          <t>V4-C｜EV 0.05340568582105876</t>
        </is>
      </c>
      <c r="L69" s="14" t="inlineStr">
        <is>
          <t>阿根廷独立</t>
        </is>
      </c>
      <c r="M69" s="47" t="n">
        <v>0.4545064944002318</v>
      </c>
      <c r="N69" s="14" t="inlineStr">
        <is>
          <t>V4纸面入选-C</t>
        </is>
      </c>
      <c r="O69" s="14" t="inlineStr">
        <is>
          <t>1-4</t>
        </is>
      </c>
      <c r="P69" s="14" t="inlineStr">
        <is>
          <t>已结算</t>
        </is>
      </c>
      <c r="Q69" s="14" t="inlineStr">
        <is>
          <t>黑</t>
        </is>
      </c>
      <c r="R69" s="48" t="n">
        <v>1.03</v>
      </c>
      <c r="S69" s="48">
        <f>IF(OR(Q69="",Q69="待结算"),"",IF(Q69="红",R69,IF(Q69="半红",R69*0.5,IF(Q69="走",0,IF(Q69="半黑",-0.5,-1)))))</f>
        <v/>
      </c>
      <c r="T69" s="14" t="inlineStr">
        <is>
          <t>D:\codex\v3_legacy\outputs\football_odds_trader\raw\titan007\20261003\20261003_092303_titan007_odds_snapshot.csv</t>
        </is>
      </c>
      <c r="U69" s="14">
        <f>IF(Q69="","",IF(Q69="待结算","待结算",IF(Q69="红","黑",IF(Q69="半红","半黑",IF(Q69="走","走",IF(Q69="半黑","半红","红"))))))</f>
        <v/>
      </c>
      <c r="V69" s="48">
        <f>IF(OR(U69="",U69="待结算"),"",IF(L69=LEFT(F69,FIND(" vs ",F69)-1),I69,G69))</f>
        <v/>
      </c>
      <c r="W69" s="48">
        <f>IF(OR(U69="",U69="待结算"),"",IF(U69="红",V69,IF(U69="半红",V69*0.5,IF(U69="走",0,IF(U69="半黑",-0.5,-1)))))</f>
        <v/>
      </c>
      <c r="X69" s="14" t="inlineStr">
        <is>
          <t>2962662</t>
        </is>
      </c>
      <c r="Y69" s="14" t="inlineStr">
        <is>
          <t>V4</t>
        </is>
      </c>
      <c r="Z69" s="14" t="inlineStr">
        <is>
          <t>prior-2026-10-02-v1</t>
        </is>
      </c>
      <c r="AA69" s="14" t="inlineStr">
        <is>
          <t>C</t>
        </is>
      </c>
      <c r="AB69" s="14" t="n">
        <v>0.4545064944002318</v>
      </c>
      <c r="AC69" s="14" t="n">
        <v>0</v>
      </c>
      <c r="AD69" s="14" t="n">
        <v>0</v>
      </c>
      <c r="AE69" s="14" t="n">
        <v>0.2615150043771762</v>
      </c>
      <c r="AF69" s="14" t="n">
        <v>0.2839785012225919</v>
      </c>
      <c r="AG69" s="14" t="n">
        <v>0.05340568582105876</v>
      </c>
      <c r="AH69" s="14" t="n"/>
      <c r="AI69" s="14" t="n"/>
      <c r="AJ69" s="14" t="n">
        <v>0.05340568582105876</v>
      </c>
      <c r="AK69" s="14" t="n"/>
      <c r="AL69" s="14" t="n"/>
      <c r="AM69" s="14" t="n"/>
      <c r="AN69" s="14" t="inlineStr">
        <is>
          <t>EVALUATED</t>
        </is>
      </c>
      <c r="AO69" s="14" t="inlineStr">
        <is>
          <t>GIVING_VALIDATED_EDGE;BUCKET_PRIOR_ONLY;INTENT_INTERPRETATION_ONLY;EXPERT_MARKET</t>
        </is>
      </c>
      <c r="AP69" s="14" t="inlineStr">
        <is>
          <t>b2332839eecfbf1d0d6b</t>
        </is>
      </c>
      <c r="AQ69" s="14" t="n">
        <v>-0.25</v>
      </c>
      <c r="AR69" s="14" t="n">
        <v>1.03</v>
      </c>
      <c r="AS69" s="14" t="n">
        <v>-0.25</v>
      </c>
      <c r="AT69" s="14" t="n">
        <v>0.25</v>
      </c>
      <c r="AU69" s="14" t="n">
        <v>1.03</v>
      </c>
      <c r="AV69" s="14" t="n">
        <v>0.85</v>
      </c>
      <c r="AW69" s="14" t="inlineStr">
        <is>
          <t>2026-10-02T08:17:52.952859+08:00</t>
        </is>
      </c>
      <c r="AX69" s="14" t="inlineStr">
        <is>
          <t>Titan007 Next</t>
        </is>
      </c>
      <c r="AY69" s="14" t="inlineStr">
        <is>
          <t>V4 Shadow Only；real_money=false；新增冻结记录</t>
        </is>
      </c>
    </row>
    <row r="70" ht="22" customHeight="1" s="39">
      <c r="A70" s="14" t="inlineStr">
        <is>
          <t>2026-10-02</t>
        </is>
      </c>
      <c r="B70" s="14" t="inlineStr">
        <is>
          <t>2026-10-03 07:00:00</t>
        </is>
      </c>
      <c r="C70" s="14" t="inlineStr">
        <is>
          <t>CLUB_LEAGUE</t>
        </is>
      </c>
      <c r="D70" s="14" t="inlineStr">
        <is>
          <t>联赛</t>
        </is>
      </c>
      <c r="E70" s="14" t="inlineStr">
        <is>
          <t>巴西甲</t>
        </is>
      </c>
      <c r="F70" s="14" t="inlineStr">
        <is>
          <t>圣保罗 vs 桑托斯</t>
        </is>
      </c>
      <c r="G70" s="26" t="n">
        <v>1.04</v>
      </c>
      <c r="H70" s="26" t="n">
        <v>-0.5</v>
      </c>
      <c r="I70" s="26" t="n">
        <v>0.84</v>
      </c>
      <c r="J70" s="26" t="inlineStr">
        <is>
          <t>1.04/-0.5/0.84</t>
        </is>
      </c>
      <c r="K70" s="14" t="inlineStr">
        <is>
          <t>V4-B｜EV 0.09063401233829221</t>
        </is>
      </c>
      <c r="L70" s="14" t="inlineStr">
        <is>
          <t>圣保罗</t>
        </is>
      </c>
      <c r="M70" s="47" t="n">
        <v>0.534624515852104</v>
      </c>
      <c r="N70" s="14" t="inlineStr">
        <is>
          <t>V4纸面入选-B</t>
        </is>
      </c>
      <c r="O70" s="14" t="inlineStr">
        <is>
          <t>1-2</t>
        </is>
      </c>
      <c r="P70" s="14" t="inlineStr">
        <is>
          <t>已结算</t>
        </is>
      </c>
      <c r="Q70" s="14" t="inlineStr">
        <is>
          <t>黑</t>
        </is>
      </c>
      <c r="R70" s="48" t="n">
        <v>1.04</v>
      </c>
      <c r="S70" s="48">
        <f>IF(OR(Q70="",Q70="待结算"),"",IF(Q70="红",R70,IF(Q70="半红",R70*0.5,IF(Q70="走",0,IF(Q70="半黑",-0.5,-1)))))</f>
        <v/>
      </c>
      <c r="T70" s="14" t="inlineStr">
        <is>
          <t>D:\codex\v3_legacy\outputs\football_odds_trader\raw\titan007\20261003\20261003_092303_titan007_odds_snapshot.csv</t>
        </is>
      </c>
      <c r="U70" s="14">
        <f>IF(Q70="","",IF(Q70="待结算","待结算",IF(Q70="红","黑",IF(Q70="半红","半黑",IF(Q70="走","走",IF(Q70="半黑","半红","红"))))))</f>
        <v/>
      </c>
      <c r="V70" s="48">
        <f>IF(OR(U70="",U70="待结算"),"",IF(L70=LEFT(F70,FIND(" vs ",F70)-1),I70,G70))</f>
        <v/>
      </c>
      <c r="W70" s="48">
        <f>IF(OR(U70="",U70="待结算"),"",IF(U70="红",V70,IF(U70="半红",V70*0.5,IF(U70="走",0,IF(U70="半黑",-0.5,-1)))))</f>
        <v/>
      </c>
      <c r="X70" s="14" t="inlineStr">
        <is>
          <t>2910835</t>
        </is>
      </c>
      <c r="Y70" s="14" t="inlineStr">
        <is>
          <t>V4</t>
        </is>
      </c>
      <c r="Z70" s="14" t="inlineStr">
        <is>
          <t>prior-2026-10-02-v1</t>
        </is>
      </c>
      <c r="AA70" s="14" t="inlineStr">
        <is>
          <t>B</t>
        </is>
      </c>
      <c r="AB70" s="14" t="n">
        <v>0.534624515852104</v>
      </c>
      <c r="AC70" s="14" t="n">
        <v>0</v>
      </c>
      <c r="AD70" s="14" t="n">
        <v>0</v>
      </c>
      <c r="AE70" s="14" t="n">
        <v>0</v>
      </c>
      <c r="AF70" s="14" t="n">
        <v>0.465375484147896</v>
      </c>
      <c r="AG70" s="14" t="n">
        <v>0.09063401233829221</v>
      </c>
      <c r="AH70" s="14" t="n"/>
      <c r="AI70" s="14" t="n"/>
      <c r="AJ70" s="14" t="n">
        <v>0.09063401233829221</v>
      </c>
      <c r="AK70" s="14" t="n"/>
      <c r="AL70" s="14" t="n"/>
      <c r="AM70" s="14" t="n"/>
      <c r="AN70" s="14" t="inlineStr">
        <is>
          <t>EVALUATED</t>
        </is>
      </c>
      <c r="AO70" s="14" t="inlineStr">
        <is>
          <t>GIVING_VALIDATED_EDGE;BUCKET_PRIOR_ONLY;INTENT_INTERPRETATION_ONLY;EXPERT_MARKET</t>
        </is>
      </c>
      <c r="AP70" s="14" t="inlineStr">
        <is>
          <t>f93214a2ce738a2cebdd</t>
        </is>
      </c>
      <c r="AQ70" s="14" t="n">
        <v>-0.5</v>
      </c>
      <c r="AR70" s="14" t="n">
        <v>1.04</v>
      </c>
      <c r="AS70" s="14" t="n">
        <v>-0.5</v>
      </c>
      <c r="AT70" s="14" t="n">
        <v>0.5</v>
      </c>
      <c r="AU70" s="14" t="n">
        <v>1.04</v>
      </c>
      <c r="AV70" s="14" t="n">
        <v>0.84</v>
      </c>
      <c r="AW70" s="14" t="inlineStr">
        <is>
          <t>2026-10-02T08:17:52.952859+08:00</t>
        </is>
      </c>
      <c r="AX70" s="14" t="inlineStr">
        <is>
          <t>Titan007 Next</t>
        </is>
      </c>
      <c r="AY70" s="14" t="inlineStr">
        <is>
          <t>V4 Shadow Only；real_money=false；新增冻结记录</t>
        </is>
      </c>
    </row>
    <row r="71" ht="22" customHeight="1" s="39">
      <c r="A71" s="14" t="inlineStr">
        <is>
          <t>2026-10-02</t>
        </is>
      </c>
      <c r="B71" s="14" t="inlineStr">
        <is>
          <t>2026-10-03 07:45:00</t>
        </is>
      </c>
      <c r="C71" s="14" t="inlineStr">
        <is>
          <t>CLUB_LEAGUE</t>
        </is>
      </c>
      <c r="D71" s="14" t="inlineStr">
        <is>
          <t>联赛</t>
        </is>
      </c>
      <c r="E71" s="14" t="inlineStr">
        <is>
          <t>巴西乙</t>
        </is>
      </c>
      <c r="F71" s="14" t="inlineStr">
        <is>
          <t>尤文图德 vs 欧帕尔利奥</t>
        </is>
      </c>
      <c r="G71" s="26" t="n">
        <v>0.8100000000000001</v>
      </c>
      <c r="H71" s="26" t="n">
        <v>-0.5</v>
      </c>
      <c r="I71" s="26" t="n">
        <v>1.07</v>
      </c>
      <c r="J71" s="26" t="inlineStr">
        <is>
          <t>0.81/-0.5/1.07</t>
        </is>
      </c>
      <c r="K71" s="14" t="inlineStr">
        <is>
          <t>V4-B｜EV 0.15405200629494153</t>
        </is>
      </c>
      <c r="L71" s="14" t="inlineStr">
        <is>
          <t>尤文图德</t>
        </is>
      </c>
      <c r="M71" s="47" t="n">
        <v>0.6375977935331169</v>
      </c>
      <c r="N71" s="14" t="inlineStr">
        <is>
          <t>V4纸面入选-B</t>
        </is>
      </c>
      <c r="O71" s="14" t="inlineStr">
        <is>
          <t>3-0</t>
        </is>
      </c>
      <c r="P71" s="14" t="inlineStr">
        <is>
          <t>已结算</t>
        </is>
      </c>
      <c r="Q71" s="14" t="inlineStr">
        <is>
          <t>红半</t>
        </is>
      </c>
      <c r="R71" s="48" t="n">
        <v>0.8100000000000001</v>
      </c>
      <c r="S71" s="48" t="n">
        <v>0.405</v>
      </c>
      <c r="T71" s="14" t="inlineStr">
        <is>
          <t>D:\codex\v3_legacy\outputs\football_odds_trader\raw\titan007\20261003\20261003_092303_titan007_odds_snapshot.csv</t>
        </is>
      </c>
      <c r="U71" s="14">
        <f>IF(Q71="","",IF(Q71="待结算","待结算",IF(Q71="红","黑",IF(Q71="半红","半黑",IF(Q71="走","走",IF(Q71="半黑","半红","红"))))))</f>
        <v/>
      </c>
      <c r="V71" s="48">
        <f>IF(OR(U71="",U71="待结算"),"",IF(L71=LEFT(F71,FIND(" vs ",F71)-1),I71,G71))</f>
        <v/>
      </c>
      <c r="W71" s="48">
        <f>IF(OR(U71="",U71="待结算"),"",IF(U71="红",V71,IF(U71="半红",V71*0.5,IF(U71="走",0,IF(U71="半黑",-0.5,-1)))))</f>
        <v/>
      </c>
      <c r="X71" s="14" t="inlineStr">
        <is>
          <t>2940211</t>
        </is>
      </c>
      <c r="Y71" s="14" t="inlineStr">
        <is>
          <t>V4</t>
        </is>
      </c>
      <c r="Z71" s="14" t="inlineStr">
        <is>
          <t>prior-2026-10-02-v1</t>
        </is>
      </c>
      <c r="AA71" s="14" t="inlineStr">
        <is>
          <t>B</t>
        </is>
      </c>
      <c r="AB71" s="14" t="n">
        <v>0.6375977935331169</v>
      </c>
      <c r="AC71" s="14" t="n">
        <v>0</v>
      </c>
      <c r="AD71" s="14" t="n">
        <v>0</v>
      </c>
      <c r="AE71" s="14" t="n">
        <v>0</v>
      </c>
      <c r="AF71" s="14" t="n">
        <v>0.3624022064668831</v>
      </c>
      <c r="AG71" s="14" t="n">
        <v>0.1540520062949415</v>
      </c>
      <c r="AH71" s="14" t="n"/>
      <c r="AI71" s="14" t="n"/>
      <c r="AJ71" s="14" t="n">
        <v>0.1540520062949415</v>
      </c>
      <c r="AK71" s="14" t="n"/>
      <c r="AL71" s="14" t="n"/>
      <c r="AM71" s="14" t="n"/>
      <c r="AN71" s="14" t="inlineStr">
        <is>
          <t>EVALUATED</t>
        </is>
      </c>
      <c r="AO71" s="14" t="inlineStr">
        <is>
          <t>GIVING_VALIDATED_EDGE;BUCKET_PRIOR_ONLY;INTENT_INTERPRETATION_ONLY;EXPERT_MARKET</t>
        </is>
      </c>
      <c r="AP71" s="14" t="inlineStr">
        <is>
          <t>86ad676dd2841cb24c93</t>
        </is>
      </c>
      <c r="AQ71" s="14" t="n">
        <v>-0.5</v>
      </c>
      <c r="AR71" s="14" t="n">
        <v>0.8100000000000001</v>
      </c>
      <c r="AS71" s="14" t="n">
        <v>-0.5</v>
      </c>
      <c r="AT71" s="14" t="n">
        <v>0.5</v>
      </c>
      <c r="AU71" s="14" t="n">
        <v>0.8100000000000001</v>
      </c>
      <c r="AV71" s="14" t="n">
        <v>1.07</v>
      </c>
      <c r="AW71" s="14" t="inlineStr">
        <is>
          <t>2026-10-02T08:17:52.952859+08:00</t>
        </is>
      </c>
      <c r="AX71" s="14" t="inlineStr">
        <is>
          <t>Titan007 Next</t>
        </is>
      </c>
      <c r="AY71" s="14" t="inlineStr">
        <is>
          <t>V4 Shadow Only；real_money=false；新增冻结记录</t>
        </is>
      </c>
    </row>
    <row r="72" ht="22" customHeight="1" s="39">
      <c r="A72" s="14" t="inlineStr">
        <is>
          <t>2026-10-02</t>
        </is>
      </c>
      <c r="B72" s="14" t="inlineStr">
        <is>
          <t>2026-10-03 08:30:00</t>
        </is>
      </c>
      <c r="C72" s="14" t="inlineStr">
        <is>
          <t>CLUB_LEAGUE</t>
        </is>
      </c>
      <c r="D72" s="14" t="inlineStr">
        <is>
          <t>联赛</t>
        </is>
      </c>
      <c r="E72" s="14" t="inlineStr">
        <is>
          <t>阿甲</t>
        </is>
      </c>
      <c r="F72" s="14" t="inlineStr">
        <is>
          <t>博卡青年 vs 圣塔菲联</t>
        </is>
      </c>
      <c r="G72" s="26" t="n">
        <v>1.07</v>
      </c>
      <c r="H72" s="26" t="n">
        <v>-1</v>
      </c>
      <c r="I72" s="26" t="n">
        <v>0.8100000000000001</v>
      </c>
      <c r="J72" s="26" t="inlineStr">
        <is>
          <t>1.07/-1.0/0.81</t>
        </is>
      </c>
      <c r="K72" s="14" t="inlineStr">
        <is>
          <t>V4-A｜EV 0.22024707542387295</t>
        </is>
      </c>
      <c r="L72" s="14" t="inlineStr">
        <is>
          <t>博卡青年</t>
        </is>
      </c>
      <c r="M72" s="47" t="n">
        <v>0.4661029172376738</v>
      </c>
      <c r="N72" s="14" t="inlineStr">
        <is>
          <t>V4纸面入选-A</t>
        </is>
      </c>
      <c r="O72" s="14" t="inlineStr">
        <is>
          <t>3-0</t>
        </is>
      </c>
      <c r="P72" s="14" t="inlineStr">
        <is>
          <t>已结算</t>
        </is>
      </c>
      <c r="Q72" s="14" t="inlineStr">
        <is>
          <t>红半</t>
        </is>
      </c>
      <c r="R72" s="48" t="n">
        <v>1.07</v>
      </c>
      <c r="S72" s="48" t="n">
        <v>0.535</v>
      </c>
      <c r="T72" s="14" t="inlineStr">
        <is>
          <t>D:\codex\v3_legacy\outputs\football_odds_trader\raw\titan007\20261004\20261004_084919_titan007_odds_snapshot.csv</t>
        </is>
      </c>
      <c r="U72" s="14">
        <f>IF(Q72="","",IF(Q72="待结算","待结算",IF(Q72="红","黑",IF(Q72="半红","半黑",IF(Q72="走","走",IF(Q72="半黑","半红","红"))))))</f>
        <v/>
      </c>
      <c r="V72" s="48">
        <f>IF(OR(U72="",U72="待结算"),"",IF(L72=LEFT(F72,FIND(" vs ",F72)-1),I72,G72))</f>
        <v/>
      </c>
      <c r="W72" s="48">
        <f>IF(OR(U72="",U72="待结算"),"",IF(U72="红",V72,IF(U72="半红",V72*0.5,IF(U72="走",0,IF(U72="半黑",-0.5,-1)))))</f>
        <v/>
      </c>
      <c r="X72" s="14" t="inlineStr">
        <is>
          <t>2962656</t>
        </is>
      </c>
      <c r="Y72" s="14" t="inlineStr">
        <is>
          <t>V4</t>
        </is>
      </c>
      <c r="Z72" s="14" t="inlineStr">
        <is>
          <t>prior-2026-10-02-v1</t>
        </is>
      </c>
      <c r="AA72" s="14" t="inlineStr">
        <is>
          <t>A</t>
        </is>
      </c>
      <c r="AB72" s="14" t="n">
        <v>0.4661029172376738</v>
      </c>
      <c r="AC72" s="14" t="n">
        <v>0</v>
      </c>
      <c r="AD72" s="14" t="n">
        <v>0.2554140367418882</v>
      </c>
      <c r="AE72" s="14" t="n">
        <v>0</v>
      </c>
      <c r="AF72" s="14" t="n">
        <v>0.2784830460204381</v>
      </c>
      <c r="AG72" s="14" t="n">
        <v>0.220247075423873</v>
      </c>
      <c r="AH72" s="14" t="n"/>
      <c r="AI72" s="14" t="n"/>
      <c r="AJ72" s="14" t="n">
        <v>0.220247075423873</v>
      </c>
      <c r="AK72" s="14" t="n"/>
      <c r="AL72" s="14" t="n"/>
      <c r="AM72" s="14" t="n"/>
      <c r="AN72" s="14" t="inlineStr">
        <is>
          <t>EVALUATED</t>
        </is>
      </c>
      <c r="AO72" s="14" t="inlineStr">
        <is>
          <t>GIVING_VALIDATED_EDGE;BUCKET_PRIOR_ONLY;INTENT_INTERPRETATION_ONLY;EXPERT_MARKET</t>
        </is>
      </c>
      <c r="AP72" s="14" t="inlineStr">
        <is>
          <t>974f08e821430cf974d6</t>
        </is>
      </c>
      <c r="AQ72" s="14" t="n">
        <v>-1</v>
      </c>
      <c r="AR72" s="14" t="n">
        <v>1.07</v>
      </c>
      <c r="AS72" s="14" t="n">
        <v>-1</v>
      </c>
      <c r="AT72" s="14" t="n">
        <v>1</v>
      </c>
      <c r="AU72" s="14" t="n">
        <v>1.07</v>
      </c>
      <c r="AV72" s="14" t="n">
        <v>0.8100000000000001</v>
      </c>
      <c r="AW72" s="14" t="inlineStr">
        <is>
          <t>2026-10-02T08:17:52.952859+08:00</t>
        </is>
      </c>
      <c r="AX72" s="14" t="inlineStr">
        <is>
          <t>Titan007 Next</t>
        </is>
      </c>
      <c r="AY72" s="14" t="inlineStr">
        <is>
          <t>V4 Shadow Only；real_money=false；新增冻结记录</t>
        </is>
      </c>
    </row>
    <row r="73" ht="22" customHeight="1" s="39">
      <c r="A73" s="14" t="inlineStr">
        <is>
          <t>2026-10-02</t>
        </is>
      </c>
      <c r="B73" s="14" t="inlineStr">
        <is>
          <t>2026-10-03 08:30:00</t>
        </is>
      </c>
      <c r="C73" s="14" t="inlineStr">
        <is>
          <t>CLUB_LEAGUE</t>
        </is>
      </c>
      <c r="D73" s="14" t="inlineStr">
        <is>
          <t>联赛</t>
        </is>
      </c>
      <c r="E73" s="14" t="inlineStr">
        <is>
          <t>阿甲</t>
        </is>
      </c>
      <c r="F73" s="14" t="inlineStr">
        <is>
          <t>门多萨独立 vs 拉普拉塔体操</t>
        </is>
      </c>
      <c r="G73" s="26" t="n">
        <v>0.86</v>
      </c>
      <c r="H73" s="26" t="n">
        <v>-0.5</v>
      </c>
      <c r="I73" s="26" t="n">
        <v>1.02</v>
      </c>
      <c r="J73" s="26" t="inlineStr">
        <is>
          <t>0.86/-0.5/1.02</t>
        </is>
      </c>
      <c r="K73" s="14" t="inlineStr">
        <is>
          <t>V4-A｜EV 0.171427210391842</t>
        </is>
      </c>
      <c r="L73" s="14" t="inlineStr">
        <is>
          <t>门多萨独立</t>
        </is>
      </c>
      <c r="M73" s="47" t="n">
        <v>0.629799575479485</v>
      </c>
      <c r="N73" s="14" t="inlineStr">
        <is>
          <t>V4纸面入选-A</t>
        </is>
      </c>
      <c r="O73" s="14" t="inlineStr">
        <is>
          <t>1-1</t>
        </is>
      </c>
      <c r="P73" s="14" t="inlineStr">
        <is>
          <t>已结算</t>
        </is>
      </c>
      <c r="Q73" s="14" t="inlineStr">
        <is>
          <t>红半</t>
        </is>
      </c>
      <c r="R73" s="48" t="n">
        <v>0.86</v>
      </c>
      <c r="S73" s="48" t="n">
        <v>0.43</v>
      </c>
      <c r="T73" s="14" t="inlineStr">
        <is>
          <t>D:\codex\v3_legacy\outputs\football_odds_trader\raw\titan007\20261004\20261004_084919_titan007_odds_snapshot.csv</t>
        </is>
      </c>
      <c r="U73" s="14">
        <f>IF(Q73="","",IF(Q73="待结算","待结算",IF(Q73="红","黑",IF(Q73="半红","半黑",IF(Q73="走","走",IF(Q73="半黑","半红","红"))))))</f>
        <v/>
      </c>
      <c r="V73" s="48">
        <f>IF(OR(U73="",U73="待结算"),"",IF(L73=LEFT(F73,FIND(" vs ",F73)-1),I73,G73))</f>
        <v/>
      </c>
      <c r="W73" s="48">
        <f>IF(OR(U73="",U73="待结算"),"",IF(U73="红",V73,IF(U73="半红",V73*0.5,IF(U73="走",0,IF(U73="半黑",-0.5,-1)))))</f>
        <v/>
      </c>
      <c r="X73" s="14" t="inlineStr">
        <is>
          <t>2962663</t>
        </is>
      </c>
      <c r="Y73" s="14" t="inlineStr">
        <is>
          <t>V4</t>
        </is>
      </c>
      <c r="Z73" s="14" t="inlineStr">
        <is>
          <t>prior-2026-10-02-v1</t>
        </is>
      </c>
      <c r="AA73" s="14" t="inlineStr">
        <is>
          <t>A</t>
        </is>
      </c>
      <c r="AB73" s="14" t="n">
        <v>0.629799575479485</v>
      </c>
      <c r="AC73" s="14" t="n">
        <v>0</v>
      </c>
      <c r="AD73" s="14" t="n">
        <v>0</v>
      </c>
      <c r="AE73" s="14" t="n">
        <v>0</v>
      </c>
      <c r="AF73" s="14" t="n">
        <v>0.3702004245205151</v>
      </c>
      <c r="AG73" s="14" t="n">
        <v>0.171427210391842</v>
      </c>
      <c r="AH73" s="14" t="n"/>
      <c r="AI73" s="14" t="n"/>
      <c r="AJ73" s="14" t="n">
        <v>0.171427210391842</v>
      </c>
      <c r="AK73" s="14" t="n"/>
      <c r="AL73" s="14" t="n"/>
      <c r="AM73" s="14" t="n"/>
      <c r="AN73" s="14" t="inlineStr">
        <is>
          <t>EVALUATED</t>
        </is>
      </c>
      <c r="AO73" s="14" t="inlineStr">
        <is>
          <t>GIVING_VALIDATED_EDGE;BUCKET_PRIOR_ONLY;INTENT_INTERPRETATION_ONLY;EXPERT_MARKET</t>
        </is>
      </c>
      <c r="AP73" s="14" t="inlineStr">
        <is>
          <t>ebc7ec1551b627eabc20</t>
        </is>
      </c>
      <c r="AQ73" s="14" t="n">
        <v>-0.5</v>
      </c>
      <c r="AR73" s="14" t="n">
        <v>0.86</v>
      </c>
      <c r="AS73" s="14" t="n">
        <v>-0.5</v>
      </c>
      <c r="AT73" s="14" t="n">
        <v>0.5</v>
      </c>
      <c r="AU73" s="14" t="n">
        <v>0.86</v>
      </c>
      <c r="AV73" s="14" t="n">
        <v>1.02</v>
      </c>
      <c r="AW73" s="14" t="inlineStr">
        <is>
          <t>2026-10-02T08:17:52.952859+08:00</t>
        </is>
      </c>
      <c r="AX73" s="14" t="inlineStr">
        <is>
          <t>Titan007 Next</t>
        </is>
      </c>
      <c r="AY73" s="14" t="inlineStr">
        <is>
          <t>V4 Shadow Only；real_money=false；新增冻结记录</t>
        </is>
      </c>
    </row>
    <row r="74" ht="22" customHeight="1" s="39">
      <c r="A74" s="14" t="inlineStr">
        <is>
          <t>2026-10-02</t>
        </is>
      </c>
      <c r="B74" s="14" t="inlineStr">
        <is>
          <t>2026-10-03 08:35:00</t>
        </is>
      </c>
      <c r="C74" s="14" t="inlineStr">
        <is>
          <t>CLUB_LEAGUE</t>
        </is>
      </c>
      <c r="D74" s="14" t="inlineStr">
        <is>
          <t>联赛</t>
        </is>
      </c>
      <c r="E74" s="14" t="inlineStr">
        <is>
          <t>巴西乙</t>
        </is>
      </c>
      <c r="F74" s="14" t="inlineStr">
        <is>
          <t>福塔雷萨 vs 累西腓航海</t>
        </is>
      </c>
      <c r="G74" s="26" t="n">
        <v>1.03</v>
      </c>
      <c r="H74" s="26" t="n">
        <v>-0.75</v>
      </c>
      <c r="I74" s="26" t="n">
        <v>0.85</v>
      </c>
      <c r="J74" s="26" t="inlineStr">
        <is>
          <t>1.03/-0.75/0.85</t>
        </is>
      </c>
      <c r="K74" s="14" t="inlineStr">
        <is>
          <t>V4-B｜EV 0.12076886339013537</t>
        </is>
      </c>
      <c r="L74" s="14" t="inlineStr">
        <is>
          <t>福塔雷萨</t>
        </is>
      </c>
      <c r="M74" s="47" t="n">
        <v>0.4889214333515643</v>
      </c>
      <c r="N74" s="14" t="inlineStr">
        <is>
          <t>V4纸面入选-B</t>
        </is>
      </c>
      <c r="O74" s="14" t="inlineStr">
        <is>
          <t>1-1</t>
        </is>
      </c>
      <c r="P74" s="14" t="inlineStr">
        <is>
          <t>已结算</t>
        </is>
      </c>
      <c r="Q74" s="14" t="inlineStr">
        <is>
          <t>红半</t>
        </is>
      </c>
      <c r="R74" s="48" t="n">
        <v>1.03</v>
      </c>
      <c r="S74" s="48" t="n">
        <v>0.515</v>
      </c>
      <c r="T74" s="14" t="inlineStr">
        <is>
          <t>D:\codex\v3_legacy\outputs\football_odds_trader\raw\titan007\20261004\20261004_084919_titan007_odds_snapshot.csv</t>
        </is>
      </c>
      <c r="U74" s="14">
        <f>IF(Q74="","",IF(Q74="待结算","待结算",IF(Q74="红","黑",IF(Q74="半红","半黑",IF(Q74="走","走",IF(Q74="半黑","半红","红"))))))</f>
        <v/>
      </c>
      <c r="V74" s="48">
        <f>IF(OR(U74="",U74="待结算"),"",IF(L74=LEFT(F74,FIND(" vs ",F74)-1),I74,G74))</f>
        <v/>
      </c>
      <c r="W74" s="48">
        <f>IF(OR(U74="",U74="待结算"),"",IF(U74="红",V74,IF(U74="半红",V74*0.5,IF(U74="走",0,IF(U74="半黑",-0.5,-1)))))</f>
        <v/>
      </c>
      <c r="X74" s="14" t="inlineStr">
        <is>
          <t>2940210</t>
        </is>
      </c>
      <c r="Y74" s="14" t="inlineStr">
        <is>
          <t>V4</t>
        </is>
      </c>
      <c r="Z74" s="14" t="inlineStr">
        <is>
          <t>prior-2026-10-02-v1</t>
        </is>
      </c>
      <c r="AA74" s="14" t="inlineStr">
        <is>
          <t>B</t>
        </is>
      </c>
      <c r="AB74" s="14" t="n">
        <v>0.3606630796651047</v>
      </c>
      <c r="AC74" s="14" t="n">
        <v>0.2565167073729194</v>
      </c>
      <c r="AD74" s="14" t="n">
        <v>0</v>
      </c>
      <c r="AE74" s="14" t="n">
        <v>0</v>
      </c>
      <c r="AF74" s="14" t="n">
        <v>0.3828202129619759</v>
      </c>
      <c r="AG74" s="14" t="n">
        <v>0.1207688633901354</v>
      </c>
      <c r="AH74" s="14" t="n"/>
      <c r="AI74" s="14" t="n"/>
      <c r="AJ74" s="14" t="n">
        <v>0.1207688633901354</v>
      </c>
      <c r="AK74" s="14" t="n"/>
      <c r="AL74" s="14" t="n"/>
      <c r="AM74" s="14" t="n"/>
      <c r="AN74" s="14" t="inlineStr">
        <is>
          <t>EVALUATED</t>
        </is>
      </c>
      <c r="AO74" s="14" t="inlineStr">
        <is>
          <t>GIVING_VALIDATED_EDGE;BUCKET_PRIOR_ONLY;INTENT_INTERPRETATION_ONLY;EXPERT_MARKET</t>
        </is>
      </c>
      <c r="AP74" s="14" t="inlineStr">
        <is>
          <t>ecd123762bbba2303888</t>
        </is>
      </c>
      <c r="AQ74" s="14" t="n">
        <v>-0.75</v>
      </c>
      <c r="AR74" s="14" t="n">
        <v>1.03</v>
      </c>
      <c r="AS74" s="14" t="n">
        <v>-0.75</v>
      </c>
      <c r="AT74" s="14" t="n">
        <v>0.75</v>
      </c>
      <c r="AU74" s="14" t="n">
        <v>1.03</v>
      </c>
      <c r="AV74" s="14" t="n">
        <v>0.85</v>
      </c>
      <c r="AW74" s="14" t="inlineStr">
        <is>
          <t>2026-10-02T08:17:52.952859+08:00</t>
        </is>
      </c>
      <c r="AX74" s="14" t="inlineStr">
        <is>
          <t>Titan007 Next</t>
        </is>
      </c>
      <c r="AY74" s="14" t="inlineStr">
        <is>
          <t>V4 Shadow Only；real_money=false；新增冻结记录</t>
        </is>
      </c>
    </row>
    <row r="75" ht="22" customHeight="1" s="39">
      <c r="A75" s="14" t="inlineStr">
        <is>
          <t>2026-10-02</t>
        </is>
      </c>
      <c r="B75" s="14" t="inlineStr">
        <is>
          <t>2026-10-03 08:45:00</t>
        </is>
      </c>
      <c r="C75" s="14" t="inlineStr">
        <is>
          <t>CLUB_LEAGUE</t>
        </is>
      </c>
      <c r="D75" s="14" t="inlineStr">
        <is>
          <t>联赛</t>
        </is>
      </c>
      <c r="E75" s="14" t="inlineStr">
        <is>
          <t>哥伦甲秋</t>
        </is>
      </c>
      <c r="F75" s="14" t="inlineStr">
        <is>
          <t>卡利体育会 vs 阿利安萨</t>
        </is>
      </c>
      <c r="G75" s="26" t="n">
        <v>1</v>
      </c>
      <c r="H75" s="26" t="n">
        <v>-1</v>
      </c>
      <c r="I75" s="26" t="n">
        <v>0.88</v>
      </c>
      <c r="J75" s="26" t="inlineStr">
        <is>
          <t>1.0/-1.0/0.88</t>
        </is>
      </c>
      <c r="K75" s="14" t="inlineStr">
        <is>
          <t>V4-B｜EV 0.20881017909546878</t>
        </is>
      </c>
      <c r="L75" s="14" t="inlineStr">
        <is>
          <t>卡利体育会</t>
        </is>
      </c>
      <c r="M75" s="47" t="n">
        <v>0.47742074466633</v>
      </c>
      <c r="N75" s="14" t="inlineStr">
        <is>
          <t>V4纸面入选-B</t>
        </is>
      </c>
      <c r="O75" s="14" t="inlineStr">
        <is>
          <t>3-1</t>
        </is>
      </c>
      <c r="P75" s="14" t="inlineStr">
        <is>
          <t>已结算</t>
        </is>
      </c>
      <c r="Q75" s="14" t="inlineStr">
        <is>
          <t>红半</t>
        </is>
      </c>
      <c r="R75" s="48" t="n">
        <v>1</v>
      </c>
      <c r="S75" s="48" t="n">
        <v>0.5</v>
      </c>
      <c r="T75" s="14" t="inlineStr">
        <is>
          <t>D:\codex\v3_legacy\outputs\football_odds_trader\raw\titan007\20261004\20261004_084919_titan007_odds_snapshot.csv</t>
        </is>
      </c>
      <c r="U75" s="14">
        <f>IF(Q75="","",IF(Q75="待结算","待结算",IF(Q75="红","黑",IF(Q75="半红","半黑",IF(Q75="走","走",IF(Q75="半黑","半红","红"))))))</f>
        <v/>
      </c>
      <c r="V75" s="48">
        <f>IF(OR(U75="",U75="待结算"),"",IF(L75=LEFT(F75,FIND(" vs ",F75)-1),I75,G75))</f>
        <v/>
      </c>
      <c r="W75" s="48">
        <f>IF(OR(U75="",U75="待结算"),"",IF(U75="红",V75,IF(U75="半红",V75*0.5,IF(U75="走",0,IF(U75="半黑",-0.5,-1)))))</f>
        <v/>
      </c>
      <c r="X75" s="14" t="inlineStr">
        <is>
          <t>3011880</t>
        </is>
      </c>
      <c r="Y75" s="14" t="inlineStr">
        <is>
          <t>V4</t>
        </is>
      </c>
      <c r="Z75" s="14" t="inlineStr">
        <is>
          <t>prior-2026-10-02-v1</t>
        </is>
      </c>
      <c r="AA75" s="14" t="inlineStr">
        <is>
          <t>B</t>
        </is>
      </c>
      <c r="AB75" s="14" t="n">
        <v>0.47742074466633</v>
      </c>
      <c r="AC75" s="14" t="n">
        <v>0</v>
      </c>
      <c r="AD75" s="14" t="n">
        <v>0.2539686897628087</v>
      </c>
      <c r="AE75" s="14" t="n">
        <v>0</v>
      </c>
      <c r="AF75" s="14" t="n">
        <v>0.2686105655708612</v>
      </c>
      <c r="AG75" s="14" t="n">
        <v>0.2088101790954688</v>
      </c>
      <c r="AH75" s="14" t="n"/>
      <c r="AI75" s="14" t="n"/>
      <c r="AJ75" s="14" t="n">
        <v>0.2088101790954688</v>
      </c>
      <c r="AK75" s="14" t="n"/>
      <c r="AL75" s="14" t="n"/>
      <c r="AM75" s="14" t="n"/>
      <c r="AN75" s="14" t="inlineStr">
        <is>
          <t>EVALUATED</t>
        </is>
      </c>
      <c r="AO75" s="14" t="inlineStr">
        <is>
          <t>GIVING_VALIDATED_EDGE;BUCKET_PRIOR_ONLY;INTENT_INTERPRETATION_ONLY;EXPERT_MARKET</t>
        </is>
      </c>
      <c r="AP75" s="14" t="inlineStr">
        <is>
          <t>b44edba58939493f40a3</t>
        </is>
      </c>
      <c r="AQ75" s="14" t="n">
        <v>-1</v>
      </c>
      <c r="AR75" s="14" t="n">
        <v>1</v>
      </c>
      <c r="AS75" s="14" t="n">
        <v>-1</v>
      </c>
      <c r="AT75" s="14" t="n">
        <v>1</v>
      </c>
      <c r="AU75" s="14" t="n">
        <v>1</v>
      </c>
      <c r="AV75" s="14" t="n">
        <v>0.88</v>
      </c>
      <c r="AW75" s="14" t="inlineStr">
        <is>
          <t>2026-10-02T08:17:52.952859+08:00</t>
        </is>
      </c>
      <c r="AX75" s="14" t="inlineStr">
        <is>
          <t>Titan007 Next</t>
        </is>
      </c>
      <c r="AY75" s="14" t="inlineStr">
        <is>
          <t>V4 Shadow Only；real_money=false；新增冻结记录</t>
        </is>
      </c>
    </row>
    <row r="76" ht="22" customHeight="1" s="39">
      <c r="A76" s="14" t="inlineStr">
        <is>
          <t>2026-10-03</t>
        </is>
      </c>
      <c r="B76" s="14" t="inlineStr">
        <is>
          <t>2026-10-03 11:00:00</t>
        </is>
      </c>
      <c r="C76" s="14" t="inlineStr">
        <is>
          <t>CLUB_LEAGUE</t>
        </is>
      </c>
      <c r="D76" s="14" t="inlineStr">
        <is>
          <t>联赛</t>
        </is>
      </c>
      <c r="E76" s="14" t="inlineStr">
        <is>
          <t>墨西甲春</t>
        </is>
      </c>
      <c r="F76" s="14" t="inlineStr">
        <is>
          <t>拉巴斯竞技 vs FC美利达</t>
        </is>
      </c>
      <c r="G76" s="26" t="n">
        <v>0.95</v>
      </c>
      <c r="H76" s="26" t="n">
        <v>-1</v>
      </c>
      <c r="I76" s="26" t="n">
        <v>0.93</v>
      </c>
      <c r="J76" s="26" t="inlineStr">
        <is>
          <t>0.95/-1.0/0.93</t>
        </is>
      </c>
      <c r="K76" s="14" t="inlineStr">
        <is>
          <t>V4-C｜EV 0.053332760790321954</t>
        </is>
      </c>
      <c r="L76" s="14" t="inlineStr">
        <is>
          <t>拉巴斯竞技</t>
        </is>
      </c>
      <c r="M76" s="47" t="n">
        <v>0.4092125019073322</v>
      </c>
      <c r="N76" s="14" t="inlineStr">
        <is>
          <t>V4纸面入选-C</t>
        </is>
      </c>
      <c r="O76" s="14" t="inlineStr">
        <is>
          <t>1-2</t>
        </is>
      </c>
      <c r="P76" s="14" t="inlineStr">
        <is>
          <t>已结算</t>
        </is>
      </c>
      <c r="Q76" s="14" t="inlineStr">
        <is>
          <t>黑</t>
        </is>
      </c>
      <c r="R76" s="48" t="n">
        <v>0.95</v>
      </c>
      <c r="S76" s="48">
        <f>IF(OR(Q76="",Q76="待结算"),"",IF(Q76="红",R76,IF(Q76="半红",R76*0.5,IF(Q76="走",0,IF(Q76="半黑",-0.5,-1)))))</f>
        <v/>
      </c>
      <c r="T76" s="14" t="inlineStr">
        <is>
          <t>D:\codex\v3_legacy\outputs\football_odds_trader\raw\titan007\20261004\20261004_084919_titan007_odds_snapshot.csv</t>
        </is>
      </c>
      <c r="U76" s="14">
        <f>IF(Q76="","",IF(Q76="待结算","待结算",IF(Q76="红","黑",IF(Q76="半红","半黑",IF(Q76="走","走",IF(Q76="半黑","半红","红"))))))</f>
        <v/>
      </c>
      <c r="V76" s="48">
        <f>IF(OR(U76="",U76="待结算"),"",IF(L76=LEFT(F76,FIND(" vs ",F76)-1),I76,G76))</f>
        <v/>
      </c>
      <c r="W76" s="48">
        <f>IF(OR(U76="",U76="待结算"),"",IF(U76="红",V76,IF(U76="半红",V76*0.5,IF(U76="走",0,IF(U76="半黑",-0.5,-1)))))</f>
        <v/>
      </c>
      <c r="X76" s="14" t="inlineStr">
        <is>
          <t>3024473</t>
        </is>
      </c>
      <c r="Y76" s="14" t="inlineStr">
        <is>
          <t>V4</t>
        </is>
      </c>
      <c r="Z76" s="14" t="inlineStr">
        <is>
          <t>prior-2026-10-03-v1</t>
        </is>
      </c>
      <c r="AA76" s="14" t="inlineStr">
        <is>
          <t>C</t>
        </is>
      </c>
      <c r="AB76" s="14" t="n">
        <v>0.4092125019073322</v>
      </c>
      <c r="AC76" s="14" t="n">
        <v>0</v>
      </c>
      <c r="AD76" s="14" t="n">
        <v>0.2553683820710241</v>
      </c>
      <c r="AE76" s="14" t="n">
        <v>0</v>
      </c>
      <c r="AF76" s="14" t="n">
        <v>0.3354191160216436</v>
      </c>
      <c r="AG76" s="14" t="n">
        <v>0.05333276079032195</v>
      </c>
      <c r="AH76" s="14" t="n"/>
      <c r="AI76" s="14" t="n"/>
      <c r="AJ76" s="14" t="n">
        <v>0.05333276079032195</v>
      </c>
      <c r="AK76" s="14" t="n"/>
      <c r="AL76" s="14" t="n"/>
      <c r="AM76" s="14" t="n"/>
      <c r="AN76" s="14" t="inlineStr">
        <is>
          <t>EVALUATED</t>
        </is>
      </c>
      <c r="AO76" s="14" t="inlineStr">
        <is>
          <t>GIVING_VALIDATED_EDGE;BUCKET_PRIOR_ONLY;INTENT_INTERPRETATION_ONLY;EXPERT_MARKET</t>
        </is>
      </c>
      <c r="AP76" s="14" t="inlineStr">
        <is>
          <t>747b1d9a75cd54fad87b</t>
        </is>
      </c>
      <c r="AQ76" s="14" t="n">
        <v>-1</v>
      </c>
      <c r="AR76" s="14" t="n">
        <v>0.95</v>
      </c>
      <c r="AS76" s="14" t="n">
        <v>-1</v>
      </c>
      <c r="AT76" s="14" t="n">
        <v>1</v>
      </c>
      <c r="AU76" s="14" t="n">
        <v>0.95</v>
      </c>
      <c r="AV76" s="14" t="n">
        <v>0.93</v>
      </c>
      <c r="AW76" s="14" t="inlineStr">
        <is>
          <t>2026-10-03T09:27:07.620845+08:00</t>
        </is>
      </c>
      <c r="AX76" s="14" t="inlineStr">
        <is>
          <t>Titan007 snapshot</t>
        </is>
      </c>
      <c r="AY76" s="14" t="inlineStr">
        <is>
          <t>V4 Shadow Only；real_money=false；新增冻结记录</t>
        </is>
      </c>
    </row>
    <row r="77" ht="22" customHeight="1" s="39">
      <c r="A77" s="14" t="inlineStr">
        <is>
          <t>2026-10-03</t>
        </is>
      </c>
      <c r="B77" s="14" t="inlineStr">
        <is>
          <t>2026-10-03 12:00:00</t>
        </is>
      </c>
      <c r="C77" s="14" t="inlineStr">
        <is>
          <t>CLUB_LEAGUE</t>
        </is>
      </c>
      <c r="D77" s="14" t="inlineStr">
        <is>
          <t>联赛</t>
        </is>
      </c>
      <c r="E77" s="14" t="inlineStr">
        <is>
          <t>日职女甲</t>
        </is>
      </c>
      <c r="F77" s="14" t="inlineStr">
        <is>
          <t>NGU名古屋女足 vs 日本体育大学女足</t>
        </is>
      </c>
      <c r="G77" s="26" t="n">
        <v>0.88</v>
      </c>
      <c r="H77" s="26" t="n">
        <v>-1.5</v>
      </c>
      <c r="I77" s="26" t="n">
        <v>0.88</v>
      </c>
      <c r="J77" s="26" t="inlineStr">
        <is>
          <t>0.88/-1.5/0.88</t>
        </is>
      </c>
      <c r="K77" s="14" t="inlineStr">
        <is>
          <t>V4-A｜EV 0.3184721335412061</t>
        </is>
      </c>
      <c r="L77" s="14" t="inlineStr">
        <is>
          <t>NGU名古屋女足</t>
        </is>
      </c>
      <c r="M77" s="47" t="n">
        <v>0.7013149646495778</v>
      </c>
      <c r="N77" s="14" t="inlineStr">
        <is>
          <t>V4纸面入选-A</t>
        </is>
      </c>
      <c r="O77" s="14" t="inlineStr">
        <is>
          <t>3-1</t>
        </is>
      </c>
      <c r="P77" s="14" t="inlineStr">
        <is>
          <t>已结算</t>
        </is>
      </c>
      <c r="Q77" s="14" t="inlineStr">
        <is>
          <t>红</t>
        </is>
      </c>
      <c r="R77" s="48" t="n">
        <v>0.88</v>
      </c>
      <c r="S77" s="48">
        <f>IF(OR(Q77="",Q77="待结算"),"",IF(Q77="红",R77,IF(Q77="半红",R77*0.5,IF(Q77="走",0,IF(Q77="半黑",-0.5,-1)))))</f>
        <v/>
      </c>
      <c r="T77" s="14" t="inlineStr">
        <is>
          <t>D:\codex\v3_legacy\outputs\football_odds_trader\raw\titan007\20261004\20261004_084919_titan007_odds_snapshot.csv</t>
        </is>
      </c>
      <c r="U77" s="14">
        <f>IF(Q77="","",IF(Q77="待结算","待结算",IF(Q77="红","黑",IF(Q77="半红","半黑",IF(Q77="走","走",IF(Q77="半黑","半红","红"))))))</f>
        <v/>
      </c>
      <c r="V77" s="48">
        <f>IF(OR(U77="",U77="待结算"),"",IF(L77=LEFT(F77,FIND(" vs ",F77)-1),I77,G77))</f>
        <v/>
      </c>
      <c r="W77" s="48">
        <f>IF(OR(U77="",U77="待结算"),"",IF(U77="红",V77,IF(U77="半红",V77*0.5,IF(U77="走",0,IF(U77="半黑",-0.5,-1)))))</f>
        <v/>
      </c>
      <c r="X77" s="14" t="inlineStr">
        <is>
          <t>2956838</t>
        </is>
      </c>
      <c r="Y77" s="14" t="inlineStr">
        <is>
          <t>V4</t>
        </is>
      </c>
      <c r="Z77" s="14" t="inlineStr">
        <is>
          <t>prior-2026-10-03-v1</t>
        </is>
      </c>
      <c r="AA77" s="14" t="inlineStr">
        <is>
          <t>A</t>
        </is>
      </c>
      <c r="AB77" s="14" t="n">
        <v>0.7013149646495778</v>
      </c>
      <c r="AC77" s="14" t="n">
        <v>0</v>
      </c>
      <c r="AD77" s="14" t="n">
        <v>0</v>
      </c>
      <c r="AE77" s="14" t="n">
        <v>0</v>
      </c>
      <c r="AF77" s="14" t="n">
        <v>0.2986850353504223</v>
      </c>
      <c r="AG77" s="14" t="n">
        <v>0.3184721335412061</v>
      </c>
      <c r="AH77" s="14" t="n"/>
      <c r="AI77" s="14" t="n"/>
      <c r="AJ77" s="14" t="n">
        <v>0.3184721335412061</v>
      </c>
      <c r="AK77" s="14" t="n"/>
      <c r="AL77" s="14" t="n"/>
      <c r="AM77" s="14" t="n"/>
      <c r="AN77" s="14" t="inlineStr">
        <is>
          <t>EVALUATED</t>
        </is>
      </c>
      <c r="AO77" s="14" t="inlineStr">
        <is>
          <t>GIVING_VALIDATED_EDGE;BUCKET_PRIOR_ONLY;INTENT_INTERPRETATION_ONLY;EXPERT_MARKET</t>
        </is>
      </c>
      <c r="AP77" s="14" t="inlineStr">
        <is>
          <t>1230024d4cf76a282e65</t>
        </is>
      </c>
      <c r="AQ77" s="14" t="n">
        <v>-1.5</v>
      </c>
      <c r="AR77" s="14" t="n">
        <v>0.88</v>
      </c>
      <c r="AS77" s="14" t="n">
        <v>-1.5</v>
      </c>
      <c r="AT77" s="14" t="n">
        <v>1.5</v>
      </c>
      <c r="AU77" s="14" t="n">
        <v>0.88</v>
      </c>
      <c r="AV77" s="14" t="n">
        <v>0.88</v>
      </c>
      <c r="AW77" s="14" t="inlineStr">
        <is>
          <t>2026-10-03T09:27:07.620845+08:00</t>
        </is>
      </c>
      <c r="AX77" s="14" t="inlineStr">
        <is>
          <t>Titan007 snapshot</t>
        </is>
      </c>
      <c r="AY77" s="14" t="inlineStr">
        <is>
          <t>V4 Shadow Only；real_money=false；新增冻结记录</t>
        </is>
      </c>
    </row>
    <row r="78" ht="22" customHeight="1" s="39">
      <c r="A78" s="14" t="inlineStr">
        <is>
          <t>2026-10-03</t>
        </is>
      </c>
      <c r="B78" s="14" t="inlineStr">
        <is>
          <t>2026-10-03 13:00:00</t>
        </is>
      </c>
      <c r="C78" s="14" t="inlineStr">
        <is>
          <t>CLUB_CUP</t>
        </is>
      </c>
      <c r="D78" s="14" t="inlineStr">
        <is>
          <t>杯赛</t>
        </is>
      </c>
      <c r="E78" s="14" t="inlineStr">
        <is>
          <t>女日联杯</t>
        </is>
      </c>
      <c r="F78" s="14" t="inlineStr">
        <is>
          <t>广岛三箭女足 vs AC长野女足</t>
        </is>
      </c>
      <c r="G78" s="26" t="n">
        <v>0.9</v>
      </c>
      <c r="H78" s="26" t="n">
        <v>-1.25</v>
      </c>
      <c r="I78" s="26" t="n">
        <v>0.8</v>
      </c>
      <c r="J78" s="26" t="inlineStr">
        <is>
          <t>0.9/-1.25/0.8</t>
        </is>
      </c>
      <c r="K78" s="14" t="inlineStr">
        <is>
          <t>V4-B｜EV 0.1431348830263289</t>
        </is>
      </c>
      <c r="L78" s="14" t="inlineStr">
        <is>
          <t>广岛三箭女足</t>
        </is>
      </c>
      <c r="M78" s="47" t="n">
        <v>0.5374210017230753</v>
      </c>
      <c r="N78" s="14" t="inlineStr">
        <is>
          <t>V4纸面入选-B</t>
        </is>
      </c>
      <c r="O78" s="14" t="inlineStr">
        <is>
          <t>3-0</t>
        </is>
      </c>
      <c r="P78" s="14" t="inlineStr">
        <is>
          <t>已结算</t>
        </is>
      </c>
      <c r="Q78" s="14" t="inlineStr">
        <is>
          <t>红</t>
        </is>
      </c>
      <c r="R78" s="48" t="n">
        <v>0.9</v>
      </c>
      <c r="S78" s="48">
        <f>IF(OR(Q78="",Q78="待结算"),"",IF(Q78="红",R78,IF(Q78="半红",R78*0.5,IF(Q78="走",0,IF(Q78="半黑",-0.5,-1)))))</f>
        <v/>
      </c>
      <c r="T78" s="14" t="inlineStr">
        <is>
          <t>D:\codex\v3_legacy\outputs\football_odds_trader\raw\titan007\20261004\20261004_084919_titan007_odds_snapshot.csv</t>
        </is>
      </c>
      <c r="U78" s="14">
        <f>IF(Q78="","",IF(Q78="待结算","待结算",IF(Q78="红","黑",IF(Q78="半红","半黑",IF(Q78="走","走",IF(Q78="半黑","半红","红"))))))</f>
        <v/>
      </c>
      <c r="V78" s="48">
        <f>IF(OR(U78="",U78="待结算"),"",IF(L78=LEFT(F78,FIND(" vs ",F78)-1),I78,G78))</f>
        <v/>
      </c>
      <c r="W78" s="48">
        <f>IF(OR(U78="",U78="待结算"),"",IF(U78="红",V78,IF(U78="半红",V78*0.5,IF(U78="走",0,IF(U78="半黑",-0.5,-1)))))</f>
        <v/>
      </c>
      <c r="X78" s="14" t="inlineStr">
        <is>
          <t>3086982</t>
        </is>
      </c>
      <c r="Y78" s="14" t="inlineStr">
        <is>
          <t>V4</t>
        </is>
      </c>
      <c r="Z78" s="14" t="inlineStr">
        <is>
          <t>prior-2026-10-03-v1</t>
        </is>
      </c>
      <c r="AA78" s="14" t="inlineStr">
        <is>
          <t>B</t>
        </is>
      </c>
      <c r="AB78" s="14" t="n">
        <v>0.5374210017230753</v>
      </c>
      <c r="AC78" s="14" t="n">
        <v>0</v>
      </c>
      <c r="AD78" s="14" t="n">
        <v>0</v>
      </c>
      <c r="AE78" s="14" t="n">
        <v>0.2440699595049719</v>
      </c>
      <c r="AF78" s="14" t="n">
        <v>0.2185090387719529</v>
      </c>
      <c r="AG78" s="14" t="n">
        <v>0.1431348830263289</v>
      </c>
      <c r="AH78" s="14" t="n"/>
      <c r="AI78" s="14" t="n"/>
      <c r="AJ78" s="14" t="n">
        <v>0.1431348830263289</v>
      </c>
      <c r="AK78" s="14" t="n"/>
      <c r="AL78" s="14" t="n"/>
      <c r="AM78" s="14" t="n"/>
      <c r="AN78" s="14" t="inlineStr">
        <is>
          <t>EVALUATED</t>
        </is>
      </c>
      <c r="AO78" s="14" t="inlineStr">
        <is>
          <t>GIVING_VALIDATED_EDGE;BUCKET_PRIOR_ONLY;INTENT_INTERPRETATION_ONLY;EXPERT_MARKET</t>
        </is>
      </c>
      <c r="AP78" s="14" t="inlineStr">
        <is>
          <t>30aa808ac306d28a30ea</t>
        </is>
      </c>
      <c r="AQ78" s="14" t="n">
        <v>-1.25</v>
      </c>
      <c r="AR78" s="14" t="n">
        <v>0.9</v>
      </c>
      <c r="AS78" s="14" t="n">
        <v>-1.25</v>
      </c>
      <c r="AT78" s="14" t="n">
        <v>1.25</v>
      </c>
      <c r="AU78" s="14" t="n">
        <v>0.9</v>
      </c>
      <c r="AV78" s="14" t="n">
        <v>0.8</v>
      </c>
      <c r="AW78" s="14" t="inlineStr">
        <is>
          <t>2026-10-03T09:27:07.620845+08:00</t>
        </is>
      </c>
      <c r="AX78" s="14" t="inlineStr">
        <is>
          <t>Titan007 snapshot</t>
        </is>
      </c>
      <c r="AY78" s="14" t="inlineStr">
        <is>
          <t>V4 Shadow Only；real_money=false；新增冻结记录</t>
        </is>
      </c>
    </row>
    <row r="79" ht="22" customHeight="1" s="39">
      <c r="A79" s="14" t="inlineStr">
        <is>
          <t>2026-10-03</t>
        </is>
      </c>
      <c r="B79" s="14" t="inlineStr">
        <is>
          <t>2026-10-03 14:00:00</t>
        </is>
      </c>
      <c r="C79" s="14" t="inlineStr">
        <is>
          <t>CLUB_LEAGUE</t>
        </is>
      </c>
      <c r="D79" s="14" t="inlineStr">
        <is>
          <t>联赛</t>
        </is>
      </c>
      <c r="E79" s="14" t="inlineStr">
        <is>
          <t>日职丙</t>
        </is>
      </c>
      <c r="F79" s="14" t="inlineStr">
        <is>
          <t>FC爱媛 vs 群马草津温泉</t>
        </is>
      </c>
      <c r="G79" s="26" t="n">
        <v>0.83</v>
      </c>
      <c r="H79" s="26" t="n">
        <v>-0.75</v>
      </c>
      <c r="I79" s="26" t="n">
        <v>0.93</v>
      </c>
      <c r="J79" s="26" t="inlineStr">
        <is>
          <t>0.83/-0.75/0.93</t>
        </is>
      </c>
      <c r="K79" s="14" t="inlineStr">
        <is>
          <t>V4-A｜EV 0.14875443024918938</t>
        </is>
      </c>
      <c r="L79" s="14" t="inlineStr">
        <is>
          <t>FC爱媛</t>
        </is>
      </c>
      <c r="M79" s="47" t="n">
        <v>0.5579204199829391</v>
      </c>
      <c r="N79" s="14" t="inlineStr">
        <is>
          <t>V4纸面入选-A</t>
        </is>
      </c>
      <c r="O79" s="14" t="inlineStr">
        <is>
          <t>3-1</t>
        </is>
      </c>
      <c r="P79" s="14" t="inlineStr">
        <is>
          <t>已结算</t>
        </is>
      </c>
      <c r="Q79" s="14" t="inlineStr">
        <is>
          <t>红</t>
        </is>
      </c>
      <c r="R79" s="48" t="n">
        <v>0.83</v>
      </c>
      <c r="S79" s="48">
        <f>IF(OR(Q79="",Q79="待结算"),"",IF(Q79="红",R79,IF(Q79="半红",R79*0.5,IF(Q79="走",0,IF(Q79="半黑",-0.5,-1)))))</f>
        <v/>
      </c>
      <c r="T79" s="14" t="inlineStr">
        <is>
          <t>D:\codex\v3_legacy\outputs\football_odds_trader\raw\titan007\20261004\20261004_084919_titan007_odds_snapshot.csv</t>
        </is>
      </c>
      <c r="U79" s="14">
        <f>IF(Q79="","",IF(Q79="待结算","待结算",IF(Q79="红","黑",IF(Q79="半红","半黑",IF(Q79="走","走",IF(Q79="半黑","半红","红"))))))</f>
        <v/>
      </c>
      <c r="V79" s="48">
        <f>IF(OR(U79="",U79="待结算"),"",IF(L79=LEFT(F79,FIND(" vs ",F79)-1),I79,G79))</f>
        <v/>
      </c>
      <c r="W79" s="48">
        <f>IF(OR(U79="",U79="待结算"),"",IF(U79="红",V79,IF(U79="半红",V79*0.5,IF(U79="走",0,IF(U79="半黑",-0.5,-1)))))</f>
        <v/>
      </c>
      <c r="X79" s="14" t="inlineStr">
        <is>
          <t>3001201</t>
        </is>
      </c>
      <c r="Y79" s="14" t="inlineStr">
        <is>
          <t>V4</t>
        </is>
      </c>
      <c r="Z79" s="14" t="inlineStr">
        <is>
          <t>prior-2026-10-03-v1</t>
        </is>
      </c>
      <c r="AA79" s="14" t="inlineStr">
        <is>
          <t>A</t>
        </is>
      </c>
      <c r="AB79" s="14" t="n">
        <v>0.430160358302528</v>
      </c>
      <c r="AC79" s="14" t="n">
        <v>0.255520123360822</v>
      </c>
      <c r="AD79" s="14" t="n">
        <v>0</v>
      </c>
      <c r="AE79" s="14" t="n">
        <v>0</v>
      </c>
      <c r="AF79" s="14" t="n">
        <v>0.31431951833665</v>
      </c>
      <c r="AG79" s="14" t="n">
        <v>0.1487544302491894</v>
      </c>
      <c r="AH79" s="14" t="n"/>
      <c r="AI79" s="14" t="n"/>
      <c r="AJ79" s="14" t="n">
        <v>0.1487544302491894</v>
      </c>
      <c r="AK79" s="14" t="n"/>
      <c r="AL79" s="14" t="n"/>
      <c r="AM79" s="14" t="n"/>
      <c r="AN79" s="14" t="inlineStr">
        <is>
          <t>EVALUATED</t>
        </is>
      </c>
      <c r="AO79" s="14" t="inlineStr">
        <is>
          <t>GIVING_VALIDATED_EDGE;BUCKET_PRIOR_ONLY;INTENT_INTERPRETATION_ONLY;EXPERT_MARKET</t>
        </is>
      </c>
      <c r="AP79" s="14" t="inlineStr">
        <is>
          <t>a877bf7089a0f9b11f12</t>
        </is>
      </c>
      <c r="AQ79" s="14" t="n">
        <v>-0.75</v>
      </c>
      <c r="AR79" s="14" t="n">
        <v>0.83</v>
      </c>
      <c r="AS79" s="14" t="n">
        <v>-0.75</v>
      </c>
      <c r="AT79" s="14" t="n">
        <v>0.75</v>
      </c>
      <c r="AU79" s="14" t="n">
        <v>0.83</v>
      </c>
      <c r="AV79" s="14" t="n">
        <v>0.93</v>
      </c>
      <c r="AW79" s="14" t="inlineStr">
        <is>
          <t>2026-10-03T09:27:07.620845+08:00</t>
        </is>
      </c>
      <c r="AX79" s="14" t="inlineStr">
        <is>
          <t>Titan007 Next</t>
        </is>
      </c>
      <c r="AY79" s="14" t="inlineStr">
        <is>
          <t>V4 Shadow Only；real_money=false；新增冻结记录</t>
        </is>
      </c>
    </row>
    <row r="80" ht="22" customHeight="1" s="39">
      <c r="A80" s="14" t="inlineStr">
        <is>
          <t>2026-10-03</t>
        </is>
      </c>
      <c r="B80" s="14" t="inlineStr">
        <is>
          <t>2026-10-03 14:00:00</t>
        </is>
      </c>
      <c r="C80" s="14" t="inlineStr">
        <is>
          <t>CLUB_FRIENDLY</t>
        </is>
      </c>
      <c r="D80" s="14" t="inlineStr">
        <is>
          <t>联赛</t>
        </is>
      </c>
      <c r="E80" s="14" t="inlineStr">
        <is>
          <t>球会友谊</t>
        </is>
      </c>
      <c r="F80" s="14" t="inlineStr">
        <is>
          <t>珀斯光荣(中) vs 阿德莱德联</t>
        </is>
      </c>
      <c r="G80" s="26" t="n">
        <v>0.95</v>
      </c>
      <c r="H80" s="26" t="n">
        <v>-0.25</v>
      </c>
      <c r="I80" s="26" t="n">
        <v>0.8100000000000001</v>
      </c>
      <c r="J80" s="26" t="inlineStr">
        <is>
          <t>0.95/-0.25/0.81</t>
        </is>
      </c>
      <c r="K80" s="14" t="inlineStr">
        <is>
          <t>V4-C｜EV 0.09262016965205766</t>
        </is>
      </c>
      <c r="L80" s="14" t="inlineStr">
        <is>
          <t>珀斯光荣(中)</t>
        </is>
      </c>
      <c r="M80" s="47" t="n">
        <v>0.4957952364680279</v>
      </c>
      <c r="N80" s="14" t="inlineStr">
        <is>
          <t>V4纸面入选-C</t>
        </is>
      </c>
      <c r="O80" s="14" t="inlineStr">
        <is>
          <t>1-3</t>
        </is>
      </c>
      <c r="P80" s="14" t="inlineStr">
        <is>
          <t>已结算</t>
        </is>
      </c>
      <c r="Q80" s="14" t="inlineStr">
        <is>
          <t>黑</t>
        </is>
      </c>
      <c r="R80" s="48" t="n">
        <v>0.95</v>
      </c>
      <c r="S80" s="48">
        <f>IF(OR(Q80="",Q80="待结算"),"",IF(Q80="红",R80,IF(Q80="半红",R80*0.5,IF(Q80="走",0,IF(Q80="半黑",-0.5,-1)))))</f>
        <v/>
      </c>
      <c r="T80" s="14" t="inlineStr">
        <is>
          <t>D:\codex\v3_legacy\outputs\football_odds_trader\raw\titan007\20261004\20261004_084919_titan007_odds_snapshot.csv</t>
        </is>
      </c>
      <c r="U80" s="14">
        <f>IF(Q80="","",IF(Q80="待结算","待结算",IF(Q80="红","黑",IF(Q80="半红","半黑",IF(Q80="走","走",IF(Q80="半黑","半红","红"))))))</f>
        <v/>
      </c>
      <c r="V80" s="48">
        <f>IF(OR(U80="",U80="待结算"),"",IF(L80=LEFT(F80,FIND(" vs ",F80)-1),I80,G80))</f>
        <v/>
      </c>
      <c r="W80" s="48">
        <f>IF(OR(U80="",U80="待结算"),"",IF(U80="红",V80,IF(U80="半红",V80*0.5,IF(U80="走",0,IF(U80="半黑",-0.5,-1)))))</f>
        <v/>
      </c>
      <c r="X80" s="14" t="inlineStr">
        <is>
          <t>3096093</t>
        </is>
      </c>
      <c r="Y80" s="14" t="inlineStr">
        <is>
          <t>V4</t>
        </is>
      </c>
      <c r="Z80" s="14" t="inlineStr">
        <is>
          <t>prior-2026-10-03-v1</t>
        </is>
      </c>
      <c r="AA80" s="14" t="inlineStr">
        <is>
          <t>C</t>
        </is>
      </c>
      <c r="AB80" s="14" t="n">
        <v>0.4957952364680279</v>
      </c>
      <c r="AC80" s="14" t="n">
        <v>0</v>
      </c>
      <c r="AD80" s="14" t="n">
        <v>0</v>
      </c>
      <c r="AE80" s="14" t="n">
        <v>0.2516389170788064</v>
      </c>
      <c r="AF80" s="14" t="n">
        <v>0.2525658464531656</v>
      </c>
      <c r="AG80" s="14" t="n">
        <v>0.09262016965205766</v>
      </c>
      <c r="AH80" s="14" t="n"/>
      <c r="AI80" s="14" t="n"/>
      <c r="AJ80" s="14" t="n">
        <v>0.09262016965205766</v>
      </c>
      <c r="AK80" s="14" t="n"/>
      <c r="AL80" s="14" t="n"/>
      <c r="AM80" s="14" t="n"/>
      <c r="AN80" s="14" t="inlineStr">
        <is>
          <t>EVALUATED</t>
        </is>
      </c>
      <c r="AO80" s="14" t="inlineStr">
        <is>
          <t>GIVING_VALIDATED_EDGE;BUCKET_PRIOR_ONLY;INTENT_INTERPRETATION_ONLY;EXPERT_MARKET</t>
        </is>
      </c>
      <c r="AP80" s="14" t="inlineStr">
        <is>
          <t>32c24053526f40197df3</t>
        </is>
      </c>
      <c r="AQ80" s="14" t="n">
        <v>-0.25</v>
      </c>
      <c r="AR80" s="14" t="n">
        <v>0.95</v>
      </c>
      <c r="AS80" s="14" t="n">
        <v>-0.25</v>
      </c>
      <c r="AT80" s="14" t="n">
        <v>0.25</v>
      </c>
      <c r="AU80" s="14" t="n">
        <v>0.95</v>
      </c>
      <c r="AV80" s="14" t="n">
        <v>0.8100000000000001</v>
      </c>
      <c r="AW80" s="14" t="inlineStr">
        <is>
          <t>2026-10-03T09:27:07.620845+08:00</t>
        </is>
      </c>
      <c r="AX80" s="14" t="inlineStr">
        <is>
          <t>Titan007 Next</t>
        </is>
      </c>
      <c r="AY80" s="14" t="inlineStr">
        <is>
          <t>V4 Shadow Only；real_money=false；新增冻结记录</t>
        </is>
      </c>
    </row>
    <row r="81" ht="22" customHeight="1" s="39">
      <c r="A81" s="14" t="inlineStr">
        <is>
          <t>2026-10-03</t>
        </is>
      </c>
      <c r="B81" s="14" t="inlineStr">
        <is>
          <t>2026-10-03 15:00:00</t>
        </is>
      </c>
      <c r="C81" s="14" t="inlineStr">
        <is>
          <t>CLUB_LEAGUE</t>
        </is>
      </c>
      <c r="D81" s="14" t="inlineStr">
        <is>
          <t>联赛</t>
        </is>
      </c>
      <c r="E81" s="14" t="inlineStr">
        <is>
          <t>日职乙</t>
        </is>
      </c>
      <c r="F81" s="14" t="inlineStr">
        <is>
          <t>甲府风林 vs 富山胜利</t>
        </is>
      </c>
      <c r="G81" s="26" t="n">
        <v>1.04</v>
      </c>
      <c r="H81" s="26" t="n">
        <v>-0.5</v>
      </c>
      <c r="I81" s="26" t="n">
        <v>0.84</v>
      </c>
      <c r="J81" s="26" t="inlineStr">
        <is>
          <t>1.04/-0.5/0.84</t>
        </is>
      </c>
      <c r="K81" s="14" t="inlineStr">
        <is>
          <t>V4-B｜EV 0.10451613095984325</t>
        </is>
      </c>
      <c r="L81" s="14" t="inlineStr">
        <is>
          <t>富山胜利</t>
        </is>
      </c>
      <c r="M81" s="47" t="n">
        <v>0.6002805059564366</v>
      </c>
      <c r="N81" s="14" t="inlineStr">
        <is>
          <t>V4纸面入选-B</t>
        </is>
      </c>
      <c r="O81" s="14" t="inlineStr">
        <is>
          <t>1-2</t>
        </is>
      </c>
      <c r="P81" s="14" t="inlineStr">
        <is>
          <t>已结算</t>
        </is>
      </c>
      <c r="Q81" s="14" t="inlineStr">
        <is>
          <t>红</t>
        </is>
      </c>
      <c r="R81" s="48" t="n">
        <v>0.84</v>
      </c>
      <c r="S81" s="48">
        <f>IF(OR(Q81="",Q81="待结算"),"",IF(Q81="红",R81,IF(Q81="半红",R81*0.5,IF(Q81="走",0,IF(Q81="半黑",-0.5,-1)))))</f>
        <v/>
      </c>
      <c r="T81" s="14" t="inlineStr">
        <is>
          <t>D:\codex\v3_legacy\outputs\football_odds_trader\raw\titan007\20261004\20261004_084919_titan007_odds_snapshot.csv</t>
        </is>
      </c>
      <c r="U81" s="14">
        <f>IF(Q81="","",IF(Q81="待结算","待结算",IF(Q81="红","黑",IF(Q81="半红","半黑",IF(Q81="走","走",IF(Q81="半黑","半红","红"))))))</f>
        <v/>
      </c>
      <c r="V81" s="48">
        <f>IF(OR(U81="",U81="待结算"),"",IF(L81=LEFT(F81,FIND(" vs ",F81)-1),I81,G81))</f>
        <v/>
      </c>
      <c r="W81" s="48">
        <f>IF(OR(U81="",U81="待结算"),"",IF(U81="红",V81,IF(U81="半红",V81*0.5,IF(U81="走",0,IF(U81="半黑",-0.5,-1)))))</f>
        <v/>
      </c>
      <c r="X81" s="14" t="inlineStr">
        <is>
          <t>3000097</t>
        </is>
      </c>
      <c r="Y81" s="14" t="inlineStr">
        <is>
          <t>V4</t>
        </is>
      </c>
      <c r="Z81" s="14" t="inlineStr">
        <is>
          <t>prior-2026-10-03-v1</t>
        </is>
      </c>
      <c r="AA81" s="14" t="inlineStr">
        <is>
          <t>B</t>
        </is>
      </c>
      <c r="AB81" s="14" t="n">
        <v>0.6002805059564366</v>
      </c>
      <c r="AC81" s="14" t="n">
        <v>0</v>
      </c>
      <c r="AD81" s="14" t="n">
        <v>0</v>
      </c>
      <c r="AE81" s="14" t="n">
        <v>0</v>
      </c>
      <c r="AF81" s="14" t="n">
        <v>0.3997194940435634</v>
      </c>
      <c r="AG81" s="14" t="n">
        <v>0.1045161309598432</v>
      </c>
      <c r="AH81" s="14" t="n"/>
      <c r="AI81" s="14" t="n"/>
      <c r="AJ81" s="14" t="n">
        <v>0.1045161309598432</v>
      </c>
      <c r="AK81" s="14" t="n"/>
      <c r="AL81" s="14" t="n"/>
      <c r="AM81" s="14" t="n"/>
      <c r="AN81" s="14" t="inlineStr">
        <is>
          <t>EVALUATED</t>
        </is>
      </c>
      <c r="AO81" s="14" t="inlineStr">
        <is>
          <t>GIVING_VALIDATED_EDGE;BUCKET_PRIOR_ONLY;INTENT_INTERPRETATION_ONLY;EXPERT_MARKET</t>
        </is>
      </c>
      <c r="AP81" s="14" t="inlineStr">
        <is>
          <t>a1a95ee1073cec37c3af</t>
        </is>
      </c>
      <c r="AQ81" s="14" t="n">
        <v>-0.5</v>
      </c>
      <c r="AR81" s="14" t="n">
        <v>0.84</v>
      </c>
      <c r="AS81" s="14" t="n">
        <v>-0.5</v>
      </c>
      <c r="AT81" s="14" t="n">
        <v>0.5</v>
      </c>
      <c r="AU81" s="14" t="n">
        <v>0.84</v>
      </c>
      <c r="AV81" s="14" t="n">
        <v>1.04</v>
      </c>
      <c r="AW81" s="14" t="inlineStr">
        <is>
          <t>2026-10-03T09:27:07.620845+08:00</t>
        </is>
      </c>
      <c r="AX81" s="14" t="inlineStr">
        <is>
          <t>Titan007 Next</t>
        </is>
      </c>
      <c r="AY81" s="14" t="inlineStr">
        <is>
          <t>V4 Shadow Only；real_money=false；新增冻结记录</t>
        </is>
      </c>
    </row>
    <row r="82" ht="22" customHeight="1" s="39">
      <c r="A82" s="14" t="inlineStr">
        <is>
          <t>2026-10-03</t>
        </is>
      </c>
      <c r="B82" s="14" t="inlineStr">
        <is>
          <t>2026-10-03 15:00:00</t>
        </is>
      </c>
      <c r="C82" s="14" t="inlineStr">
        <is>
          <t>CLUB_CUP</t>
        </is>
      </c>
      <c r="D82" s="14" t="inlineStr">
        <is>
          <t>杯赛</t>
        </is>
      </c>
      <c r="E82" s="14" t="inlineStr">
        <is>
          <t>日联杯</t>
        </is>
      </c>
      <c r="F82" s="14" t="inlineStr">
        <is>
          <t>町田泽维亚 vs 京都不死鸟</t>
        </is>
      </c>
      <c r="G82" s="26" t="n">
        <v>0.9399999999999999</v>
      </c>
      <c r="H82" s="26" t="n">
        <v>-0.75</v>
      </c>
      <c r="I82" s="26" t="n">
        <v>0.88</v>
      </c>
      <c r="J82" s="26" t="inlineStr">
        <is>
          <t>0.94/-0.75/0.88</t>
        </is>
      </c>
      <c r="K82" s="14" t="inlineStr">
        <is>
          <t>V4-B｜EV 0.08474158080533711</t>
        </is>
      </c>
      <c r="L82" s="14" t="inlineStr">
        <is>
          <t>町田泽维亚</t>
        </is>
      </c>
      <c r="M82" s="47" t="n">
        <v>0.4933675526708348</v>
      </c>
      <c r="N82" s="14" t="inlineStr">
        <is>
          <t>V4纸面入选-B</t>
        </is>
      </c>
      <c r="O82" s="14" t="inlineStr">
        <is>
          <t>0-0</t>
        </is>
      </c>
      <c r="P82" s="14" t="inlineStr">
        <is>
          <t>已结算</t>
        </is>
      </c>
      <c r="Q82" s="14" t="inlineStr">
        <is>
          <t>黑</t>
        </is>
      </c>
      <c r="R82" s="48" t="n">
        <v>0.9399999999999999</v>
      </c>
      <c r="S82" s="48">
        <f>IF(OR(Q82="",Q82="待结算"),"",IF(Q82="红",R82,IF(Q82="半红",R82*0.5,IF(Q82="走",0,IF(Q82="半黑",-0.5,-1)))))</f>
        <v/>
      </c>
      <c r="T82" s="14" t="inlineStr">
        <is>
          <t>D:\codex\v3_legacy\outputs\football_odds_trader\raw\titan007\20261004\20261004_084919_titan007_odds_snapshot.csv</t>
        </is>
      </c>
      <c r="U82" s="14">
        <f>IF(Q82="","",IF(Q82="待结算","待结算",IF(Q82="红","黑",IF(Q82="半红","半黑",IF(Q82="走","走",IF(Q82="半黑","半红","红"))))))</f>
        <v/>
      </c>
      <c r="V82" s="48">
        <f>IF(OR(U82="",U82="待结算"),"",IF(L82=LEFT(F82,FIND(" vs ",F82)-1),I82,G82))</f>
        <v/>
      </c>
      <c r="W82" s="48">
        <f>IF(OR(U82="",U82="待结算"),"",IF(U82="红",V82,IF(U82="半红",V82*0.5,IF(U82="走",0,IF(U82="半黑",-0.5,-1)))))</f>
        <v/>
      </c>
      <c r="X82" s="14" t="inlineStr">
        <is>
          <t>3008761</t>
        </is>
      </c>
      <c r="Y82" s="14" t="inlineStr">
        <is>
          <t>V4</t>
        </is>
      </c>
      <c r="Z82" s="14" t="inlineStr">
        <is>
          <t>prior-2026-10-03-v1</t>
        </is>
      </c>
      <c r="AA82" s="14" t="inlineStr">
        <is>
          <t>B</t>
        </is>
      </c>
      <c r="AB82" s="14" t="n">
        <v>0.3657590240469172</v>
      </c>
      <c r="AC82" s="14" t="n">
        <v>0.2552170572478353</v>
      </c>
      <c r="AD82" s="14" t="n">
        <v>0</v>
      </c>
      <c r="AE82" s="14" t="n">
        <v>0</v>
      </c>
      <c r="AF82" s="14" t="n">
        <v>0.3790239187052475</v>
      </c>
      <c r="AG82" s="14" t="n">
        <v>0.08474158080533711</v>
      </c>
      <c r="AH82" s="14" t="n"/>
      <c r="AI82" s="14" t="n"/>
      <c r="AJ82" s="14" t="n">
        <v>0.08474158080533711</v>
      </c>
      <c r="AK82" s="14" t="n"/>
      <c r="AL82" s="14" t="n"/>
      <c r="AM82" s="14" t="n"/>
      <c r="AN82" s="14" t="inlineStr">
        <is>
          <t>EVALUATED</t>
        </is>
      </c>
      <c r="AO82" s="14" t="inlineStr">
        <is>
          <t>GIVING_VALIDATED_EDGE;BUCKET_PRIOR_ONLY;INTENT_INTERPRETATION_ONLY;EXPERT_MARKET</t>
        </is>
      </c>
      <c r="AP82" s="14" t="inlineStr">
        <is>
          <t>1e2981fe51404e183ea6</t>
        </is>
      </c>
      <c r="AQ82" s="14" t="n">
        <v>-0.75</v>
      </c>
      <c r="AR82" s="14" t="n">
        <v>0.9399999999999999</v>
      </c>
      <c r="AS82" s="14" t="n">
        <v>-0.75</v>
      </c>
      <c r="AT82" s="14" t="n">
        <v>0.75</v>
      </c>
      <c r="AU82" s="14" t="n">
        <v>0.9399999999999999</v>
      </c>
      <c r="AV82" s="14" t="n">
        <v>0.88</v>
      </c>
      <c r="AW82" s="14" t="inlineStr">
        <is>
          <t>2026-10-03T09:27:07.620845+08:00</t>
        </is>
      </c>
      <c r="AX82" s="14" t="inlineStr">
        <is>
          <t>Titan007 Next</t>
        </is>
      </c>
      <c r="AY82" s="14" t="inlineStr">
        <is>
          <t>V4 Shadow Only；real_money=false；新增冻结记录</t>
        </is>
      </c>
    </row>
    <row r="83" ht="22" customHeight="1" s="39">
      <c r="A83" s="14" t="inlineStr">
        <is>
          <t>2026-10-03</t>
        </is>
      </c>
      <c r="B83" s="14" t="inlineStr">
        <is>
          <t>2026-10-03 16:00:00</t>
        </is>
      </c>
      <c r="C83" s="14" t="inlineStr">
        <is>
          <t>CLUB_LEAGUE</t>
        </is>
      </c>
      <c r="D83" s="14" t="inlineStr">
        <is>
          <t>联赛</t>
        </is>
      </c>
      <c r="E83" s="14" t="inlineStr">
        <is>
          <t>日职乙</t>
        </is>
      </c>
      <c r="F83" s="14" t="inlineStr">
        <is>
          <t>枥木市FC vs 今治</t>
        </is>
      </c>
      <c r="G83" s="26" t="n">
        <v>0.98</v>
      </c>
      <c r="H83" s="26" t="n">
        <v>-0.5</v>
      </c>
      <c r="I83" s="26" t="n">
        <v>0.9</v>
      </c>
      <c r="J83" s="26" t="inlineStr">
        <is>
          <t>0.98/-0.5/0.9</t>
        </is>
      </c>
      <c r="K83" s="14" t="inlineStr">
        <is>
          <t>V4-B｜EV 0.07497385985162941</t>
        </is>
      </c>
      <c r="L83" s="14" t="inlineStr">
        <is>
          <t>枥木市FC</t>
        </is>
      </c>
      <c r="M83" s="47" t="n">
        <v>0.5429160908341563</v>
      </c>
      <c r="N83" s="14" t="inlineStr">
        <is>
          <t>V4纸面入选-B</t>
        </is>
      </c>
      <c r="O83" s="14" t="inlineStr">
        <is>
          <t>1-2</t>
        </is>
      </c>
      <c r="P83" s="14" t="inlineStr">
        <is>
          <t>已结算</t>
        </is>
      </c>
      <c r="Q83" s="14" t="inlineStr">
        <is>
          <t>黑</t>
        </is>
      </c>
      <c r="R83" s="48" t="n">
        <v>0.98</v>
      </c>
      <c r="S83" s="48">
        <f>IF(OR(Q83="",Q83="待结算"),"",IF(Q83="红",R83,IF(Q83="半红",R83*0.5,IF(Q83="走",0,IF(Q83="半黑",-0.5,-1)))))</f>
        <v/>
      </c>
      <c r="T83" s="14" t="inlineStr">
        <is>
          <t>D:\codex\v3_legacy\outputs\football_odds_trader\raw\titan007\20261004\20261004_084919_titan007_odds_snapshot.csv</t>
        </is>
      </c>
      <c r="U83" s="14">
        <f>IF(Q83="","",IF(Q83="待结算","待结算",IF(Q83="红","黑",IF(Q83="半红","半黑",IF(Q83="走","走",IF(Q83="半黑","半红","红"))))))</f>
        <v/>
      </c>
      <c r="V83" s="48">
        <f>IF(OR(U83="",U83="待结算"),"",IF(L83=LEFT(F83,FIND(" vs ",F83)-1),I83,G83))</f>
        <v/>
      </c>
      <c r="W83" s="48">
        <f>IF(OR(U83="",U83="待结算"),"",IF(U83="红",V83,IF(U83="半红",V83*0.5,IF(U83="走",0,IF(U83="半黑",-0.5,-1)))))</f>
        <v/>
      </c>
      <c r="X83" s="14" t="inlineStr">
        <is>
          <t>3000100</t>
        </is>
      </c>
      <c r="Y83" s="14" t="inlineStr">
        <is>
          <t>V4</t>
        </is>
      </c>
      <c r="Z83" s="14" t="inlineStr">
        <is>
          <t>prior-2026-10-03-v1</t>
        </is>
      </c>
      <c r="AA83" s="14" t="inlineStr">
        <is>
          <t>B</t>
        </is>
      </c>
      <c r="AB83" s="14" t="n">
        <v>0.5429160908341563</v>
      </c>
      <c r="AC83" s="14" t="n">
        <v>0</v>
      </c>
      <c r="AD83" s="14" t="n">
        <v>0</v>
      </c>
      <c r="AE83" s="14" t="n">
        <v>0</v>
      </c>
      <c r="AF83" s="14" t="n">
        <v>0.4570839091658437</v>
      </c>
      <c r="AG83" s="14" t="n">
        <v>0.07497385985162941</v>
      </c>
      <c r="AH83" s="14" t="n"/>
      <c r="AI83" s="14" t="n"/>
      <c r="AJ83" s="14" t="n">
        <v>0.07497385985162941</v>
      </c>
      <c r="AK83" s="14" t="n"/>
      <c r="AL83" s="14" t="n"/>
      <c r="AM83" s="14" t="n"/>
      <c r="AN83" s="14" t="inlineStr">
        <is>
          <t>EVALUATED</t>
        </is>
      </c>
      <c r="AO83" s="14" t="inlineStr">
        <is>
          <t>GIVING_VALIDATED_EDGE;BUCKET_PRIOR_ONLY;INTENT_INTERPRETATION_ONLY;EXPERT_MARKET</t>
        </is>
      </c>
      <c r="AP83" s="14" t="inlineStr">
        <is>
          <t>33672035a52dfbf2cef6</t>
        </is>
      </c>
      <c r="AQ83" s="14" t="n">
        <v>-0.5</v>
      </c>
      <c r="AR83" s="14" t="n">
        <v>0.98</v>
      </c>
      <c r="AS83" s="14" t="n">
        <v>-0.5</v>
      </c>
      <c r="AT83" s="14" t="n">
        <v>0.5</v>
      </c>
      <c r="AU83" s="14" t="n">
        <v>0.98</v>
      </c>
      <c r="AV83" s="14" t="n">
        <v>0.9</v>
      </c>
      <c r="AW83" s="14" t="inlineStr">
        <is>
          <t>2026-10-03T09:27:07.620845+08:00</t>
        </is>
      </c>
      <c r="AX83" s="14" t="inlineStr">
        <is>
          <t>Titan007 Next</t>
        </is>
      </c>
      <c r="AY83" s="14" t="inlineStr">
        <is>
          <t>V4 Shadow Only；real_money=false；新增冻结记录</t>
        </is>
      </c>
    </row>
    <row r="84" ht="22" customHeight="1" s="39">
      <c r="A84" s="14" t="inlineStr">
        <is>
          <t>2026-10-03</t>
        </is>
      </c>
      <c r="B84" s="14" t="inlineStr">
        <is>
          <t>2026-10-03 16:15:00</t>
        </is>
      </c>
      <c r="C84" s="14" t="inlineStr">
        <is>
          <t>CLUB_LEAGUE</t>
        </is>
      </c>
      <c r="D84" s="14" t="inlineStr">
        <is>
          <t>联赛</t>
        </is>
      </c>
      <c r="E84" s="14" t="inlineStr">
        <is>
          <t>捷丙</t>
        </is>
      </c>
      <c r="F84" s="14" t="inlineStr">
        <is>
          <t>奥林莫斯B队 vs 维特科维斯</t>
        </is>
      </c>
      <c r="G84" s="26" t="n">
        <v>0.93</v>
      </c>
      <c r="H84" s="26" t="n">
        <v>-0.75</v>
      </c>
      <c r="I84" s="26" t="n">
        <v>0.77</v>
      </c>
      <c r="J84" s="26" t="inlineStr">
        <is>
          <t>0.93/-0.75/0.77</t>
        </is>
      </c>
      <c r="K84" s="14" t="inlineStr">
        <is>
          <t>V4-B｜EV 0.18679067586607423</t>
        </is>
      </c>
      <c r="L84" s="14" t="inlineStr">
        <is>
          <t>奥林莫斯B队</t>
        </is>
      </c>
      <c r="M84" s="47" t="n">
        <v>0.548717325040624</v>
      </c>
      <c r="N84" s="14" t="inlineStr">
        <is>
          <t>V4纸面入选-B</t>
        </is>
      </c>
      <c r="O84" s="14" t="inlineStr">
        <is>
          <t>2-1</t>
        </is>
      </c>
      <c r="P84" s="14" t="inlineStr">
        <is>
          <t>已结算</t>
        </is>
      </c>
      <c r="Q84" s="14" t="inlineStr">
        <is>
          <t>半红</t>
        </is>
      </c>
      <c r="R84" s="48" t="n">
        <v>0.93</v>
      </c>
      <c r="S84" s="48">
        <f>IF(OR(Q84="",Q84="待结算"),"",IF(Q84="红",R84,IF(Q84="半红",R84*0.5,IF(Q84="走",0,IF(Q84="半黑",-0.5,-1)))))</f>
        <v/>
      </c>
      <c r="T84" s="14" t="inlineStr">
        <is>
          <t>D:\codex\v3_legacy\outputs\football_odds_trader\raw\titan007\20261004\20261004_084919_titan007_odds_snapshot.csv</t>
        </is>
      </c>
      <c r="U84" s="14">
        <f>IF(Q84="","",IF(Q84="待结算","待结算",IF(Q84="红","黑",IF(Q84="半红","半黑",IF(Q84="走","走",IF(Q84="半黑","半红","红"))))))</f>
        <v/>
      </c>
      <c r="V84" s="48">
        <f>IF(OR(U84="",U84="待结算"),"",IF(L84=LEFT(F84,FIND(" vs ",F84)-1),I84,G84))</f>
        <v/>
      </c>
      <c r="W84" s="48">
        <f>IF(OR(U84="",U84="待结算"),"",IF(U84="红",V84,IF(U84="半红",V84*0.5,IF(U84="走",0,IF(U84="半黑",-0.5,-1)))))</f>
        <v/>
      </c>
      <c r="X84" s="14" t="inlineStr">
        <is>
          <t>3043226</t>
        </is>
      </c>
      <c r="Y84" s="14" t="inlineStr">
        <is>
          <t>V4</t>
        </is>
      </c>
      <c r="Z84" s="14" t="inlineStr">
        <is>
          <t>prior-2026-10-03-v1</t>
        </is>
      </c>
      <c r="AA84" s="14" t="inlineStr">
        <is>
          <t>B</t>
        </is>
      </c>
      <c r="AB84" s="14" t="n">
        <v>0.420951086502954</v>
      </c>
      <c r="AC84" s="14" t="n">
        <v>0.2555324770753399</v>
      </c>
      <c r="AD84" s="14" t="n">
        <v>0</v>
      </c>
      <c r="AE84" s="14" t="n">
        <v>0</v>
      </c>
      <c r="AF84" s="14" t="n">
        <v>0.323516436421706</v>
      </c>
      <c r="AG84" s="14" t="n">
        <v>0.1867906758660742</v>
      </c>
      <c r="AH84" s="14" t="n"/>
      <c r="AI84" s="14" t="n"/>
      <c r="AJ84" s="14" t="n">
        <v>0.1867906758660742</v>
      </c>
      <c r="AK84" s="14" t="n"/>
      <c r="AL84" s="14" t="n"/>
      <c r="AM84" s="14" t="n"/>
      <c r="AN84" s="14" t="inlineStr">
        <is>
          <t>EVALUATED</t>
        </is>
      </c>
      <c r="AO84" s="14" t="inlineStr">
        <is>
          <t>GIVING_VALIDATED_EDGE;BUCKET_PRIOR_ONLY;INTENT_INTERPRETATION_ONLY;EXPERT_MARKET</t>
        </is>
      </c>
      <c r="AP84" s="14" t="inlineStr">
        <is>
          <t>e7ff603952c5a65e8b03</t>
        </is>
      </c>
      <c r="AQ84" s="14" t="n">
        <v>-0.75</v>
      </c>
      <c r="AR84" s="14" t="n">
        <v>0.93</v>
      </c>
      <c r="AS84" s="14" t="n">
        <v>-0.75</v>
      </c>
      <c r="AT84" s="14" t="n">
        <v>0.75</v>
      </c>
      <c r="AU84" s="14" t="n">
        <v>0.93</v>
      </c>
      <c r="AV84" s="14" t="n">
        <v>0.77</v>
      </c>
      <c r="AW84" s="14" t="inlineStr">
        <is>
          <t>2026-10-03T09:27:07.620845+08:00</t>
        </is>
      </c>
      <c r="AX84" s="14" t="inlineStr">
        <is>
          <t>Titan007 Next</t>
        </is>
      </c>
      <c r="AY84" s="14" t="inlineStr">
        <is>
          <t>V4 Shadow Only；real_money=false；新增冻结记录</t>
        </is>
      </c>
    </row>
    <row r="85" ht="22" customHeight="1" s="39">
      <c r="A85" s="14" t="inlineStr">
        <is>
          <t>2026-10-03</t>
        </is>
      </c>
      <c r="B85" s="14" t="inlineStr">
        <is>
          <t>2026-10-03 16:15:00</t>
        </is>
      </c>
      <c r="C85" s="14" t="inlineStr">
        <is>
          <t>CLUB_LEAGUE</t>
        </is>
      </c>
      <c r="D85" s="14" t="inlineStr">
        <is>
          <t>联赛</t>
        </is>
      </c>
      <c r="E85" s="14" t="inlineStr">
        <is>
          <t>捷丙</t>
        </is>
      </c>
      <c r="F85" s="14" t="inlineStr">
        <is>
          <t>莫托勒 vs 洛科维塔维恩</t>
        </is>
      </c>
      <c r="G85" s="26" t="n">
        <v>0.87</v>
      </c>
      <c r="H85" s="26" t="n">
        <v>-0.75</v>
      </c>
      <c r="I85" s="26" t="n">
        <v>0.83</v>
      </c>
      <c r="J85" s="26" t="inlineStr">
        <is>
          <t>0.87/-0.75/0.83</t>
        </is>
      </c>
      <c r="K85" s="14" t="inlineStr">
        <is>
          <t>V4-B｜EV 0.11004913157568735</t>
        </is>
      </c>
      <c r="L85" s="14" t="inlineStr">
        <is>
          <t>莫托勒</t>
        </is>
      </c>
      <c r="M85" s="47" t="n">
        <v>0.5252957756400545</v>
      </c>
      <c r="N85" s="14" t="inlineStr">
        <is>
          <t>V4纸面入选-B</t>
        </is>
      </c>
      <c r="O85" s="14" t="inlineStr">
        <is>
          <t>3-0</t>
        </is>
      </c>
      <c r="P85" s="14" t="inlineStr">
        <is>
          <t>已结算</t>
        </is>
      </c>
      <c r="Q85" s="14" t="inlineStr">
        <is>
          <t>红</t>
        </is>
      </c>
      <c r="R85" s="48" t="n">
        <v>0.87</v>
      </c>
      <c r="S85" s="48">
        <f>IF(OR(Q85="",Q85="待结算"),"",IF(Q85="红",R85,IF(Q85="半红",R85*0.5,IF(Q85="走",0,IF(Q85="半黑",-0.5,-1)))))</f>
        <v/>
      </c>
      <c r="T85" s="14" t="inlineStr">
        <is>
          <t>D:\codex\v3_legacy\outputs\football_odds_trader\raw\titan007\20261004\20261004_084919_titan007_odds_snapshot.csv</t>
        </is>
      </c>
      <c r="U85" s="14">
        <f>IF(Q85="","",IF(Q85="待结算","待结算",IF(Q85="红","黑",IF(Q85="半红","半黑",IF(Q85="走","走",IF(Q85="半黑","半红","红"))))))</f>
        <v/>
      </c>
      <c r="V85" s="48">
        <f>IF(OR(U85="",U85="待结算"),"",IF(L85=LEFT(F85,FIND(" vs ",F85)-1),I85,G85))</f>
        <v/>
      </c>
      <c r="W85" s="48">
        <f>IF(OR(U85="",U85="待结算"),"",IF(U85="红",V85,IF(U85="半红",V85*0.5,IF(U85="走",0,IF(U85="半黑",-0.5,-1)))))</f>
        <v/>
      </c>
      <c r="X85" s="14" t="inlineStr">
        <is>
          <t>3009394</t>
        </is>
      </c>
      <c r="Y85" s="14" t="inlineStr">
        <is>
          <t>V4</t>
        </is>
      </c>
      <c r="Z85" s="14" t="inlineStr">
        <is>
          <t>prior-2026-10-03-v1</t>
        </is>
      </c>
      <c r="AA85" s="14" t="inlineStr">
        <is>
          <t>B</t>
        </is>
      </c>
      <c r="AB85" s="14" t="n">
        <v>0.397549744511269</v>
      </c>
      <c r="AC85" s="14" t="n">
        <v>0.255492062257571</v>
      </c>
      <c r="AD85" s="14" t="n">
        <v>0</v>
      </c>
      <c r="AE85" s="14" t="n">
        <v>0</v>
      </c>
      <c r="AF85" s="14" t="n">
        <v>0.3469581932311601</v>
      </c>
      <c r="AG85" s="14" t="n">
        <v>0.1100491315756874</v>
      </c>
      <c r="AH85" s="14" t="n"/>
      <c r="AI85" s="14" t="n"/>
      <c r="AJ85" s="14" t="n">
        <v>0.1100491315756874</v>
      </c>
      <c r="AK85" s="14" t="n"/>
      <c r="AL85" s="14" t="n"/>
      <c r="AM85" s="14" t="n"/>
      <c r="AN85" s="14" t="inlineStr">
        <is>
          <t>EVALUATED</t>
        </is>
      </c>
      <c r="AO85" s="14" t="inlineStr">
        <is>
          <t>GIVING_VALIDATED_EDGE;BUCKET_PRIOR_ONLY;INTENT_INTERPRETATION_ONLY;EXPERT_MARKET</t>
        </is>
      </c>
      <c r="AP85" s="14" t="inlineStr">
        <is>
          <t>0d98136a0fbbb5a8d231</t>
        </is>
      </c>
      <c r="AQ85" s="14" t="n">
        <v>-0.75</v>
      </c>
      <c r="AR85" s="14" t="n">
        <v>0.87</v>
      </c>
      <c r="AS85" s="14" t="n">
        <v>-0.75</v>
      </c>
      <c r="AT85" s="14" t="n">
        <v>0.75</v>
      </c>
      <c r="AU85" s="14" t="n">
        <v>0.87</v>
      </c>
      <c r="AV85" s="14" t="n">
        <v>0.83</v>
      </c>
      <c r="AW85" s="14" t="inlineStr">
        <is>
          <t>2026-10-03T09:27:07.620845+08:00</t>
        </is>
      </c>
      <c r="AX85" s="14" t="inlineStr">
        <is>
          <t>Titan007 Next</t>
        </is>
      </c>
      <c r="AY85" s="14" t="inlineStr">
        <is>
          <t>V4 Shadow Only；real_money=false；新增冻结记录</t>
        </is>
      </c>
    </row>
    <row r="86" ht="22" customHeight="1" s="39">
      <c r="A86" s="14" t="inlineStr">
        <is>
          <t>2026-10-03</t>
        </is>
      </c>
      <c r="B86" s="14" t="inlineStr">
        <is>
          <t>2026-10-03 17:00:00</t>
        </is>
      </c>
      <c r="C86" s="14" t="inlineStr">
        <is>
          <t>UNKNOWN</t>
        </is>
      </c>
      <c r="D86" s="14" t="inlineStr">
        <is>
          <t>联赛</t>
        </is>
      </c>
      <c r="E86" s="14" t="inlineStr">
        <is>
          <t>日足联</t>
        </is>
      </c>
      <c r="F86" s="14" t="inlineStr">
        <is>
          <t>FC本田 vs 美蓓亚三美</t>
        </is>
      </c>
      <c r="G86" s="26" t="n">
        <v>0.82</v>
      </c>
      <c r="H86" s="26" t="n">
        <v>-0.5</v>
      </c>
      <c r="I86" s="26" t="n">
        <v>0.9399999999999999</v>
      </c>
      <c r="J86" s="26" t="inlineStr">
        <is>
          <t>0.82/-0.5/0.94</t>
        </is>
      </c>
      <c r="K86" s="14" t="inlineStr">
        <is>
          <t>V4-C｜EV 0.07086047767492953</t>
        </is>
      </c>
      <c r="L86" s="14" t="inlineStr">
        <is>
          <t>FC本田</t>
        </is>
      </c>
      <c r="M86" s="47" t="n">
        <v>0.5883848778433679</v>
      </c>
      <c r="N86" s="14" t="inlineStr">
        <is>
          <t>V4纸面入选-C</t>
        </is>
      </c>
      <c r="O86" s="14" t="inlineStr">
        <is>
          <t>0-1</t>
        </is>
      </c>
      <c r="P86" s="14" t="inlineStr">
        <is>
          <t>已结算</t>
        </is>
      </c>
      <c r="Q86" s="14" t="inlineStr">
        <is>
          <t>黑</t>
        </is>
      </c>
      <c r="R86" s="48" t="n">
        <v>0.82</v>
      </c>
      <c r="S86" s="48">
        <f>IF(OR(Q86="",Q86="待结算"),"",IF(Q86="红",R86,IF(Q86="半红",R86*0.5,IF(Q86="走",0,IF(Q86="半黑",-0.5,-1)))))</f>
        <v/>
      </c>
      <c r="T86" s="14" t="inlineStr">
        <is>
          <t>D:\codex\v3_legacy\outputs\football_odds_trader\raw\titan007\20261004\20261004_084919_titan007_odds_snapshot.csv</t>
        </is>
      </c>
      <c r="U86" s="14">
        <f>IF(Q86="","",IF(Q86="待结算","待结算",IF(Q86="红","黑",IF(Q86="半红","半黑",IF(Q86="走","走",IF(Q86="半黑","半红","红"))))))</f>
        <v/>
      </c>
      <c r="V86" s="48">
        <f>IF(OR(U86="",U86="待结算"),"",IF(L86=LEFT(F86,FIND(" vs ",F86)-1),I86,G86))</f>
        <v/>
      </c>
      <c r="W86" s="48">
        <f>IF(OR(U86="",U86="待结算"),"",IF(U86="红",V86,IF(U86="半红",V86*0.5,IF(U86="走",0,IF(U86="半黑",-0.5,-1)))))</f>
        <v/>
      </c>
      <c r="X86" s="14" t="inlineStr">
        <is>
          <t>3071107</t>
        </is>
      </c>
      <c r="Y86" s="14" t="inlineStr">
        <is>
          <t>V4</t>
        </is>
      </c>
      <c r="Z86" s="14" t="inlineStr">
        <is>
          <t>prior-2026-10-03-v1</t>
        </is>
      </c>
      <c r="AA86" s="14" t="inlineStr">
        <is>
          <t>C</t>
        </is>
      </c>
      <c r="AB86" s="14" t="n">
        <v>0.5883848778433679</v>
      </c>
      <c r="AC86" s="14" t="n">
        <v>0</v>
      </c>
      <c r="AD86" s="14" t="n">
        <v>0</v>
      </c>
      <c r="AE86" s="14" t="n">
        <v>0</v>
      </c>
      <c r="AF86" s="14" t="n">
        <v>0.4116151221566321</v>
      </c>
      <c r="AG86" s="14" t="n">
        <v>0.07086047767492953</v>
      </c>
      <c r="AH86" s="14" t="n"/>
      <c r="AI86" s="14" t="n"/>
      <c r="AJ86" s="14" t="n">
        <v>0.07086047767492953</v>
      </c>
      <c r="AK86" s="14" t="n"/>
      <c r="AL86" s="14" t="n"/>
      <c r="AM86" s="14" t="n"/>
      <c r="AN86" s="14" t="inlineStr">
        <is>
          <t>EVALUATED</t>
        </is>
      </c>
      <c r="AO86" s="14" t="inlineStr">
        <is>
          <t>GIVING_VALIDATED_EDGE;BUCKET_PRIOR_ONLY;INTENT_INTERPRETATION_ONLY;EXPERT_MARKET</t>
        </is>
      </c>
      <c r="AP86" s="14" t="inlineStr">
        <is>
          <t>ee5536fa6f81353308bf</t>
        </is>
      </c>
      <c r="AQ86" s="14" t="n">
        <v>-0.5</v>
      </c>
      <c r="AR86" s="14" t="n">
        <v>0.82</v>
      </c>
      <c r="AS86" s="14" t="n">
        <v>-0.5</v>
      </c>
      <c r="AT86" s="14" t="n">
        <v>0.5</v>
      </c>
      <c r="AU86" s="14" t="n">
        <v>0.82</v>
      </c>
      <c r="AV86" s="14" t="n">
        <v>0.9399999999999999</v>
      </c>
      <c r="AW86" s="14" t="inlineStr">
        <is>
          <t>2026-10-03T09:27:07.620845+08:00</t>
        </is>
      </c>
      <c r="AX86" s="14" t="inlineStr">
        <is>
          <t>Titan007 Next</t>
        </is>
      </c>
      <c r="AY86" s="14" t="inlineStr">
        <is>
          <t>V4 Shadow Only；real_money=false；新增冻结记录</t>
        </is>
      </c>
    </row>
    <row r="87" ht="22" customHeight="1" s="39">
      <c r="A87" s="14" t="inlineStr">
        <is>
          <t>2026-10-03</t>
        </is>
      </c>
      <c r="B87" s="14" t="inlineStr">
        <is>
          <t>2026-10-03 17:00:00</t>
        </is>
      </c>
      <c r="C87" s="14" t="inlineStr">
        <is>
          <t>UNKNOWN</t>
        </is>
      </c>
      <c r="D87" s="14" t="inlineStr">
        <is>
          <t>联赛</t>
        </is>
      </c>
      <c r="E87" s="14" t="inlineStr">
        <is>
          <t>南非女联</t>
        </is>
      </c>
      <c r="F87" s="14" t="inlineStr">
        <is>
          <t>埃泽姆维罗女足 vs JWW女足</t>
        </is>
      </c>
      <c r="G87" s="26" t="n">
        <v>0.93</v>
      </c>
      <c r="H87" s="26" t="n">
        <v>-1.5</v>
      </c>
      <c r="I87" s="26" t="n">
        <v>0.77</v>
      </c>
      <c r="J87" s="26" t="inlineStr">
        <is>
          <t>0.93/-1.5/0.77</t>
        </is>
      </c>
      <c r="K87" s="14" t="inlineStr">
        <is>
          <t>V4-C｜EV 0.12491971442713018</t>
        </is>
      </c>
      <c r="L87" s="14" t="inlineStr">
        <is>
          <t>JWW女足</t>
        </is>
      </c>
      <c r="M87" s="47" t="n">
        <v>0.6355478612582657</v>
      </c>
      <c r="N87" s="14" t="inlineStr">
        <is>
          <t>V4纸面入选-C</t>
        </is>
      </c>
      <c r="O87" s="14" t="inlineStr">
        <is>
          <t>1-1</t>
        </is>
      </c>
      <c r="P87" s="14" t="inlineStr">
        <is>
          <t>已结算</t>
        </is>
      </c>
      <c r="Q87" s="14" t="inlineStr">
        <is>
          <t>黑</t>
        </is>
      </c>
      <c r="R87" s="48" t="n">
        <v>0.77</v>
      </c>
      <c r="S87" s="48">
        <f>IF(OR(Q87="",Q87="待结算"),"",IF(Q87="红",R87,IF(Q87="半红",R87*0.5,IF(Q87="走",0,IF(Q87="半黑",-0.5,-1)))))</f>
        <v/>
      </c>
      <c r="T87" s="14" t="inlineStr">
        <is>
          <t>D:\codex\v3_legacy\outputs\football_odds_trader\raw\titan007\20261004\20261004_084919_titan007_odds_snapshot.csv</t>
        </is>
      </c>
      <c r="U87" s="14">
        <f>IF(Q87="","",IF(Q87="待结算","待结算",IF(Q87="红","黑",IF(Q87="半红","半黑",IF(Q87="走","走",IF(Q87="半黑","半红","红"))))))</f>
        <v/>
      </c>
      <c r="V87" s="48">
        <f>IF(OR(U87="",U87="待结算"),"",IF(L87=LEFT(F87,FIND(" vs ",F87)-1),I87,G87))</f>
        <v/>
      </c>
      <c r="W87" s="48">
        <f>IF(OR(U87="",U87="待结算"),"",IF(U87="红",V87,IF(U87="半红",V87*0.5,IF(U87="走",0,IF(U87="半黑",-0.5,-1)))))</f>
        <v/>
      </c>
      <c r="X87" s="14" t="inlineStr">
        <is>
          <t>3097508</t>
        </is>
      </c>
      <c r="Y87" s="14" t="inlineStr">
        <is>
          <t>V4</t>
        </is>
      </c>
      <c r="Z87" s="14" t="inlineStr">
        <is>
          <t>prior-2026-10-03-v1</t>
        </is>
      </c>
      <c r="AA87" s="14" t="inlineStr">
        <is>
          <t>C</t>
        </is>
      </c>
      <c r="AB87" s="14" t="n">
        <v>0.6355478612582657</v>
      </c>
      <c r="AC87" s="14" t="n">
        <v>0</v>
      </c>
      <c r="AD87" s="14" t="n">
        <v>0</v>
      </c>
      <c r="AE87" s="14" t="n">
        <v>0</v>
      </c>
      <c r="AF87" s="14" t="n">
        <v>0.3644521387417344</v>
      </c>
      <c r="AG87" s="14" t="n">
        <v>0.1249197144271302</v>
      </c>
      <c r="AH87" s="14" t="n"/>
      <c r="AI87" s="14" t="n"/>
      <c r="AJ87" s="14" t="n">
        <v>0.1249197144271302</v>
      </c>
      <c r="AK87" s="14" t="n"/>
      <c r="AL87" s="14" t="n"/>
      <c r="AM87" s="14" t="n"/>
      <c r="AN87" s="14" t="inlineStr">
        <is>
          <t>EVALUATED</t>
        </is>
      </c>
      <c r="AO87" s="14" t="inlineStr">
        <is>
          <t>GIVING_VALIDATED_EDGE;BUCKET_PRIOR_ONLY;INTENT_INTERPRETATION_ONLY;EXPERT_MARKET</t>
        </is>
      </c>
      <c r="AP87" s="14" t="inlineStr">
        <is>
          <t>079c9c705880be89b3bf</t>
        </is>
      </c>
      <c r="AQ87" s="14" t="n">
        <v>-1.5</v>
      </c>
      <c r="AR87" s="14" t="n">
        <v>0.77</v>
      </c>
      <c r="AS87" s="14" t="n">
        <v>-1.5</v>
      </c>
      <c r="AT87" s="14" t="n">
        <v>1.5</v>
      </c>
      <c r="AU87" s="14" t="n">
        <v>0.77</v>
      </c>
      <c r="AV87" s="14" t="n">
        <v>0.93</v>
      </c>
      <c r="AW87" s="14" t="inlineStr">
        <is>
          <t>2026-10-03T09:27:07.620845+08:00</t>
        </is>
      </c>
      <c r="AX87" s="14" t="inlineStr">
        <is>
          <t>Titan007 Next</t>
        </is>
      </c>
      <c r="AY87" s="14" t="inlineStr">
        <is>
          <t>V4 Shadow Only；real_money=false；新增冻结记录</t>
        </is>
      </c>
    </row>
    <row r="88" ht="22" customHeight="1" s="39">
      <c r="A88" s="14" t="inlineStr">
        <is>
          <t>2026-10-03</t>
        </is>
      </c>
      <c r="B88" s="14" t="inlineStr">
        <is>
          <t>2026-10-03 18:00:00</t>
        </is>
      </c>
      <c r="C88" s="14" t="inlineStr">
        <is>
          <t>CLUB_CUP</t>
        </is>
      </c>
      <c r="D88" s="14" t="inlineStr">
        <is>
          <t>杯赛</t>
        </is>
      </c>
      <c r="E88" s="14" t="inlineStr">
        <is>
          <t>日联杯</t>
        </is>
      </c>
      <c r="F88" s="14" t="inlineStr">
        <is>
          <t>柏太阳神 vs 大阪钢巴</t>
        </is>
      </c>
      <c r="G88" s="26" t="n">
        <v>0.79</v>
      </c>
      <c r="H88" s="26" t="n">
        <v>-0.75</v>
      </c>
      <c r="I88" s="26" t="n">
        <v>1.03</v>
      </c>
      <c r="J88" s="26" t="inlineStr">
        <is>
          <t>0.79/-0.75/1.03</t>
        </is>
      </c>
      <c r="K88" s="14" t="inlineStr">
        <is>
          <t>V4-B｜EV 0.08702417229948345</t>
        </is>
      </c>
      <c r="L88" s="14" t="inlineStr">
        <is>
          <t>柏太阳神</t>
        </is>
      </c>
      <c r="M88" s="47" t="n">
        <v>0.5359161360034028</v>
      </c>
      <c r="N88" s="14" t="inlineStr">
        <is>
          <t>V4纸面入选-B</t>
        </is>
      </c>
      <c r="O88" s="14" t="inlineStr">
        <is>
          <t>3-3</t>
        </is>
      </c>
      <c r="P88" s="14" t="inlineStr">
        <is>
          <t>已结算</t>
        </is>
      </c>
      <c r="Q88" s="14" t="inlineStr">
        <is>
          <t>黑</t>
        </is>
      </c>
      <c r="R88" s="48" t="n">
        <v>0.79</v>
      </c>
      <c r="S88" s="48">
        <f>IF(OR(Q88="",Q88="待结算"),"",IF(Q88="红",R88,IF(Q88="半红",R88*0.5,IF(Q88="走",0,IF(Q88="半黑",-0.5,-1)))))</f>
        <v/>
      </c>
      <c r="T88" s="14" t="inlineStr">
        <is>
          <t>D:\codex\v3_legacy\outputs\football_odds_trader\raw\titan007\20261004\20261004_084919_titan007_odds_snapshot.csv</t>
        </is>
      </c>
      <c r="U88" s="14">
        <f>IF(Q88="","",IF(Q88="待结算","待结算",IF(Q88="红","黑",IF(Q88="半红","半黑",IF(Q88="走","走",IF(Q88="半黑","半红","红"))))))</f>
        <v/>
      </c>
      <c r="V88" s="48">
        <f>IF(OR(U88="",U88="待结算"),"",IF(L88=LEFT(F88,FIND(" vs ",F88)-1),I88,G88))</f>
        <v/>
      </c>
      <c r="W88" s="48">
        <f>IF(OR(U88="",U88="待结算"),"",IF(U88="红",V88,IF(U88="半红",V88*0.5,IF(U88="走",0,IF(U88="半黑",-0.5,-1)))))</f>
        <v/>
      </c>
      <c r="X88" s="14" t="inlineStr">
        <is>
          <t>3008760</t>
        </is>
      </c>
      <c r="Y88" s="14" t="inlineStr">
        <is>
          <t>V4</t>
        </is>
      </c>
      <c r="Z88" s="14" t="inlineStr">
        <is>
          <t>prior-2026-10-03-v1</t>
        </is>
      </c>
      <c r="AA88" s="14" t="inlineStr">
        <is>
          <t>B</t>
        </is>
      </c>
      <c r="AB88" s="14" t="n">
        <v>0.4081818471500103</v>
      </c>
      <c r="AC88" s="14" t="n">
        <v>0.2554685777067849</v>
      </c>
      <c r="AD88" s="14" t="n">
        <v>0</v>
      </c>
      <c r="AE88" s="14" t="n">
        <v>0</v>
      </c>
      <c r="AF88" s="14" t="n">
        <v>0.3363495751432048</v>
      </c>
      <c r="AG88" s="14" t="n">
        <v>0.08702417229948345</v>
      </c>
      <c r="AH88" s="14" t="n"/>
      <c r="AI88" s="14" t="n"/>
      <c r="AJ88" s="14" t="n">
        <v>0.08702417229948345</v>
      </c>
      <c r="AK88" s="14" t="n"/>
      <c r="AL88" s="14" t="n"/>
      <c r="AM88" s="14" t="n"/>
      <c r="AN88" s="14" t="inlineStr">
        <is>
          <t>EVALUATED</t>
        </is>
      </c>
      <c r="AO88" s="14" t="inlineStr">
        <is>
          <t>GIVING_VALIDATED_EDGE;BUCKET_PRIOR_ONLY;INTENT_INTERPRETATION_ONLY;EXPERT_MARKET</t>
        </is>
      </c>
      <c r="AP88" s="14" t="inlineStr">
        <is>
          <t>d6d8555080eb58c2e918</t>
        </is>
      </c>
      <c r="AQ88" s="14" t="n">
        <v>-0.75</v>
      </c>
      <c r="AR88" s="14" t="n">
        <v>0.79</v>
      </c>
      <c r="AS88" s="14" t="n">
        <v>-0.75</v>
      </c>
      <c r="AT88" s="14" t="n">
        <v>0.75</v>
      </c>
      <c r="AU88" s="14" t="n">
        <v>0.79</v>
      </c>
      <c r="AV88" s="14" t="n">
        <v>1.03</v>
      </c>
      <c r="AW88" s="14" t="inlineStr">
        <is>
          <t>2026-10-03T09:27:07.620845+08:00</t>
        </is>
      </c>
      <c r="AX88" s="14" t="inlineStr">
        <is>
          <t>Titan007 Next</t>
        </is>
      </c>
      <c r="AY88" s="14" t="inlineStr">
        <is>
          <t>V4 Shadow Only；real_money=false；新增冻结记录</t>
        </is>
      </c>
    </row>
    <row r="89" ht="22" customHeight="1" s="39">
      <c r="A89" s="14" t="inlineStr">
        <is>
          <t>2026-10-03</t>
        </is>
      </c>
      <c r="B89" s="14" t="inlineStr">
        <is>
          <t>2026-10-03 20:00:00</t>
        </is>
      </c>
      <c r="C89" s="14" t="inlineStr">
        <is>
          <t>CLUB_LEAGUE</t>
        </is>
      </c>
      <c r="D89" s="14" t="inlineStr">
        <is>
          <t>联赛</t>
        </is>
      </c>
      <c r="E89" s="14" t="inlineStr">
        <is>
          <t>丹麦丙</t>
        </is>
      </c>
      <c r="F89" s="14" t="inlineStr">
        <is>
          <t>布隆索伊 vs 弗雷姆</t>
        </is>
      </c>
      <c r="G89" s="26" t="n">
        <v>0.86</v>
      </c>
      <c r="H89" s="26" t="n">
        <v>-0.5</v>
      </c>
      <c r="I89" s="26" t="n">
        <v>0.84</v>
      </c>
      <c r="J89" s="26" t="inlineStr">
        <is>
          <t>0.86/-0.5/0.84</t>
        </is>
      </c>
      <c r="K89" s="14" t="inlineStr">
        <is>
          <t>V4-B｜EV 0.12653600079677607</t>
        </is>
      </c>
      <c r="L89" s="14" t="inlineStr">
        <is>
          <t>布隆索伊</t>
        </is>
      </c>
      <c r="M89" s="47" t="n">
        <v>0.6056645165574065</v>
      </c>
      <c r="N89" s="14" t="inlineStr">
        <is>
          <t>V4纸面入选-B</t>
        </is>
      </c>
      <c r="O89" s="14" t="inlineStr">
        <is>
          <t>1-1</t>
        </is>
      </c>
      <c r="P89" s="14" t="inlineStr">
        <is>
          <t>已结算</t>
        </is>
      </c>
      <c r="Q89" s="14" t="inlineStr">
        <is>
          <t>黑</t>
        </is>
      </c>
      <c r="R89" s="48" t="n">
        <v>0.86</v>
      </c>
      <c r="S89" s="48">
        <f>IF(OR(Q89="",Q89="待结算"),"",IF(Q89="红",R89,IF(Q89="半红",R89*0.5,IF(Q89="走",0,IF(Q89="半黑",-0.5,-1)))))</f>
        <v/>
      </c>
      <c r="T89" s="14" t="inlineStr">
        <is>
          <t>D:\codex\v3_legacy\outputs\football_odds_trader\raw\titan007\20261004\20261004_084919_titan007_odds_snapshot.csv</t>
        </is>
      </c>
      <c r="U89" s="14">
        <f>IF(Q89="","",IF(Q89="待结算","待结算",IF(Q89="红","黑",IF(Q89="半红","半黑",IF(Q89="走","走",IF(Q89="半黑","半红","红"))))))</f>
        <v/>
      </c>
      <c r="V89" s="48">
        <f>IF(OR(U89="",U89="待结算"),"",IF(L89=LEFT(F89,FIND(" vs ",F89)-1),I89,G89))</f>
        <v/>
      </c>
      <c r="W89" s="48">
        <f>IF(OR(U89="",U89="待结算"),"",IF(U89="红",V89,IF(U89="半红",V89*0.5,IF(U89="走",0,IF(U89="半黑",-0.5,-1)))))</f>
        <v/>
      </c>
      <c r="X89" s="14" t="inlineStr">
        <is>
          <t>3021034</t>
        </is>
      </c>
      <c r="Y89" s="14" t="inlineStr">
        <is>
          <t>V4</t>
        </is>
      </c>
      <c r="Z89" s="14" t="inlineStr">
        <is>
          <t>prior-2026-10-03-v1</t>
        </is>
      </c>
      <c r="AA89" s="14" t="inlineStr">
        <is>
          <t>B</t>
        </is>
      </c>
      <c r="AB89" s="14" t="n">
        <v>0.6056645165574065</v>
      </c>
      <c r="AC89" s="14" t="n">
        <v>0</v>
      </c>
      <c r="AD89" s="14" t="n">
        <v>0</v>
      </c>
      <c r="AE89" s="14" t="n">
        <v>0</v>
      </c>
      <c r="AF89" s="14" t="n">
        <v>0.3943354834425935</v>
      </c>
      <c r="AG89" s="14" t="n">
        <v>0.1265360007967761</v>
      </c>
      <c r="AH89" s="14" t="n"/>
      <c r="AI89" s="14" t="n"/>
      <c r="AJ89" s="14" t="n">
        <v>0.1265360007967761</v>
      </c>
      <c r="AK89" s="14" t="n"/>
      <c r="AL89" s="14" t="n"/>
      <c r="AM89" s="14" t="n"/>
      <c r="AN89" s="14" t="inlineStr">
        <is>
          <t>EVALUATED</t>
        </is>
      </c>
      <c r="AO89" s="14" t="inlineStr">
        <is>
          <t>GIVING_VALIDATED_EDGE;BUCKET_PRIOR_ONLY;INTENT_INTERPRETATION_ONLY;EXPERT_MARKET</t>
        </is>
      </c>
      <c r="AP89" s="14" t="inlineStr">
        <is>
          <t>e59098fe394523e8842e</t>
        </is>
      </c>
      <c r="AQ89" s="14" t="n">
        <v>-0.5</v>
      </c>
      <c r="AR89" s="14" t="n">
        <v>0.86</v>
      </c>
      <c r="AS89" s="14" t="n">
        <v>-0.5</v>
      </c>
      <c r="AT89" s="14" t="n">
        <v>0.5</v>
      </c>
      <c r="AU89" s="14" t="n">
        <v>0.86</v>
      </c>
      <c r="AV89" s="14" t="n">
        <v>0.84</v>
      </c>
      <c r="AW89" s="14" t="inlineStr">
        <is>
          <t>2026-10-03T09:27:07.620845+08:00</t>
        </is>
      </c>
      <c r="AX89" s="14" t="inlineStr">
        <is>
          <t>Titan007 Next</t>
        </is>
      </c>
      <c r="AY89" s="14" t="inlineStr">
        <is>
          <t>V4 Shadow Only；real_money=false；新增冻结记录</t>
        </is>
      </c>
    </row>
    <row r="90" ht="22" customHeight="1" s="39">
      <c r="A90" s="14" t="inlineStr">
        <is>
          <t>2026-10-03</t>
        </is>
      </c>
      <c r="B90" s="14" t="inlineStr">
        <is>
          <t>2026-10-03 20:00:00</t>
        </is>
      </c>
      <c r="C90" s="14" t="inlineStr">
        <is>
          <t>CLUB_LEAGUE</t>
        </is>
      </c>
      <c r="D90" s="14" t="inlineStr">
        <is>
          <t>联赛</t>
        </is>
      </c>
      <c r="E90" s="14" t="inlineStr">
        <is>
          <t>印尼甲</t>
        </is>
      </c>
      <c r="F90" s="14" t="inlineStr">
        <is>
          <t>棉兰 vs 佩斯卡德</t>
        </is>
      </c>
      <c r="G90" s="26" t="n">
        <v>0.96</v>
      </c>
      <c r="H90" s="26" t="n">
        <v>-1.5</v>
      </c>
      <c r="I90" s="26" t="n">
        <v>0.74</v>
      </c>
      <c r="J90" s="26" t="inlineStr">
        <is>
          <t>0.96/-1.5/0.74</t>
        </is>
      </c>
      <c r="K90" s="14" t="inlineStr">
        <is>
          <t>V4-C｜EV 0.055170350358920595</t>
        </is>
      </c>
      <c r="L90" s="14" t="inlineStr">
        <is>
          <t>棉兰</t>
        </is>
      </c>
      <c r="M90" s="47" t="n">
        <v>0.5383522195708779</v>
      </c>
      <c r="N90" s="14" t="inlineStr">
        <is>
          <t>V4纸面入选-C</t>
        </is>
      </c>
      <c r="O90" s="14" t="inlineStr">
        <is>
          <t>4-0</t>
        </is>
      </c>
      <c r="P90" s="14" t="inlineStr">
        <is>
          <t>已结算</t>
        </is>
      </c>
      <c r="Q90" s="14" t="inlineStr">
        <is>
          <t>红</t>
        </is>
      </c>
      <c r="R90" s="48" t="n">
        <v>0.96</v>
      </c>
      <c r="S90" s="48">
        <f>IF(OR(Q90="",Q90="待结算"),"",IF(Q90="红",R90,IF(Q90="半红",R90*0.5,IF(Q90="走",0,IF(Q90="半黑",-0.5,-1)))))</f>
        <v/>
      </c>
      <c r="T90" s="14" t="inlineStr">
        <is>
          <t>D:\codex\v3_legacy\outputs\football_odds_trader\raw\titan007\20261004\20261004_084919_titan007_odds_snapshot.csv</t>
        </is>
      </c>
      <c r="U90" s="14">
        <f>IF(Q90="","",IF(Q90="待结算","待结算",IF(Q90="红","黑",IF(Q90="半红","半黑",IF(Q90="走","走",IF(Q90="半黑","半红","红"))))))</f>
        <v/>
      </c>
      <c r="V90" s="48">
        <f>IF(OR(U90="",U90="待结算"),"",IF(L90=LEFT(F90,FIND(" vs ",F90)-1),I90,G90))</f>
        <v/>
      </c>
      <c r="W90" s="48">
        <f>IF(OR(U90="",U90="待结算"),"",IF(U90="红",V90,IF(U90="半红",V90*0.5,IF(U90="走",0,IF(U90="半黑",-0.5,-1)))))</f>
        <v/>
      </c>
      <c r="X90" s="14" t="inlineStr">
        <is>
          <t>3086193</t>
        </is>
      </c>
      <c r="Y90" s="14" t="inlineStr">
        <is>
          <t>V4</t>
        </is>
      </c>
      <c r="Z90" s="14" t="inlineStr">
        <is>
          <t>prior-2026-10-03-v1</t>
        </is>
      </c>
      <c r="AA90" s="14" t="inlineStr">
        <is>
          <t>C</t>
        </is>
      </c>
      <c r="AB90" s="14" t="n">
        <v>0.5383522195708779</v>
      </c>
      <c r="AC90" s="14" t="n">
        <v>0</v>
      </c>
      <c r="AD90" s="14" t="n">
        <v>0</v>
      </c>
      <c r="AE90" s="14" t="n">
        <v>0</v>
      </c>
      <c r="AF90" s="14" t="n">
        <v>0.4616477804291221</v>
      </c>
      <c r="AG90" s="14" t="n">
        <v>0.05517035035892059</v>
      </c>
      <c r="AH90" s="14" t="n"/>
      <c r="AI90" s="14" t="n"/>
      <c r="AJ90" s="14" t="n">
        <v>0.05517035035892059</v>
      </c>
      <c r="AK90" s="14" t="n"/>
      <c r="AL90" s="14" t="n"/>
      <c r="AM90" s="14" t="n"/>
      <c r="AN90" s="14" t="inlineStr">
        <is>
          <t>EVALUATED</t>
        </is>
      </c>
      <c r="AO90" s="14" t="inlineStr">
        <is>
          <t>GIVING_VALIDATED_EDGE;BUCKET_PRIOR_ONLY;INTENT_INTERPRETATION_ONLY;EXPERT_MARKET</t>
        </is>
      </c>
      <c r="AP90" s="14" t="inlineStr">
        <is>
          <t>e389154d0bb79118accb</t>
        </is>
      </c>
      <c r="AQ90" s="14" t="n">
        <v>-1.5</v>
      </c>
      <c r="AR90" s="14" t="n">
        <v>0.96</v>
      </c>
      <c r="AS90" s="14" t="n">
        <v>-1.5</v>
      </c>
      <c r="AT90" s="14" t="n">
        <v>1.5</v>
      </c>
      <c r="AU90" s="14" t="n">
        <v>0.96</v>
      </c>
      <c r="AV90" s="14" t="n">
        <v>0.74</v>
      </c>
      <c r="AW90" s="14" t="inlineStr">
        <is>
          <t>2026-10-03T09:27:07.620845+08:00</t>
        </is>
      </c>
      <c r="AX90" s="14" t="inlineStr">
        <is>
          <t>Titan007 Next</t>
        </is>
      </c>
      <c r="AY90" s="14" t="inlineStr">
        <is>
          <t>V4 Shadow Only；real_money=false；新增冻结记录</t>
        </is>
      </c>
    </row>
    <row r="91" ht="22" customHeight="1" s="39">
      <c r="A91" s="14" t="inlineStr">
        <is>
          <t>2026-10-03</t>
        </is>
      </c>
      <c r="B91" s="14" t="inlineStr">
        <is>
          <t>2026-10-03 20:00:00</t>
        </is>
      </c>
      <c r="C91" s="14" t="inlineStr">
        <is>
          <t>CLUB_LEAGUE</t>
        </is>
      </c>
      <c r="D91" s="14" t="inlineStr">
        <is>
          <t>联赛</t>
        </is>
      </c>
      <c r="E91" s="14" t="inlineStr">
        <is>
          <t>印尼甲</t>
        </is>
      </c>
      <c r="F91" s="14" t="inlineStr">
        <is>
          <t>三宝珑 vs 普特拉锡纳</t>
        </is>
      </c>
      <c r="G91" s="26" t="n">
        <v>0.9399999999999999</v>
      </c>
      <c r="H91" s="26" t="n">
        <v>-1.25</v>
      </c>
      <c r="I91" s="26" t="n">
        <v>0.76</v>
      </c>
      <c r="J91" s="26" t="inlineStr">
        <is>
          <t>0.94/-1.25/0.76</t>
        </is>
      </c>
      <c r="K91" s="14" t="inlineStr">
        <is>
          <t>V4-B｜EV 0.11027979789606288</t>
        </is>
      </c>
      <c r="L91" s="14" t="inlineStr">
        <is>
          <t>三宝珑</t>
        </is>
      </c>
      <c r="M91" s="47" t="n">
        <v>0.5079645059446346</v>
      </c>
      <c r="N91" s="14" t="inlineStr">
        <is>
          <t>V4纸面入选-B</t>
        </is>
      </c>
      <c r="O91" s="14" t="inlineStr">
        <is>
          <t>1-0</t>
        </is>
      </c>
      <c r="P91" s="14" t="inlineStr">
        <is>
          <t>已结算</t>
        </is>
      </c>
      <c r="Q91" s="14" t="inlineStr">
        <is>
          <t>半黑</t>
        </is>
      </c>
      <c r="R91" s="48" t="n">
        <v>0.9399999999999999</v>
      </c>
      <c r="S91" s="48">
        <f>IF(OR(Q91="",Q91="待结算"),"",IF(Q91="红",R91,IF(Q91="半红",R91*0.5,IF(Q91="走",0,IF(Q91="半黑",-0.5,-1)))))</f>
        <v/>
      </c>
      <c r="T91" s="14" t="inlineStr">
        <is>
          <t>D:\codex\v3_legacy\outputs\football_odds_trader\raw\titan007\20261004\20261004_084919_titan007_odds_snapshot.csv</t>
        </is>
      </c>
      <c r="U91" s="14">
        <f>IF(Q91="","",IF(Q91="待结算","待结算",IF(Q91="红","黑",IF(Q91="半红","半黑",IF(Q91="走","走",IF(Q91="半黑","半红","红"))))))</f>
        <v/>
      </c>
      <c r="V91" s="48">
        <f>IF(OR(U91="",U91="待结算"),"",IF(L91=LEFT(F91,FIND(" vs ",F91)-1),I91,G91))</f>
        <v/>
      </c>
      <c r="W91" s="48">
        <f>IF(OR(U91="",U91="待结算"),"",IF(U91="红",V91,IF(U91="半红",V91*0.5,IF(U91="走",0,IF(U91="半黑",-0.5,-1)))))</f>
        <v/>
      </c>
      <c r="X91" s="14" t="inlineStr">
        <is>
          <t>3086194</t>
        </is>
      </c>
      <c r="Y91" s="14" t="inlineStr">
        <is>
          <t>V4</t>
        </is>
      </c>
      <c r="Z91" s="14" t="inlineStr">
        <is>
          <t>prior-2026-10-03-v1</t>
        </is>
      </c>
      <c r="AA91" s="14" t="inlineStr">
        <is>
          <t>B</t>
        </is>
      </c>
      <c r="AB91" s="14" t="n">
        <v>0.5079645059446346</v>
      </c>
      <c r="AC91" s="14" t="n">
        <v>0</v>
      </c>
      <c r="AD91" s="14" t="n">
        <v>0</v>
      </c>
      <c r="AE91" s="14" t="n">
        <v>0.2496573127269437</v>
      </c>
      <c r="AF91" s="14" t="n">
        <v>0.2423781813284217</v>
      </c>
      <c r="AG91" s="14" t="n">
        <v>0.1102797978960629</v>
      </c>
      <c r="AH91" s="14" t="n"/>
      <c r="AI91" s="14" t="n"/>
      <c r="AJ91" s="14" t="n">
        <v>0.1102797978960629</v>
      </c>
      <c r="AK91" s="14" t="n"/>
      <c r="AL91" s="14" t="n"/>
      <c r="AM91" s="14" t="n"/>
      <c r="AN91" s="14" t="inlineStr">
        <is>
          <t>EVALUATED</t>
        </is>
      </c>
      <c r="AO91" s="14" t="inlineStr">
        <is>
          <t>GIVING_VALIDATED_EDGE;BUCKET_PRIOR_ONLY;INTENT_INTERPRETATION_ONLY;EXPERT_MARKET</t>
        </is>
      </c>
      <c r="AP91" s="14" t="inlineStr">
        <is>
          <t>381565691266c3caac1f</t>
        </is>
      </c>
      <c r="AQ91" s="14" t="n">
        <v>-1.25</v>
      </c>
      <c r="AR91" s="14" t="n">
        <v>0.9399999999999999</v>
      </c>
      <c r="AS91" s="14" t="n">
        <v>-1.25</v>
      </c>
      <c r="AT91" s="14" t="n">
        <v>1.25</v>
      </c>
      <c r="AU91" s="14" t="n">
        <v>0.9399999999999999</v>
      </c>
      <c r="AV91" s="14" t="n">
        <v>0.76</v>
      </c>
      <c r="AW91" s="14" t="inlineStr">
        <is>
          <t>2026-10-03T09:27:07.620845+08:00</t>
        </is>
      </c>
      <c r="AX91" s="14" t="inlineStr">
        <is>
          <t>Titan007 Next</t>
        </is>
      </c>
      <c r="AY91" s="14" t="inlineStr">
        <is>
          <t>V4 Shadow Only；real_money=false；新增冻结记录</t>
        </is>
      </c>
    </row>
    <row r="92" ht="22" customHeight="1" s="39">
      <c r="A92" s="14" t="inlineStr">
        <is>
          <t>2026-10-03</t>
        </is>
      </c>
      <c r="B92" s="14" t="inlineStr">
        <is>
          <t>2026-10-03 20:00:00</t>
        </is>
      </c>
      <c r="C92" s="14" t="inlineStr">
        <is>
          <t>CLUB_LEAGUE</t>
        </is>
      </c>
      <c r="D92" s="14" t="inlineStr">
        <is>
          <t>联赛</t>
        </is>
      </c>
      <c r="E92" s="14" t="inlineStr">
        <is>
          <t>印尼甲</t>
        </is>
      </c>
      <c r="F92" s="14" t="inlineStr">
        <is>
          <t>伯希索罗 vs 北干巴鲁龙卷风</t>
        </is>
      </c>
      <c r="G92" s="26" t="n">
        <v>0.76</v>
      </c>
      <c r="H92" s="26" t="n">
        <v>-0.5</v>
      </c>
      <c r="I92" s="26" t="n">
        <v>0.9399999999999999</v>
      </c>
      <c r="J92" s="26" t="inlineStr">
        <is>
          <t>0.76/-0.5/0.94</t>
        </is>
      </c>
      <c r="K92" s="14" t="inlineStr">
        <is>
          <t>V4-C｜EV 0.05602155469976344</t>
        </is>
      </c>
      <c r="L92" s="14" t="inlineStr">
        <is>
          <t>伯希索罗</t>
        </is>
      </c>
      <c r="M92" s="47" t="n">
        <v>0.600012246988502</v>
      </c>
      <c r="N92" s="14" t="inlineStr">
        <is>
          <t>V4纸面入选-C</t>
        </is>
      </c>
      <c r="O92" s="14" t="inlineStr">
        <is>
          <t>0-2</t>
        </is>
      </c>
      <c r="P92" s="14" t="inlineStr">
        <is>
          <t>已结算</t>
        </is>
      </c>
      <c r="Q92" s="14" t="inlineStr">
        <is>
          <t>黑</t>
        </is>
      </c>
      <c r="R92" s="48" t="n">
        <v>0.76</v>
      </c>
      <c r="S92" s="48">
        <f>IF(OR(Q92="",Q92="待结算"),"",IF(Q92="红",R92,IF(Q92="半红",R92*0.5,IF(Q92="走",0,IF(Q92="半黑",-0.5,-1)))))</f>
        <v/>
      </c>
      <c r="T92" s="14" t="inlineStr">
        <is>
          <t>D:\codex\v3_legacy\outputs\football_odds_trader\raw\titan007\20261004\20261004_084919_titan007_odds_snapshot.csv</t>
        </is>
      </c>
      <c r="U92" s="14">
        <f>IF(Q92="","",IF(Q92="待结算","待结算",IF(Q92="红","黑",IF(Q92="半红","半黑",IF(Q92="走","走",IF(Q92="半黑","半红","红"))))))</f>
        <v/>
      </c>
      <c r="V92" s="48">
        <f>IF(OR(U92="",U92="待结算"),"",IF(L92=LEFT(F92,FIND(" vs ",F92)-1),I92,G92))</f>
        <v/>
      </c>
      <c r="W92" s="48">
        <f>IF(OR(U92="",U92="待结算"),"",IF(U92="红",V92,IF(U92="半红",V92*0.5,IF(U92="走",0,IF(U92="半黑",-0.5,-1)))))</f>
        <v/>
      </c>
      <c r="X92" s="14" t="inlineStr">
        <is>
          <t>3086195</t>
        </is>
      </c>
      <c r="Y92" s="14" t="inlineStr">
        <is>
          <t>V4</t>
        </is>
      </c>
      <c r="Z92" s="14" t="inlineStr">
        <is>
          <t>prior-2026-10-03-v1</t>
        </is>
      </c>
      <c r="AA92" s="14" t="inlineStr">
        <is>
          <t>C</t>
        </is>
      </c>
      <c r="AB92" s="14" t="n">
        <v>0.600012246988502</v>
      </c>
      <c r="AC92" s="14" t="n">
        <v>0</v>
      </c>
      <c r="AD92" s="14" t="n">
        <v>0</v>
      </c>
      <c r="AE92" s="14" t="n">
        <v>0</v>
      </c>
      <c r="AF92" s="14" t="n">
        <v>0.3999877530114981</v>
      </c>
      <c r="AG92" s="14" t="n">
        <v>0.05602155469976344</v>
      </c>
      <c r="AH92" s="14" t="n"/>
      <c r="AI92" s="14" t="n"/>
      <c r="AJ92" s="14" t="n">
        <v>0.05602155469976344</v>
      </c>
      <c r="AK92" s="14" t="n"/>
      <c r="AL92" s="14" t="n"/>
      <c r="AM92" s="14" t="n"/>
      <c r="AN92" s="14" t="inlineStr">
        <is>
          <t>EVALUATED</t>
        </is>
      </c>
      <c r="AO92" s="14" t="inlineStr">
        <is>
          <t>GIVING_VALIDATED_EDGE;BUCKET_PRIOR_ONLY;INTENT_INTERPRETATION_ONLY;EXPERT_MARKET</t>
        </is>
      </c>
      <c r="AP92" s="14" t="inlineStr">
        <is>
          <t>bee7f68bd61e82edb2d1</t>
        </is>
      </c>
      <c r="AQ92" s="14" t="n">
        <v>-0.5</v>
      </c>
      <c r="AR92" s="14" t="n">
        <v>0.76</v>
      </c>
      <c r="AS92" s="14" t="n">
        <v>-0.5</v>
      </c>
      <c r="AT92" s="14" t="n">
        <v>0.5</v>
      </c>
      <c r="AU92" s="14" t="n">
        <v>0.76</v>
      </c>
      <c r="AV92" s="14" t="n">
        <v>0.9399999999999999</v>
      </c>
      <c r="AW92" s="14" t="inlineStr">
        <is>
          <t>2026-10-03T09:27:07.620845+08:00</t>
        </is>
      </c>
      <c r="AX92" s="14" t="inlineStr">
        <is>
          <t>Titan007 Next</t>
        </is>
      </c>
      <c r="AY92" s="14" t="inlineStr">
        <is>
          <t>V4 Shadow Only；real_money=false；新增冻结记录</t>
        </is>
      </c>
    </row>
    <row r="93" ht="22" customHeight="1" s="39">
      <c r="A93" s="14" t="inlineStr">
        <is>
          <t>2026-10-03</t>
        </is>
      </c>
      <c r="B93" s="14" t="inlineStr">
        <is>
          <t>2026-10-03 20:30:00</t>
        </is>
      </c>
      <c r="C93" s="14" t="inlineStr">
        <is>
          <t>CLUB_LEAGUE</t>
        </is>
      </c>
      <c r="D93" s="14" t="inlineStr">
        <is>
          <t>联赛</t>
        </is>
      </c>
      <c r="E93" s="14" t="inlineStr">
        <is>
          <t>意丙</t>
        </is>
      </c>
      <c r="F93" s="14" t="inlineStr">
        <is>
          <t>奇塔代拉 vs 阿尔比诺勒菲</t>
        </is>
      </c>
      <c r="G93" s="26" t="n">
        <v>0.75</v>
      </c>
      <c r="H93" s="26" t="n">
        <v>-0.75</v>
      </c>
      <c r="I93" s="26" t="n">
        <v>0.95</v>
      </c>
      <c r="J93" s="26" t="inlineStr">
        <is>
          <t>0.75/-0.75/0.95</t>
        </is>
      </c>
      <c r="K93" s="14" t="inlineStr">
        <is>
          <t>V4-B｜EV 0.0759997984787063</t>
        </is>
      </c>
      <c r="L93" s="14" t="inlineStr">
        <is>
          <t>奇塔代拉</t>
        </is>
      </c>
      <c r="M93" s="47" t="n">
        <v>0.5412164055931927</v>
      </c>
      <c r="N93" s="14" t="inlineStr">
        <is>
          <t>V4纸面入选-B</t>
        </is>
      </c>
      <c r="O93" s="14" t="inlineStr">
        <is>
          <t>1-2</t>
        </is>
      </c>
      <c r="P93" s="14" t="inlineStr">
        <is>
          <t>已结算</t>
        </is>
      </c>
      <c r="Q93" s="14" t="inlineStr">
        <is>
          <t>黑</t>
        </is>
      </c>
      <c r="R93" s="48" t="n">
        <v>0.75</v>
      </c>
      <c r="S93" s="48">
        <f>IF(OR(Q93="",Q93="待结算"),"",IF(Q93="红",R93,IF(Q93="半红",R93*0.5,IF(Q93="走",0,IF(Q93="半黑",-0.5,-1)))))</f>
        <v/>
      </c>
      <c r="T93" s="14" t="inlineStr">
        <is>
          <t>D:\codex\v3_legacy\outputs\football_odds_trader\raw\titan007\20261004\20261004_084919_titan007_odds_snapshot.csv</t>
        </is>
      </c>
      <c r="U93" s="14">
        <f>IF(Q93="","",IF(Q93="待结算","待结算",IF(Q93="红","黑",IF(Q93="半红","半黑",IF(Q93="走","走",IF(Q93="半黑","半红","红"))))))</f>
        <v/>
      </c>
      <c r="V93" s="48">
        <f>IF(OR(U93="",U93="待结算"),"",IF(L93=LEFT(F93,FIND(" vs ",F93)-1),I93,G93))</f>
        <v/>
      </c>
      <c r="W93" s="48">
        <f>IF(OR(U93="",U93="待结算"),"",IF(U93="红",V93,IF(U93="半红",V93*0.5,IF(U93="走",0,IF(U93="半黑",-0.5,-1)))))</f>
        <v/>
      </c>
      <c r="X93" s="14" t="inlineStr">
        <is>
          <t>3050573</t>
        </is>
      </c>
      <c r="Y93" s="14" t="inlineStr">
        <is>
          <t>V4</t>
        </is>
      </c>
      <c r="Z93" s="14" t="inlineStr">
        <is>
          <t>prior-2026-10-03-v1</t>
        </is>
      </c>
      <c r="AA93" s="14" t="inlineStr">
        <is>
          <t>B</t>
        </is>
      </c>
      <c r="AB93" s="14" t="n">
        <v>0.4123453169025736</v>
      </c>
      <c r="AC93" s="14" t="n">
        <v>0.2577421773812381</v>
      </c>
      <c r="AD93" s="14" t="n">
        <v>0</v>
      </c>
      <c r="AE93" s="14" t="n">
        <v>0</v>
      </c>
      <c r="AF93" s="14" t="n">
        <v>0.3299125057161882</v>
      </c>
      <c r="AG93" s="14" t="n">
        <v>0.0759997984787063</v>
      </c>
      <c r="AH93" s="14" t="n"/>
      <c r="AI93" s="14" t="n"/>
      <c r="AJ93" s="14" t="n">
        <v>0.0759997984787063</v>
      </c>
      <c r="AK93" s="14" t="n"/>
      <c r="AL93" s="14" t="n"/>
      <c r="AM93" s="14" t="n"/>
      <c r="AN93" s="14" t="inlineStr">
        <is>
          <t>EVALUATED</t>
        </is>
      </c>
      <c r="AO93" s="14" t="inlineStr">
        <is>
          <t>GIVING_VALIDATED_EDGE;BUCKET_PRIOR_ONLY;INTENT_INTERPRETATION_ONLY;EXPERT_MARKET</t>
        </is>
      </c>
      <c r="AP93" s="14" t="inlineStr">
        <is>
          <t>1c708105f1eb806486bd</t>
        </is>
      </c>
      <c r="AQ93" s="14" t="n">
        <v>-0.75</v>
      </c>
      <c r="AR93" s="14" t="n">
        <v>0.75</v>
      </c>
      <c r="AS93" s="14" t="n">
        <v>-0.75</v>
      </c>
      <c r="AT93" s="14" t="n">
        <v>0.75</v>
      </c>
      <c r="AU93" s="14" t="n">
        <v>0.75</v>
      </c>
      <c r="AV93" s="14" t="n">
        <v>0.95</v>
      </c>
      <c r="AW93" s="14" t="inlineStr">
        <is>
          <t>2026-10-03T09:27:07.620845+08:00</t>
        </is>
      </c>
      <c r="AX93" s="14" t="inlineStr">
        <is>
          <t>Titan007 Next</t>
        </is>
      </c>
      <c r="AY93" s="14" t="inlineStr">
        <is>
          <t>V4 Shadow Only；real_money=false；新增冻结记录</t>
        </is>
      </c>
    </row>
    <row r="94" ht="22" customHeight="1" s="39">
      <c r="A94" s="14" t="inlineStr">
        <is>
          <t>2026-10-03</t>
        </is>
      </c>
      <c r="B94" s="14" t="inlineStr">
        <is>
          <t>2026-10-03 21:00:00</t>
        </is>
      </c>
      <c r="C94" s="14" t="inlineStr">
        <is>
          <t>NATIONAL_OFFICIAL</t>
        </is>
      </c>
      <c r="D94" s="14" t="inlineStr">
        <is>
          <t>联赛</t>
        </is>
      </c>
      <c r="E94" s="14" t="inlineStr">
        <is>
          <t>欧国联</t>
        </is>
      </c>
      <c r="F94" s="14" t="inlineStr">
        <is>
          <t>芬兰 vs 阿尔巴尼亚</t>
        </is>
      </c>
      <c r="G94" s="26" t="n">
        <v>1.07</v>
      </c>
      <c r="H94" s="26" t="n">
        <v>-0.25</v>
      </c>
      <c r="I94" s="26" t="n">
        <v>0.8100000000000001</v>
      </c>
      <c r="J94" s="26" t="inlineStr">
        <is>
          <t>1.07/-0.25/0.81</t>
        </is>
      </c>
      <c r="K94" s="14" t="inlineStr">
        <is>
          <t>V4-C｜EV 0.06576240829364294</t>
        </is>
      </c>
      <c r="L94" s="14" t="inlineStr">
        <is>
          <t>芬兰</t>
        </is>
      </c>
      <c r="M94" s="47" t="n">
        <v>0.4519920360969518</v>
      </c>
      <c r="N94" s="14" t="inlineStr">
        <is>
          <t>V4纸面入选-C</t>
        </is>
      </c>
      <c r="O94" s="14" t="inlineStr">
        <is>
          <t>2-1</t>
        </is>
      </c>
      <c r="P94" s="14" t="inlineStr">
        <is>
          <t>已结算</t>
        </is>
      </c>
      <c r="Q94" s="14" t="inlineStr">
        <is>
          <t>红</t>
        </is>
      </c>
      <c r="R94" s="48" t="n">
        <v>1.07</v>
      </c>
      <c r="S94" s="48">
        <f>IF(OR(Q94="",Q94="待结算"),"",IF(Q94="红",R94,IF(Q94="半红",R94*0.5,IF(Q94="走",0,IF(Q94="半黑",-0.5,-1)))))</f>
        <v/>
      </c>
      <c r="T94" s="14" t="inlineStr">
        <is>
          <t>D:\codex\v3_legacy\outputs\football_odds_trader\raw\titan007\20261004\20261004_084919_titan007_odds_snapshot.csv</t>
        </is>
      </c>
      <c r="U94" s="14">
        <f>IF(Q94="","",IF(Q94="待结算","待结算",IF(Q94="红","黑",IF(Q94="半红","半黑",IF(Q94="走","走",IF(Q94="半黑","半红","红"))))))</f>
        <v/>
      </c>
      <c r="V94" s="48">
        <f>IF(OR(U94="",U94="待结算"),"",IF(L94=LEFT(F94,FIND(" vs ",F94)-1),I94,G94))</f>
        <v/>
      </c>
      <c r="W94" s="48">
        <f>IF(OR(U94="",U94="待结算"),"",IF(U94="红",V94,IF(U94="半红",V94*0.5,IF(U94="走",0,IF(U94="半黑",-0.5,-1)))))</f>
        <v/>
      </c>
      <c r="X94" s="14" t="inlineStr">
        <is>
          <t>2981543</t>
        </is>
      </c>
      <c r="Y94" s="14" t="inlineStr">
        <is>
          <t>V4</t>
        </is>
      </c>
      <c r="Z94" s="14" t="inlineStr">
        <is>
          <t>prior-2026-10-03-v1</t>
        </is>
      </c>
      <c r="AA94" s="14" t="inlineStr">
        <is>
          <t>C</t>
        </is>
      </c>
      <c r="AB94" s="14" t="n">
        <v>0.4519920360969518</v>
      </c>
      <c r="AC94" s="14" t="n">
        <v>0</v>
      </c>
      <c r="AD94" s="14" t="n">
        <v>0</v>
      </c>
      <c r="AE94" s="14" t="n">
        <v>0.2602777871459054</v>
      </c>
      <c r="AF94" s="14" t="n">
        <v>0.2877301767571428</v>
      </c>
      <c r="AG94" s="14" t="n">
        <v>0.06576240829364294</v>
      </c>
      <c r="AH94" s="14" t="n"/>
      <c r="AI94" s="14" t="n"/>
      <c r="AJ94" s="14" t="n">
        <v>0.06576240829364294</v>
      </c>
      <c r="AK94" s="14" t="n"/>
      <c r="AL94" s="14" t="n"/>
      <c r="AM94" s="14" t="n"/>
      <c r="AN94" s="14" t="inlineStr">
        <is>
          <t>EVALUATED</t>
        </is>
      </c>
      <c r="AO94" s="14" t="inlineStr">
        <is>
          <t>GIVING_VALIDATED_EDGE;BUCKET_PRIOR_ONLY;INTENT_INTERPRETATION_ONLY;EXPERT_MARKET</t>
        </is>
      </c>
      <c r="AP94" s="14" t="inlineStr">
        <is>
          <t>54ab56ab81fb9affa4f7</t>
        </is>
      </c>
      <c r="AQ94" s="14" t="n">
        <v>-0.25</v>
      </c>
      <c r="AR94" s="14" t="n">
        <v>1.07</v>
      </c>
      <c r="AS94" s="14" t="n">
        <v>-0.25</v>
      </c>
      <c r="AT94" s="14" t="n">
        <v>0.25</v>
      </c>
      <c r="AU94" s="14" t="n">
        <v>1.07</v>
      </c>
      <c r="AV94" s="14" t="n">
        <v>0.8100000000000001</v>
      </c>
      <c r="AW94" s="14" t="inlineStr">
        <is>
          <t>2026-10-03T09:27:07.620845+08:00</t>
        </is>
      </c>
      <c r="AX94" s="14" t="inlineStr">
        <is>
          <t>Titan007 Next</t>
        </is>
      </c>
      <c r="AY94" s="14" t="inlineStr">
        <is>
          <t>V4 Shadow Only；real_money=false；新增冻结记录</t>
        </is>
      </c>
    </row>
    <row r="95" ht="22" customHeight="1" s="39">
      <c r="A95" s="14" t="inlineStr">
        <is>
          <t>2026-10-03</t>
        </is>
      </c>
      <c r="B95" s="14" t="inlineStr">
        <is>
          <t>2026-10-03 21:00:00</t>
        </is>
      </c>
      <c r="C95" s="14" t="inlineStr">
        <is>
          <t>CLUB_LEAGUE</t>
        </is>
      </c>
      <c r="D95" s="14" t="inlineStr">
        <is>
          <t>联赛</t>
        </is>
      </c>
      <c r="E95" s="14" t="inlineStr">
        <is>
          <t>挪乙</t>
        </is>
      </c>
      <c r="F95" s="14" t="inlineStr">
        <is>
          <t>哈尔登 vs 比查格</t>
        </is>
      </c>
      <c r="G95" s="26" t="n">
        <v>0.86</v>
      </c>
      <c r="H95" s="26" t="n">
        <v>-0.5</v>
      </c>
      <c r="I95" s="26" t="n">
        <v>0.84</v>
      </c>
      <c r="J95" s="26" t="inlineStr">
        <is>
          <t>0.86/-0.5/0.84</t>
        </is>
      </c>
      <c r="K95" s="14" t="inlineStr">
        <is>
          <t>V4-B｜EV 0.07211215481106964</t>
        </is>
      </c>
      <c r="L95" s="14" t="inlineStr">
        <is>
          <t>比查格</t>
        </is>
      </c>
      <c r="M95" s="47" t="n">
        <v>0.5826696493538422</v>
      </c>
      <c r="N95" s="14" t="inlineStr">
        <is>
          <t>V4纸面入选-B</t>
        </is>
      </c>
      <c r="O95" s="14" t="inlineStr">
        <is>
          <t>2-3</t>
        </is>
      </c>
      <c r="P95" s="14" t="inlineStr">
        <is>
          <t>已结算</t>
        </is>
      </c>
      <c r="Q95" s="14" t="inlineStr">
        <is>
          <t>红</t>
        </is>
      </c>
      <c r="R95" s="48" t="n">
        <v>0.84</v>
      </c>
      <c r="S95" s="48">
        <f>IF(OR(Q95="",Q95="待结算"),"",IF(Q95="红",R95,IF(Q95="半红",R95*0.5,IF(Q95="走",0,IF(Q95="半黑",-0.5,-1)))))</f>
        <v/>
      </c>
      <c r="T95" s="14" t="inlineStr">
        <is>
          <t>D:\codex\v3_legacy\outputs\football_odds_trader\raw\titan007\20261004\20261004_084919_titan007_odds_snapshot.csv</t>
        </is>
      </c>
      <c r="U95" s="14">
        <f>IF(Q95="","",IF(Q95="待结算","待结算",IF(Q95="红","黑",IF(Q95="半红","半黑",IF(Q95="走","走",IF(Q95="半黑","半红","红"))))))</f>
        <v/>
      </c>
      <c r="V95" s="48">
        <f>IF(OR(U95="",U95="待结算"),"",IF(L95=LEFT(F95,FIND(" vs ",F95)-1),I95,G95))</f>
        <v/>
      </c>
      <c r="W95" s="48">
        <f>IF(OR(U95="",U95="待结算"),"",IF(U95="红",V95,IF(U95="半红",V95*0.5,IF(U95="走",0,IF(U95="半黑",-0.5,-1)))))</f>
        <v/>
      </c>
      <c r="X95" s="14" t="inlineStr">
        <is>
          <t>2913358</t>
        </is>
      </c>
      <c r="Y95" s="14" t="inlineStr">
        <is>
          <t>V4</t>
        </is>
      </c>
      <c r="Z95" s="14" t="inlineStr">
        <is>
          <t>prior-2026-10-03-v1</t>
        </is>
      </c>
      <c r="AA95" s="14" t="inlineStr">
        <is>
          <t>B</t>
        </is>
      </c>
      <c r="AB95" s="14" t="n">
        <v>0.5826696493538422</v>
      </c>
      <c r="AC95" s="14" t="n">
        <v>0</v>
      </c>
      <c r="AD95" s="14" t="n">
        <v>0</v>
      </c>
      <c r="AE95" s="14" t="n">
        <v>0</v>
      </c>
      <c r="AF95" s="14" t="n">
        <v>0.4173303506461578</v>
      </c>
      <c r="AG95" s="14" t="n">
        <v>0.07211215481106964</v>
      </c>
      <c r="AH95" s="14" t="n"/>
      <c r="AI95" s="14" t="n"/>
      <c r="AJ95" s="14" t="n">
        <v>0.07211215481106964</v>
      </c>
      <c r="AK95" s="14" t="n"/>
      <c r="AL95" s="14" t="n"/>
      <c r="AM95" s="14" t="n"/>
      <c r="AN95" s="14" t="inlineStr">
        <is>
          <t>EVALUATED</t>
        </is>
      </c>
      <c r="AO95" s="14" t="inlineStr">
        <is>
          <t>GIVING_VALIDATED_EDGE;BUCKET_PRIOR_ONLY;INTENT_INTERPRETATION_ONLY;EXPERT_MARKET</t>
        </is>
      </c>
      <c r="AP95" s="14" t="inlineStr">
        <is>
          <t>39360b1c525c49383361</t>
        </is>
      </c>
      <c r="AQ95" s="14" t="n">
        <v>-0.5</v>
      </c>
      <c r="AR95" s="14" t="n">
        <v>0.84</v>
      </c>
      <c r="AS95" s="14" t="n">
        <v>-0.5</v>
      </c>
      <c r="AT95" s="14" t="n">
        <v>0.5</v>
      </c>
      <c r="AU95" s="14" t="n">
        <v>0.84</v>
      </c>
      <c r="AV95" s="14" t="n">
        <v>0.86</v>
      </c>
      <c r="AW95" s="14" t="inlineStr">
        <is>
          <t>2026-10-03T09:27:07.620845+08:00</t>
        </is>
      </c>
      <c r="AX95" s="14" t="inlineStr">
        <is>
          <t>Titan007 Next</t>
        </is>
      </c>
      <c r="AY95" s="14" t="inlineStr">
        <is>
          <t>V4 Shadow Only；real_money=false；新增冻结记录</t>
        </is>
      </c>
    </row>
    <row r="96" ht="22" customHeight="1" s="39">
      <c r="A96" s="14" t="inlineStr">
        <is>
          <t>2026-10-03</t>
        </is>
      </c>
      <c r="B96" s="14" t="inlineStr">
        <is>
          <t>2026-10-03 21:00:00</t>
        </is>
      </c>
      <c r="C96" s="14" t="inlineStr">
        <is>
          <t>CLUB_LEAGUE</t>
        </is>
      </c>
      <c r="D96" s="14" t="inlineStr">
        <is>
          <t>联赛</t>
        </is>
      </c>
      <c r="E96" s="14" t="inlineStr">
        <is>
          <t>挪乙</t>
        </is>
      </c>
      <c r="F96" s="14" t="inlineStr">
        <is>
          <t>诺托登 vs EIK通斯堡</t>
        </is>
      </c>
      <c r="G96" s="26" t="n">
        <v>0.86</v>
      </c>
      <c r="H96" s="26" t="n">
        <v>-1.25</v>
      </c>
      <c r="I96" s="26" t="n">
        <v>0.84</v>
      </c>
      <c r="J96" s="26" t="inlineStr">
        <is>
          <t>0.86/-1.25/0.84</t>
        </is>
      </c>
      <c r="K96" s="14" t="inlineStr">
        <is>
          <t>V4-C｜EV 0.05721119755575102</t>
        </is>
      </c>
      <c r="L96" s="14" t="inlineStr">
        <is>
          <t>诺托登</t>
        </is>
      </c>
      <c r="M96" s="47" t="n">
        <v>0.5014557834824723</v>
      </c>
      <c r="N96" s="14" t="inlineStr">
        <is>
          <t>V4纸面入选-C</t>
        </is>
      </c>
      <c r="O96" s="14" t="inlineStr">
        <is>
          <t>1-3</t>
        </is>
      </c>
      <c r="P96" s="14" t="inlineStr">
        <is>
          <t>已结算</t>
        </is>
      </c>
      <c r="Q96" s="14" t="inlineStr">
        <is>
          <t>黑</t>
        </is>
      </c>
      <c r="R96" s="48" t="n">
        <v>0.86</v>
      </c>
      <c r="S96" s="48">
        <f>IF(OR(Q96="",Q96="待结算"),"",IF(Q96="红",R96,IF(Q96="半红",R96*0.5,IF(Q96="走",0,IF(Q96="半黑",-0.5,-1)))))</f>
        <v/>
      </c>
      <c r="T96" s="14" t="inlineStr">
        <is>
          <t>D:\codex\v3_legacy\outputs\football_odds_trader\raw\titan007\20261004\20261004_084919_titan007_odds_snapshot.csv</t>
        </is>
      </c>
      <c r="U96" s="14">
        <f>IF(Q96="","",IF(Q96="待结算","待结算",IF(Q96="红","黑",IF(Q96="半红","半黑",IF(Q96="走","走",IF(Q96="半黑","半红","红"))))))</f>
        <v/>
      </c>
      <c r="V96" s="48">
        <f>IF(OR(U96="",U96="待结算"),"",IF(L96=LEFT(F96,FIND(" vs ",F96)-1),I96,G96))</f>
        <v/>
      </c>
      <c r="W96" s="48">
        <f>IF(OR(U96="",U96="待结算"),"",IF(U96="红",V96,IF(U96="半红",V96*0.5,IF(U96="走",0,IF(U96="半黑",-0.5,-1)))))</f>
        <v/>
      </c>
      <c r="X96" s="14" t="inlineStr">
        <is>
          <t>2913361</t>
        </is>
      </c>
      <c r="Y96" s="14" t="inlineStr">
        <is>
          <t>V4</t>
        </is>
      </c>
      <c r="Z96" s="14" t="inlineStr">
        <is>
          <t>prior-2026-10-03-v1</t>
        </is>
      </c>
      <c r="AA96" s="14" t="inlineStr">
        <is>
          <t>C</t>
        </is>
      </c>
      <c r="AB96" s="14" t="n">
        <v>0.5014557834824723</v>
      </c>
      <c r="AC96" s="14" t="n">
        <v>0</v>
      </c>
      <c r="AD96" s="14" t="n">
        <v>0</v>
      </c>
      <c r="AE96" s="14" t="n">
        <v>0.2490068805567052</v>
      </c>
      <c r="AF96" s="14" t="n">
        <v>0.2495373359608226</v>
      </c>
      <c r="AG96" s="14" t="n">
        <v>0.05721119755575102</v>
      </c>
      <c r="AH96" s="14" t="n"/>
      <c r="AI96" s="14" t="n"/>
      <c r="AJ96" s="14" t="n">
        <v>0.05721119755575102</v>
      </c>
      <c r="AK96" s="14" t="n"/>
      <c r="AL96" s="14" t="n"/>
      <c r="AM96" s="14" t="n"/>
      <c r="AN96" s="14" t="inlineStr">
        <is>
          <t>EVALUATED</t>
        </is>
      </c>
      <c r="AO96" s="14" t="inlineStr">
        <is>
          <t>GIVING_VALIDATED_EDGE;BUCKET_PRIOR_ONLY;INTENT_INTERPRETATION_ONLY;EXPERT_MARKET</t>
        </is>
      </c>
      <c r="AP96" s="14" t="inlineStr">
        <is>
          <t>be9edbbcf75a9c2ce6ff</t>
        </is>
      </c>
      <c r="AQ96" s="14" t="n">
        <v>-1.25</v>
      </c>
      <c r="AR96" s="14" t="n">
        <v>0.86</v>
      </c>
      <c r="AS96" s="14" t="n">
        <v>-1.25</v>
      </c>
      <c r="AT96" s="14" t="n">
        <v>1.25</v>
      </c>
      <c r="AU96" s="14" t="n">
        <v>0.86</v>
      </c>
      <c r="AV96" s="14" t="n">
        <v>0.84</v>
      </c>
      <c r="AW96" s="14" t="inlineStr">
        <is>
          <t>2026-10-03T09:27:07.620845+08:00</t>
        </is>
      </c>
      <c r="AX96" s="14" t="inlineStr">
        <is>
          <t>Titan007 Next</t>
        </is>
      </c>
      <c r="AY96" s="14" t="inlineStr">
        <is>
          <t>V4 Shadow Only；real_money=false；新增冻结记录</t>
        </is>
      </c>
    </row>
    <row r="97" ht="22" customHeight="1" s="39">
      <c r="A97" s="14" t="inlineStr">
        <is>
          <t>2026-10-03</t>
        </is>
      </c>
      <c r="B97" s="14" t="inlineStr">
        <is>
          <t>2026-10-03 21:55:00</t>
        </is>
      </c>
      <c r="C97" s="14" t="inlineStr">
        <is>
          <t>CLUB_LEAGUE</t>
        </is>
      </c>
      <c r="D97" s="14" t="inlineStr">
        <is>
          <t>联赛</t>
        </is>
      </c>
      <c r="E97" s="14" t="inlineStr">
        <is>
          <t>乌拉甲秋</t>
        </is>
      </c>
      <c r="F97" s="14" t="inlineStr">
        <is>
          <t>利物浦蒙特维多 vs 普罗格雷索俱乐部</t>
        </is>
      </c>
      <c r="G97" s="26" t="n">
        <v>0.85</v>
      </c>
      <c r="H97" s="26" t="n">
        <v>-0.75</v>
      </c>
      <c r="I97" s="26" t="n">
        <v>0.85</v>
      </c>
      <c r="J97" s="26" t="inlineStr">
        <is>
          <t>0.85/-0.75/0.85</t>
        </is>
      </c>
      <c r="K97" s="14" t="inlineStr">
        <is>
          <t>V4-B｜EV 0.0971583008984307</t>
        </is>
      </c>
      <c r="L97" s="14" t="inlineStr">
        <is>
          <t>利物浦蒙特维多</t>
        </is>
      </c>
      <c r="M97" s="47" t="n">
        <v>0.5236032931434427</v>
      </c>
      <c r="N97" s="14" t="inlineStr">
        <is>
          <t>V4纸面入选-B</t>
        </is>
      </c>
      <c r="O97" s="14" t="inlineStr">
        <is>
          <t>3-2</t>
        </is>
      </c>
      <c r="P97" s="14" t="inlineStr">
        <is>
          <t>已结算</t>
        </is>
      </c>
      <c r="Q97" s="14" t="inlineStr">
        <is>
          <t>半红</t>
        </is>
      </c>
      <c r="R97" s="48" t="n">
        <v>0.85</v>
      </c>
      <c r="S97" s="48">
        <f>IF(OR(Q97="",Q97="待结算"),"",IF(Q97="红",R97,IF(Q97="半红",R97*0.5,IF(Q97="走",0,IF(Q97="半黑",-0.5,-1)))))</f>
        <v/>
      </c>
      <c r="T97" s="14" t="inlineStr">
        <is>
          <t>D:\codex\v3_legacy\outputs\football_odds_trader\raw\titan007\20261004\20261004_084919_titan007_odds_snapshot.csv</t>
        </is>
      </c>
      <c r="U97" s="14">
        <f>IF(Q97="","",IF(Q97="待结算","待结算",IF(Q97="红","黑",IF(Q97="半红","半黑",IF(Q97="走","走",IF(Q97="半黑","半红","红"))))))</f>
        <v/>
      </c>
      <c r="V97" s="48">
        <f>IF(OR(U97="",U97="待结算"),"",IF(L97=LEFT(F97,FIND(" vs ",F97)-1),I97,G97))</f>
        <v/>
      </c>
      <c r="W97" s="48">
        <f>IF(OR(U97="",U97="待结算"),"",IF(U97="红",V97,IF(U97="半红",V97*0.5,IF(U97="走",0,IF(U97="半黑",-0.5,-1)))))</f>
        <v/>
      </c>
      <c r="X97" s="14" t="inlineStr">
        <is>
          <t>3094914</t>
        </is>
      </c>
      <c r="Y97" s="14" t="inlineStr">
        <is>
          <t>V4</t>
        </is>
      </c>
      <c r="Z97" s="14" t="inlineStr">
        <is>
          <t>prior-2026-10-03-v1</t>
        </is>
      </c>
      <c r="AA97" s="14" t="inlineStr">
        <is>
          <t>B</t>
        </is>
      </c>
      <c r="AB97" s="14" t="n">
        <v>0.3951110845603807</v>
      </c>
      <c r="AC97" s="14" t="n">
        <v>0.2569844171661239</v>
      </c>
      <c r="AD97" s="14" t="n">
        <v>0</v>
      </c>
      <c r="AE97" s="14" t="n">
        <v>0</v>
      </c>
      <c r="AF97" s="14" t="n">
        <v>0.3479044982734955</v>
      </c>
      <c r="AG97" s="14" t="n">
        <v>0.09715830089843069</v>
      </c>
      <c r="AH97" s="14" t="n"/>
      <c r="AI97" s="14" t="n"/>
      <c r="AJ97" s="14" t="n">
        <v>0.09715830089843069</v>
      </c>
      <c r="AK97" s="14" t="n"/>
      <c r="AL97" s="14" t="n"/>
      <c r="AM97" s="14" t="n"/>
      <c r="AN97" s="14" t="inlineStr">
        <is>
          <t>EVALUATED</t>
        </is>
      </c>
      <c r="AO97" s="14" t="inlineStr">
        <is>
          <t>GIVING_VALIDATED_EDGE;BUCKET_PRIOR_ONLY;INTENT_INTERPRETATION_ONLY;EXPERT_MARKET</t>
        </is>
      </c>
      <c r="AP97" s="14" t="inlineStr">
        <is>
          <t>32846353db41522ce2ad</t>
        </is>
      </c>
      <c r="AQ97" s="14" t="n">
        <v>-0.75</v>
      </c>
      <c r="AR97" s="14" t="n">
        <v>0.85</v>
      </c>
      <c r="AS97" s="14" t="n">
        <v>-0.75</v>
      </c>
      <c r="AT97" s="14" t="n">
        <v>0.75</v>
      </c>
      <c r="AU97" s="14" t="n">
        <v>0.85</v>
      </c>
      <c r="AV97" s="14" t="n">
        <v>0.85</v>
      </c>
      <c r="AW97" s="14" t="inlineStr">
        <is>
          <t>2026-10-03T09:27:07.620845+08:00</t>
        </is>
      </c>
      <c r="AX97" s="14" t="inlineStr">
        <is>
          <t>Titan007 Next</t>
        </is>
      </c>
      <c r="AY97" s="14" t="inlineStr">
        <is>
          <t>V4 Shadow Only；real_money=false；新增冻结记录</t>
        </is>
      </c>
    </row>
    <row r="98" ht="22" customHeight="1" s="39">
      <c r="A98" s="14" t="inlineStr">
        <is>
          <t>2026-10-03</t>
        </is>
      </c>
      <c r="B98" s="14" t="inlineStr">
        <is>
          <t>2026-10-03 22:00:00</t>
        </is>
      </c>
      <c r="C98" s="14" t="inlineStr">
        <is>
          <t>CLUB_LEAGUE</t>
        </is>
      </c>
      <c r="D98" s="14" t="inlineStr">
        <is>
          <t>联赛</t>
        </is>
      </c>
      <c r="E98" s="14" t="inlineStr">
        <is>
          <t>英甲</t>
        </is>
      </c>
      <c r="F98" s="14" t="inlineStr">
        <is>
          <t>伯顿 vs 哈德斯菲尔德</t>
        </is>
      </c>
      <c r="G98" s="26" t="n">
        <v>0.93</v>
      </c>
      <c r="H98" s="26" t="n">
        <v>-0.5</v>
      </c>
      <c r="I98" s="26" t="n">
        <v>0.89</v>
      </c>
      <c r="J98" s="26" t="inlineStr">
        <is>
          <t>0.93/-0.5/0.89</t>
        </is>
      </c>
      <c r="K98" s="14" t="inlineStr">
        <is>
          <t>V4-B｜EV 0.07467983891125385</t>
        </is>
      </c>
      <c r="L98" s="14" t="inlineStr">
        <is>
          <t>哈德斯菲尔德</t>
        </is>
      </c>
      <c r="M98" s="47" t="n">
        <v>0.5686136713816158</v>
      </c>
      <c r="N98" s="14" t="inlineStr">
        <is>
          <t>V4纸面入选-B</t>
        </is>
      </c>
      <c r="O98" s="14" t="inlineStr">
        <is>
          <t>1-3</t>
        </is>
      </c>
      <c r="P98" s="14" t="inlineStr">
        <is>
          <t>已结算</t>
        </is>
      </c>
      <c r="Q98" s="14" t="inlineStr">
        <is>
          <t>红</t>
        </is>
      </c>
      <c r="R98" s="48" t="n">
        <v>0.89</v>
      </c>
      <c r="S98" s="48">
        <f>IF(OR(Q98="",Q98="待结算"),"",IF(Q98="红",R98,IF(Q98="半红",R98*0.5,IF(Q98="走",0,IF(Q98="半黑",-0.5,-1)))))</f>
        <v/>
      </c>
      <c r="T98" s="14" t="inlineStr">
        <is>
          <t>D:\codex\v3_legacy\outputs\football_odds_trader\raw\titan007\20261004\20261004_084919_titan007_odds_snapshot.csv</t>
        </is>
      </c>
      <c r="U98" s="14">
        <f>IF(Q98="","",IF(Q98="待结算","待结算",IF(Q98="红","黑",IF(Q98="半红","半黑",IF(Q98="走","走",IF(Q98="半黑","半红","红"))))))</f>
        <v/>
      </c>
      <c r="V98" s="48">
        <f>IF(OR(U98="",U98="待结算"),"",IF(L98=LEFT(F98,FIND(" vs ",F98)-1),I98,G98))</f>
        <v/>
      </c>
      <c r="W98" s="48">
        <f>IF(OR(U98="",U98="待结算"),"",IF(U98="红",V98,IF(U98="半红",V98*0.5,IF(U98="走",0,IF(U98="半黑",-0.5,-1)))))</f>
        <v/>
      </c>
      <c r="X98" s="14" t="inlineStr">
        <is>
          <t>3007131</t>
        </is>
      </c>
      <c r="Y98" s="14" t="inlineStr">
        <is>
          <t>V4</t>
        </is>
      </c>
      <c r="Z98" s="14" t="inlineStr">
        <is>
          <t>prior-2026-10-03-v1</t>
        </is>
      </c>
      <c r="AA98" s="14" t="inlineStr">
        <is>
          <t>B</t>
        </is>
      </c>
      <c r="AB98" s="14" t="n">
        <v>0.5686136713816158</v>
      </c>
      <c r="AC98" s="14" t="n">
        <v>0</v>
      </c>
      <c r="AD98" s="14" t="n">
        <v>0</v>
      </c>
      <c r="AE98" s="14" t="n">
        <v>0</v>
      </c>
      <c r="AF98" s="14" t="n">
        <v>0.4313863286183842</v>
      </c>
      <c r="AG98" s="14" t="n">
        <v>0.07467983891125385</v>
      </c>
      <c r="AH98" s="14" t="n"/>
      <c r="AI98" s="14" t="n"/>
      <c r="AJ98" s="14" t="n">
        <v>0.07467983891125385</v>
      </c>
      <c r="AK98" s="14" t="n"/>
      <c r="AL98" s="14" t="n"/>
      <c r="AM98" s="14" t="n"/>
      <c r="AN98" s="14" t="inlineStr">
        <is>
          <t>EVALUATED</t>
        </is>
      </c>
      <c r="AO98" s="14" t="inlineStr">
        <is>
          <t>GIVING_VALIDATED_EDGE;BUCKET_PRIOR_ONLY;INTENT_INTERPRETATION_ONLY;EXPERT_MARKET</t>
        </is>
      </c>
      <c r="AP98" s="14" t="inlineStr">
        <is>
          <t>6fee8609faee746e1c62</t>
        </is>
      </c>
      <c r="AQ98" s="14" t="n">
        <v>-0.5</v>
      </c>
      <c r="AR98" s="14" t="n">
        <v>0.89</v>
      </c>
      <c r="AS98" s="14" t="n">
        <v>-0.5</v>
      </c>
      <c r="AT98" s="14" t="n">
        <v>0.5</v>
      </c>
      <c r="AU98" s="14" t="n">
        <v>0.89</v>
      </c>
      <c r="AV98" s="14" t="n">
        <v>0.93</v>
      </c>
      <c r="AW98" s="14" t="inlineStr">
        <is>
          <t>2026-10-03T09:27:07.620845+08:00</t>
        </is>
      </c>
      <c r="AX98" s="14" t="inlineStr">
        <is>
          <t>Titan007 Next</t>
        </is>
      </c>
      <c r="AY98" s="14" t="inlineStr">
        <is>
          <t>V4 Shadow Only；real_money=false；新增冻结记录</t>
        </is>
      </c>
    </row>
    <row r="99" ht="22" customHeight="1" s="39">
      <c r="A99" s="14" t="inlineStr">
        <is>
          <t>2026-10-03</t>
        </is>
      </c>
      <c r="B99" s="14" t="inlineStr">
        <is>
          <t>2026-10-03 22:00:00</t>
        </is>
      </c>
      <c r="C99" s="14" t="inlineStr">
        <is>
          <t>CLUB_LEAGUE</t>
        </is>
      </c>
      <c r="D99" s="14" t="inlineStr">
        <is>
          <t>联赛</t>
        </is>
      </c>
      <c r="E99" s="14" t="inlineStr">
        <is>
          <t>英乙</t>
        </is>
      </c>
      <c r="F99" s="14" t="inlineStr">
        <is>
          <t>格林斯比 vs 什鲁斯伯里</t>
        </is>
      </c>
      <c r="G99" s="26" t="n">
        <v>0.86</v>
      </c>
      <c r="H99" s="26" t="n">
        <v>-0.75</v>
      </c>
      <c r="I99" s="26" t="n">
        <v>0.9</v>
      </c>
      <c r="J99" s="26" t="inlineStr">
        <is>
          <t>0.86/-0.75/0.9</t>
        </is>
      </c>
      <c r="K99" s="14" t="inlineStr">
        <is>
          <t>V4-B｜EV 0.08533458755288426</t>
        </is>
      </c>
      <c r="L99" s="14" t="inlineStr">
        <is>
          <t>格林斯比</t>
        </is>
      </c>
      <c r="M99" s="47" t="n">
        <v>0.5146140000978136</v>
      </c>
      <c r="N99" s="14" t="inlineStr">
        <is>
          <t>V4纸面入选-B</t>
        </is>
      </c>
      <c r="O99" s="14" t="inlineStr">
        <is>
          <t>1-2</t>
        </is>
      </c>
      <c r="P99" s="14" t="inlineStr">
        <is>
          <t>已结算</t>
        </is>
      </c>
      <c r="Q99" s="14" t="inlineStr">
        <is>
          <t>黑</t>
        </is>
      </c>
      <c r="R99" s="48" t="n">
        <v>0.86</v>
      </c>
      <c r="S99" s="48">
        <f>IF(OR(Q99="",Q99="待结算"),"",IF(Q99="红",R99,IF(Q99="半红",R99*0.5,IF(Q99="走",0,IF(Q99="半黑",-0.5,-1)))))</f>
        <v/>
      </c>
      <c r="T99" s="14" t="inlineStr">
        <is>
          <t>D:\codex\v3_legacy\outputs\football_odds_trader\raw\titan007\20261004\20261004_084919_titan007_odds_snapshot.csv</t>
        </is>
      </c>
      <c r="U99" s="14">
        <f>IF(Q99="","",IF(Q99="待结算","待结算",IF(Q99="红","黑",IF(Q99="半红","半黑",IF(Q99="走","走",IF(Q99="半黑","半红","红"))))))</f>
        <v/>
      </c>
      <c r="V99" s="48">
        <f>IF(OR(U99="",U99="待结算"),"",IF(L99=LEFT(F99,FIND(" vs ",F99)-1),I99,G99))</f>
        <v/>
      </c>
      <c r="W99" s="48">
        <f>IF(OR(U99="",U99="待结算"),"",IF(U99="红",V99,IF(U99="半红",V99*0.5,IF(U99="走",0,IF(U99="半黑",-0.5,-1)))))</f>
        <v/>
      </c>
      <c r="X99" s="14" t="inlineStr">
        <is>
          <t>3007692</t>
        </is>
      </c>
      <c r="Y99" s="14" t="inlineStr">
        <is>
          <t>V4</t>
        </is>
      </c>
      <c r="Z99" s="14" t="inlineStr">
        <is>
          <t>prior-2026-10-03-v1</t>
        </is>
      </c>
      <c r="AA99" s="14" t="inlineStr">
        <is>
          <t>B</t>
        </is>
      </c>
      <c r="AB99" s="14" t="n">
        <v>0.3864614527268625</v>
      </c>
      <c r="AC99" s="14" t="n">
        <v>0.2563050947419021</v>
      </c>
      <c r="AD99" s="14" t="n">
        <v>0</v>
      </c>
      <c r="AE99" s="14" t="n">
        <v>0</v>
      </c>
      <c r="AF99" s="14" t="n">
        <v>0.3572334525312354</v>
      </c>
      <c r="AG99" s="14" t="n">
        <v>0.08533458755288426</v>
      </c>
      <c r="AH99" s="14" t="n"/>
      <c r="AI99" s="14" t="n"/>
      <c r="AJ99" s="14" t="n">
        <v>0.08533458755288426</v>
      </c>
      <c r="AK99" s="14" t="n"/>
      <c r="AL99" s="14" t="n"/>
      <c r="AM99" s="14" t="n"/>
      <c r="AN99" s="14" t="inlineStr">
        <is>
          <t>EVALUATED</t>
        </is>
      </c>
      <c r="AO99" s="14" t="inlineStr">
        <is>
          <t>GIVING_VALIDATED_EDGE;BUCKET_PRIOR_ONLY;INTENT_INTERPRETATION_ONLY;EXPERT_MARKET</t>
        </is>
      </c>
      <c r="AP99" s="14" t="inlineStr">
        <is>
          <t>b5b4a930b1be5e5ee7b1</t>
        </is>
      </c>
      <c r="AQ99" s="14" t="n">
        <v>-0.75</v>
      </c>
      <c r="AR99" s="14" t="n">
        <v>0.86</v>
      </c>
      <c r="AS99" s="14" t="n">
        <v>-0.75</v>
      </c>
      <c r="AT99" s="14" t="n">
        <v>0.75</v>
      </c>
      <c r="AU99" s="14" t="n">
        <v>0.86</v>
      </c>
      <c r="AV99" s="14" t="n">
        <v>0.9</v>
      </c>
      <c r="AW99" s="14" t="inlineStr">
        <is>
          <t>2026-10-03T09:27:07.620845+08:00</t>
        </is>
      </c>
      <c r="AX99" s="14" t="inlineStr">
        <is>
          <t>Titan007 Next</t>
        </is>
      </c>
      <c r="AY99" s="14" t="inlineStr">
        <is>
          <t>V4 Shadow Only；real_money=false；新增冻结记录</t>
        </is>
      </c>
    </row>
    <row r="100" ht="22" customHeight="1" s="39">
      <c r="A100" s="14" t="inlineStr">
        <is>
          <t>2026-10-03</t>
        </is>
      </c>
      <c r="B100" s="14" t="inlineStr">
        <is>
          <t>2026-10-03 22:00:00</t>
        </is>
      </c>
      <c r="C100" s="14" t="inlineStr">
        <is>
          <t>UNKNOWN</t>
        </is>
      </c>
      <c r="D100" s="14" t="inlineStr">
        <is>
          <t>联赛</t>
        </is>
      </c>
      <c r="E100" s="14" t="inlineStr">
        <is>
          <t>英议联</t>
        </is>
      </c>
      <c r="F100" s="14" t="inlineStr">
        <is>
          <t>格茨海德 vs 沃森</t>
        </is>
      </c>
      <c r="G100" s="26" t="n">
        <v>0.89</v>
      </c>
      <c r="H100" s="26" t="n">
        <v>1.25</v>
      </c>
      <c r="I100" s="26" t="n">
        <v>0.8100000000000001</v>
      </c>
      <c r="J100" s="26" t="inlineStr">
        <is>
          <t>0.89/1.25/0.81</t>
        </is>
      </c>
      <c r="K100" s="14" t="inlineStr">
        <is>
          <t>V4-C｜EV 0.06521542490811605</t>
        </is>
      </c>
      <c r="L100" s="14" t="inlineStr">
        <is>
          <t>格茨海德</t>
        </is>
      </c>
      <c r="M100" s="47" t="n">
        <v>0.4960558852203696</v>
      </c>
      <c r="N100" s="14" t="inlineStr">
        <is>
          <t>V4纸面入选-C</t>
        </is>
      </c>
      <c r="O100" s="14" t="inlineStr">
        <is>
          <t>1-2</t>
        </is>
      </c>
      <c r="P100" s="14" t="inlineStr">
        <is>
          <t>已结算</t>
        </is>
      </c>
      <c r="Q100" s="14" t="inlineStr">
        <is>
          <t>半红</t>
        </is>
      </c>
      <c r="R100" s="48" t="n">
        <v>0.89</v>
      </c>
      <c r="S100" s="48">
        <f>IF(OR(Q100="",Q100="待结算"),"",IF(Q100="红",R100,IF(Q100="半红",R100*0.5,IF(Q100="走",0,IF(Q100="半黑",-0.5,-1)))))</f>
        <v/>
      </c>
      <c r="T100" s="14" t="inlineStr">
        <is>
          <t>D:\codex\v3_legacy\outputs\football_odds_trader\raw\titan007\20261004\20261004_084919_titan007_odds_snapshot.csv</t>
        </is>
      </c>
      <c r="U100" s="14">
        <f>IF(Q100="","",IF(Q100="待结算","待结算",IF(Q100="红","黑",IF(Q100="半红","半黑",IF(Q100="走","走",IF(Q100="半黑","半红","红"))))))</f>
        <v/>
      </c>
      <c r="V100" s="48">
        <f>IF(OR(U100="",U100="待结算"),"",IF(L100=LEFT(F100,FIND(" vs ",F100)-1),I100,G100))</f>
        <v/>
      </c>
      <c r="W100" s="48">
        <f>IF(OR(U100="",U100="待结算"),"",IF(U100="红",V100,IF(U100="半红",V100*0.5,IF(U100="走",0,IF(U100="半黑",-0.5,-1)))))</f>
        <v/>
      </c>
      <c r="X100" s="14" t="inlineStr">
        <is>
          <t>3027807</t>
        </is>
      </c>
      <c r="Y100" s="14" t="inlineStr">
        <is>
          <t>V4</t>
        </is>
      </c>
      <c r="Z100" s="14" t="inlineStr">
        <is>
          <t>prior-2026-10-03-v1</t>
        </is>
      </c>
      <c r="AA100" s="14" t="inlineStr">
        <is>
          <t>C</t>
        </is>
      </c>
      <c r="AB100" s="14" t="n">
        <v>0.3683860833787521</v>
      </c>
      <c r="AC100" s="14" t="n">
        <v>0.2553396036832351</v>
      </c>
      <c r="AD100" s="14" t="n">
        <v>0</v>
      </c>
      <c r="AE100" s="14" t="n">
        <v>0</v>
      </c>
      <c r="AF100" s="14" t="n">
        <v>0.3762743129380129</v>
      </c>
      <c r="AG100" s="14" t="n">
        <v>0.06521542490811605</v>
      </c>
      <c r="AH100" s="14" t="n"/>
      <c r="AI100" s="14" t="n"/>
      <c r="AJ100" s="14" t="n">
        <v>0.06521542490811605</v>
      </c>
      <c r="AK100" s="14" t="n"/>
      <c r="AL100" s="14" t="n"/>
      <c r="AM100" s="14" t="n"/>
      <c r="AN100" s="14" t="inlineStr">
        <is>
          <t>EVALUATED</t>
        </is>
      </c>
      <c r="AO100" s="14" t="inlineStr">
        <is>
          <t>RECEIVING_VALIDATED_EDGE;BUCKET_PRIOR_ONLY;INTENT_INTERPRETATION_ONLY;EXPERT_MARKET</t>
        </is>
      </c>
      <c r="AP100" s="14" t="inlineStr">
        <is>
          <t>60edb4aa399b388e54ac</t>
        </is>
      </c>
      <c r="AQ100" s="14" t="n">
        <v>1.25</v>
      </c>
      <c r="AR100" s="14" t="n">
        <v>0.89</v>
      </c>
      <c r="AS100" s="14" t="n">
        <v>-1.25</v>
      </c>
      <c r="AT100" s="14" t="n">
        <v>1.25</v>
      </c>
      <c r="AU100" s="14" t="n">
        <v>0.8100000000000001</v>
      </c>
      <c r="AV100" s="14" t="n">
        <v>0.89</v>
      </c>
      <c r="AW100" s="14" t="inlineStr">
        <is>
          <t>2026-10-03T09:27:07.620845+08:00</t>
        </is>
      </c>
      <c r="AX100" s="14" t="inlineStr">
        <is>
          <t>Titan007 Next</t>
        </is>
      </c>
      <c r="AY100" s="14" t="inlineStr">
        <is>
          <t>V4 Shadow Only；real_money=false；新增冻结记录</t>
        </is>
      </c>
    </row>
    <row r="101" ht="22" customHeight="1" s="39">
      <c r="A101" s="14" t="inlineStr">
        <is>
          <t>2026-10-03</t>
        </is>
      </c>
      <c r="B101" s="14" t="inlineStr">
        <is>
          <t>2026-10-03 22:00:00</t>
        </is>
      </c>
      <c r="C101" s="14" t="inlineStr">
        <is>
          <t>UNKNOWN</t>
        </is>
      </c>
      <c r="D101" s="14" t="inlineStr">
        <is>
          <t>联赛</t>
        </is>
      </c>
      <c r="E101" s="14" t="inlineStr">
        <is>
          <t>英议联</t>
        </is>
      </c>
      <c r="F101" s="14" t="inlineStr">
        <is>
          <t>南安联 vs 菲尔德</t>
        </is>
      </c>
      <c r="G101" s="26" t="n">
        <v>0.91</v>
      </c>
      <c r="H101" s="26" t="n">
        <v>-0.5</v>
      </c>
      <c r="I101" s="26" t="n">
        <v>0.79</v>
      </c>
      <c r="J101" s="26" t="inlineStr">
        <is>
          <t>0.91/-0.5/0.79</t>
        </is>
      </c>
      <c r="K101" s="14" t="inlineStr">
        <is>
          <t>V4-C｜EV 0.07556045922007615</t>
        </is>
      </c>
      <c r="L101" s="14" t="inlineStr">
        <is>
          <t>南安联</t>
        </is>
      </c>
      <c r="M101" s="47" t="n">
        <v>0.5631206592775267</v>
      </c>
      <c r="N101" s="14" t="inlineStr">
        <is>
          <t>V4纸面入选-C</t>
        </is>
      </c>
      <c r="O101" s="14" t="inlineStr">
        <is>
          <t>3-1</t>
        </is>
      </c>
      <c r="P101" s="14" t="inlineStr">
        <is>
          <t>已结算</t>
        </is>
      </c>
      <c r="Q101" s="14" t="inlineStr">
        <is>
          <t>红</t>
        </is>
      </c>
      <c r="R101" s="48" t="n">
        <v>0.91</v>
      </c>
      <c r="S101" s="48">
        <f>IF(OR(Q101="",Q101="待结算"),"",IF(Q101="红",R101,IF(Q101="半红",R101*0.5,IF(Q101="走",0,IF(Q101="半黑",-0.5,-1)))))</f>
        <v/>
      </c>
      <c r="T101" s="14" t="inlineStr">
        <is>
          <t>D:\codex\v3_legacy\outputs\football_odds_trader\raw\titan007\20261004\20261004_084919_titan007_odds_snapshot.csv</t>
        </is>
      </c>
      <c r="U101" s="14">
        <f>IF(Q101="","",IF(Q101="待结算","待结算",IF(Q101="红","黑",IF(Q101="半红","半黑",IF(Q101="走","走",IF(Q101="半黑","半红","红"))))))</f>
        <v/>
      </c>
      <c r="V101" s="48">
        <f>IF(OR(U101="",U101="待结算"),"",IF(L101=LEFT(F101,FIND(" vs ",F101)-1),I101,G101))</f>
        <v/>
      </c>
      <c r="W101" s="48">
        <f>IF(OR(U101="",U101="待结算"),"",IF(U101="红",V101,IF(U101="半红",V101*0.5,IF(U101="走",0,IF(U101="半黑",-0.5,-1)))))</f>
        <v/>
      </c>
      <c r="X101" s="14" t="inlineStr">
        <is>
          <t>3027813</t>
        </is>
      </c>
      <c r="Y101" s="14" t="inlineStr">
        <is>
          <t>V4</t>
        </is>
      </c>
      <c r="Z101" s="14" t="inlineStr">
        <is>
          <t>prior-2026-10-03-v1</t>
        </is>
      </c>
      <c r="AA101" s="14" t="inlineStr">
        <is>
          <t>C</t>
        </is>
      </c>
      <c r="AB101" s="14" t="n">
        <v>0.5631206592775267</v>
      </c>
      <c r="AC101" s="14" t="n">
        <v>0</v>
      </c>
      <c r="AD101" s="14" t="n">
        <v>0</v>
      </c>
      <c r="AE101" s="14" t="n">
        <v>0</v>
      </c>
      <c r="AF101" s="14" t="n">
        <v>0.4368793407224733</v>
      </c>
      <c r="AG101" s="14" t="n">
        <v>0.07556045922007615</v>
      </c>
      <c r="AH101" s="14" t="n"/>
      <c r="AI101" s="14" t="n"/>
      <c r="AJ101" s="14" t="n">
        <v>0.07556045922007615</v>
      </c>
      <c r="AK101" s="14" t="n"/>
      <c r="AL101" s="14" t="n"/>
      <c r="AM101" s="14" t="n"/>
      <c r="AN101" s="14" t="inlineStr">
        <is>
          <t>EVALUATED</t>
        </is>
      </c>
      <c r="AO101" s="14" t="inlineStr">
        <is>
          <t>GIVING_VALIDATED_EDGE;BUCKET_PRIOR_ONLY;INTENT_INTERPRETATION_ONLY;EXPERT_MARKET</t>
        </is>
      </c>
      <c r="AP101" s="14" t="inlineStr">
        <is>
          <t>4d81bfeb4872fc850e57</t>
        </is>
      </c>
      <c r="AQ101" s="14" t="n">
        <v>-0.5</v>
      </c>
      <c r="AR101" s="14" t="n">
        <v>0.91</v>
      </c>
      <c r="AS101" s="14" t="n">
        <v>-0.5</v>
      </c>
      <c r="AT101" s="14" t="n">
        <v>0.5</v>
      </c>
      <c r="AU101" s="14" t="n">
        <v>0.91</v>
      </c>
      <c r="AV101" s="14" t="n">
        <v>0.79</v>
      </c>
      <c r="AW101" s="14" t="inlineStr">
        <is>
          <t>2026-10-03T09:27:07.620845+08:00</t>
        </is>
      </c>
      <c r="AX101" s="14" t="inlineStr">
        <is>
          <t>Titan007 Next</t>
        </is>
      </c>
      <c r="AY101" s="14" t="inlineStr">
        <is>
          <t>V4 Shadow Only；real_money=false；新增冻结记录</t>
        </is>
      </c>
    </row>
    <row r="102" ht="22" customHeight="1" s="39">
      <c r="A102" s="14" t="inlineStr">
        <is>
          <t>2026-10-03</t>
        </is>
      </c>
      <c r="B102" s="14" t="inlineStr">
        <is>
          <t>2026-10-03 22:00:00</t>
        </is>
      </c>
      <c r="C102" s="14" t="inlineStr">
        <is>
          <t>UNKNOWN</t>
        </is>
      </c>
      <c r="D102" s="14" t="inlineStr">
        <is>
          <t>联赛</t>
        </is>
      </c>
      <c r="E102" s="14" t="inlineStr">
        <is>
          <t>苏冠</t>
        </is>
      </c>
      <c r="F102" s="14" t="inlineStr">
        <is>
          <t>帕尔蒂克 vs 阿布罗斯</t>
        </is>
      </c>
      <c r="G102" s="26" t="n">
        <v>0.93</v>
      </c>
      <c r="H102" s="26" t="n">
        <v>-1.25</v>
      </c>
      <c r="I102" s="26" t="n">
        <v>0.77</v>
      </c>
      <c r="J102" s="26" t="inlineStr">
        <is>
          <t>0.93/-1.25/0.77</t>
        </is>
      </c>
      <c r="K102" s="14" t="inlineStr">
        <is>
          <t>V4-C｜EV 0.09342354591705232</t>
        </is>
      </c>
      <c r="L102" s="14" t="inlineStr">
        <is>
          <t>帕尔蒂克</t>
        </is>
      </c>
      <c r="M102" s="47" t="n">
        <v>0.5016965234162317</v>
      </c>
      <c r="N102" s="14" t="inlineStr">
        <is>
          <t>V4纸面入选-C</t>
        </is>
      </c>
      <c r="O102" s="14" t="inlineStr">
        <is>
          <t>3-0</t>
        </is>
      </c>
      <c r="P102" s="14" t="inlineStr">
        <is>
          <t>已结算</t>
        </is>
      </c>
      <c r="Q102" s="14" t="inlineStr">
        <is>
          <t>红</t>
        </is>
      </c>
      <c r="R102" s="48" t="n">
        <v>0.93</v>
      </c>
      <c r="S102" s="48">
        <f>IF(OR(Q102="",Q102="待结算"),"",IF(Q102="红",R102,IF(Q102="半红",R102*0.5,IF(Q102="走",0,IF(Q102="半黑",-0.5,-1)))))</f>
        <v/>
      </c>
      <c r="T102" s="14" t="inlineStr">
        <is>
          <t>D:\codex\v3_legacy\outputs\football_odds_trader\raw\titan007\20261004\20261004_084919_titan007_odds_snapshot.csv</t>
        </is>
      </c>
      <c r="U102" s="14">
        <f>IF(Q102="","",IF(Q102="待结算","待结算",IF(Q102="红","黑",IF(Q102="半红","半黑",IF(Q102="走","走",IF(Q102="半黑","半红","红"))))))</f>
        <v/>
      </c>
      <c r="V102" s="48">
        <f>IF(OR(U102="",U102="待结算"),"",IF(L102=LEFT(F102,FIND(" vs ",F102)-1),I102,G102))</f>
        <v/>
      </c>
      <c r="W102" s="48">
        <f>IF(OR(U102="",U102="待结算"),"",IF(U102="红",V102,IF(U102="半红",V102*0.5,IF(U102="走",0,IF(U102="半黑",-0.5,-1)))))</f>
        <v/>
      </c>
      <c r="X102" s="14" t="inlineStr">
        <is>
          <t>3002274</t>
        </is>
      </c>
      <c r="Y102" s="14" t="inlineStr">
        <is>
          <t>V4</t>
        </is>
      </c>
      <c r="Z102" s="14" t="inlineStr">
        <is>
          <t>prior-2026-10-03-v1</t>
        </is>
      </c>
      <c r="AA102" s="14" t="inlineStr">
        <is>
          <t>C</t>
        </is>
      </c>
      <c r="AB102" s="14" t="n">
        <v>0.5016965234162317</v>
      </c>
      <c r="AC102" s="14" t="n">
        <v>0</v>
      </c>
      <c r="AD102" s="14" t="n">
        <v>0</v>
      </c>
      <c r="AE102" s="14" t="n">
        <v>0.2502985114474503</v>
      </c>
      <c r="AF102" s="14" t="n">
        <v>0.248004965136318</v>
      </c>
      <c r="AG102" s="14" t="n">
        <v>0.09342354591705232</v>
      </c>
      <c r="AH102" s="14" t="n"/>
      <c r="AI102" s="14" t="n"/>
      <c r="AJ102" s="14" t="n">
        <v>0.09342354591705232</v>
      </c>
      <c r="AK102" s="14" t="n"/>
      <c r="AL102" s="14" t="n"/>
      <c r="AM102" s="14" t="n"/>
      <c r="AN102" s="14" t="inlineStr">
        <is>
          <t>EVALUATED</t>
        </is>
      </c>
      <c r="AO102" s="14" t="inlineStr">
        <is>
          <t>GIVING_VALIDATED_EDGE;BUCKET_PRIOR_ONLY;INTENT_INTERPRETATION_ONLY;EXPERT_MARKET</t>
        </is>
      </c>
      <c r="AP102" s="14" t="inlineStr">
        <is>
          <t>5a3e4070864c5be60719</t>
        </is>
      </c>
      <c r="AQ102" s="14" t="n">
        <v>-1.25</v>
      </c>
      <c r="AR102" s="14" t="n">
        <v>0.93</v>
      </c>
      <c r="AS102" s="14" t="n">
        <v>-1.25</v>
      </c>
      <c r="AT102" s="14" t="n">
        <v>1.25</v>
      </c>
      <c r="AU102" s="14" t="n">
        <v>0.93</v>
      </c>
      <c r="AV102" s="14" t="n">
        <v>0.77</v>
      </c>
      <c r="AW102" s="14" t="inlineStr">
        <is>
          <t>2026-10-03T09:27:07.620845+08:00</t>
        </is>
      </c>
      <c r="AX102" s="14" t="inlineStr">
        <is>
          <t>Titan007 Next</t>
        </is>
      </c>
      <c r="AY102" s="14" t="inlineStr">
        <is>
          <t>V4 Shadow Only；real_money=false；新增冻结记录</t>
        </is>
      </c>
    </row>
    <row r="103" ht="22" customHeight="1" s="39">
      <c r="A103" s="14" t="inlineStr">
        <is>
          <t>2026-10-03</t>
        </is>
      </c>
      <c r="B103" s="14" t="inlineStr">
        <is>
          <t>2026-10-03 22:00:00</t>
        </is>
      </c>
      <c r="C103" s="14" t="inlineStr">
        <is>
          <t>CLUB_LEAGUE</t>
        </is>
      </c>
      <c r="D103" s="14" t="inlineStr">
        <is>
          <t>联赛</t>
        </is>
      </c>
      <c r="E103" s="14" t="inlineStr">
        <is>
          <t>苏甲</t>
        </is>
      </c>
      <c r="F103" s="14" t="inlineStr">
        <is>
          <t>罗斯郡 vs 艾洛亚</t>
        </is>
      </c>
      <c r="G103" s="26" t="n">
        <v>0.82</v>
      </c>
      <c r="H103" s="26" t="n">
        <v>-1.5</v>
      </c>
      <c r="I103" s="26" t="n">
        <v>0.88</v>
      </c>
      <c r="J103" s="26" t="inlineStr">
        <is>
          <t>0.82/-1.5/0.88</t>
        </is>
      </c>
      <c r="K103" s="14" t="inlineStr">
        <is>
          <t>V4-B｜EV 0.16645926808174127</t>
        </is>
      </c>
      <c r="L103" s="14" t="inlineStr">
        <is>
          <t>罗斯郡</t>
        </is>
      </c>
      <c r="M103" s="47" t="n">
        <v>0.6409116857591985</v>
      </c>
      <c r="N103" s="14" t="inlineStr">
        <is>
          <t>V4纸面入选-B</t>
        </is>
      </c>
      <c r="O103" s="14" t="inlineStr">
        <is>
          <t>4-1</t>
        </is>
      </c>
      <c r="P103" s="14" t="inlineStr">
        <is>
          <t>已结算</t>
        </is>
      </c>
      <c r="Q103" s="14" t="inlineStr">
        <is>
          <t>红</t>
        </is>
      </c>
      <c r="R103" s="48" t="n">
        <v>0.82</v>
      </c>
      <c r="S103" s="48">
        <f>IF(OR(Q103="",Q103="待结算"),"",IF(Q103="红",R103,IF(Q103="半红",R103*0.5,IF(Q103="走",0,IF(Q103="半黑",-0.5,-1)))))</f>
        <v/>
      </c>
      <c r="T103" s="14" t="inlineStr">
        <is>
          <t>D:\codex\v3_legacy\outputs\football_odds_trader\raw\titan007\20261004\20261004_084919_titan007_odds_snapshot.csv</t>
        </is>
      </c>
      <c r="U103" s="14">
        <f>IF(Q103="","",IF(Q103="待结算","待结算",IF(Q103="红","黑",IF(Q103="半红","半黑",IF(Q103="走","走",IF(Q103="半黑","半红","红"))))))</f>
        <v/>
      </c>
      <c r="V103" s="48">
        <f>IF(OR(U103="",U103="待结算"),"",IF(L103=LEFT(F103,FIND(" vs ",F103)-1),I103,G103))</f>
        <v/>
      </c>
      <c r="W103" s="48">
        <f>IF(OR(U103="",U103="待结算"),"",IF(U103="红",V103,IF(U103="半红",V103*0.5,IF(U103="走",0,IF(U103="半黑",-0.5,-1)))))</f>
        <v/>
      </c>
      <c r="X103" s="14" t="inlineStr">
        <is>
          <t>3002456</t>
        </is>
      </c>
      <c r="Y103" s="14" t="inlineStr">
        <is>
          <t>V4</t>
        </is>
      </c>
      <c r="Z103" s="14" t="inlineStr">
        <is>
          <t>prior-2026-10-03-v1</t>
        </is>
      </c>
      <c r="AA103" s="14" t="inlineStr">
        <is>
          <t>B</t>
        </is>
      </c>
      <c r="AB103" s="14" t="n">
        <v>0.6409116857591985</v>
      </c>
      <c r="AC103" s="14" t="n">
        <v>0</v>
      </c>
      <c r="AD103" s="14" t="n">
        <v>0</v>
      </c>
      <c r="AE103" s="14" t="n">
        <v>0</v>
      </c>
      <c r="AF103" s="14" t="n">
        <v>0.3590883142408015</v>
      </c>
      <c r="AG103" s="14" t="n">
        <v>0.1664592680817413</v>
      </c>
      <c r="AH103" s="14" t="n"/>
      <c r="AI103" s="14" t="n"/>
      <c r="AJ103" s="14" t="n">
        <v>0.1664592680817413</v>
      </c>
      <c r="AK103" s="14" t="n"/>
      <c r="AL103" s="14" t="n"/>
      <c r="AM103" s="14" t="n"/>
      <c r="AN103" s="14" t="inlineStr">
        <is>
          <t>EVALUATED</t>
        </is>
      </c>
      <c r="AO103" s="14" t="inlineStr">
        <is>
          <t>GIVING_VALIDATED_EDGE;BUCKET_PRIOR_ONLY;INTENT_INTERPRETATION_ONLY;EXPERT_MARKET</t>
        </is>
      </c>
      <c r="AP103" s="14" t="inlineStr">
        <is>
          <t>82a8a2e0b8825e4ad748</t>
        </is>
      </c>
      <c r="AQ103" s="14" t="n">
        <v>-1.5</v>
      </c>
      <c r="AR103" s="14" t="n">
        <v>0.82</v>
      </c>
      <c r="AS103" s="14" t="n">
        <v>-1.5</v>
      </c>
      <c r="AT103" s="14" t="n">
        <v>1.5</v>
      </c>
      <c r="AU103" s="14" t="n">
        <v>0.82</v>
      </c>
      <c r="AV103" s="14" t="n">
        <v>0.88</v>
      </c>
      <c r="AW103" s="14" t="inlineStr">
        <is>
          <t>2026-10-03T09:27:07.620845+08:00</t>
        </is>
      </c>
      <c r="AX103" s="14" t="inlineStr">
        <is>
          <t>Titan007 Next</t>
        </is>
      </c>
      <c r="AY103" s="14" t="inlineStr">
        <is>
          <t>V4 Shadow Only；real_money=false；新增冻结记录</t>
        </is>
      </c>
    </row>
    <row r="104" ht="22" customHeight="1" s="39">
      <c r="A104" s="14" t="inlineStr">
        <is>
          <t>2026-10-03</t>
        </is>
      </c>
      <c r="B104" s="14" t="inlineStr">
        <is>
          <t>2026-10-03 22:00:00</t>
        </is>
      </c>
      <c r="C104" s="14" t="inlineStr">
        <is>
          <t>INTERNATIONAL_FRIENDLY</t>
        </is>
      </c>
      <c r="D104" s="14" t="inlineStr">
        <is>
          <t>联赛</t>
        </is>
      </c>
      <c r="E104" s="14" t="inlineStr">
        <is>
          <t>国际友谊</t>
        </is>
      </c>
      <c r="F104" s="14" t="inlineStr">
        <is>
          <t>印度 vs 巴西</t>
        </is>
      </c>
      <c r="G104" s="26" t="n">
        <v>1.06</v>
      </c>
      <c r="H104" s="26" t="n">
        <v>3.75</v>
      </c>
      <c r="I104" s="26" t="n">
        <v>0.7</v>
      </c>
      <c r="J104" s="26" t="inlineStr">
        <is>
          <t>1.06/3.75/0.7</t>
        </is>
      </c>
      <c r="K104" s="14" t="inlineStr">
        <is>
          <t>V4-C｜EV 0.376890073168899</t>
        </is>
      </c>
      <c r="L104" s="14" t="inlineStr">
        <is>
          <t>印度</t>
        </is>
      </c>
      <c r="M104" s="47" t="n">
        <v>0.6268269937176693</v>
      </c>
      <c r="N104" s="14" t="inlineStr">
        <is>
          <t>V4纸面入选-C</t>
        </is>
      </c>
      <c r="O104" s="14" t="inlineStr">
        <is>
          <t>0-4</t>
        </is>
      </c>
      <c r="P104" s="14" t="inlineStr">
        <is>
          <t>已结算</t>
        </is>
      </c>
      <c r="Q104" s="14" t="inlineStr">
        <is>
          <t>半黑</t>
        </is>
      </c>
      <c r="R104" s="48" t="n">
        <v>1.06</v>
      </c>
      <c r="S104" s="48">
        <f>IF(OR(Q104="",Q104="待结算"),"",IF(Q104="红",R104,IF(Q104="半红",R104*0.5,IF(Q104="走",0,IF(Q104="半黑",-0.5,-1)))))</f>
        <v/>
      </c>
      <c r="T104" s="14" t="inlineStr">
        <is>
          <t>D:\codex\v3_legacy\outputs\football_odds_trader\raw\titan007\20261004\20261004_084919_titan007_odds_snapshot.csv</t>
        </is>
      </c>
      <c r="U104" s="14">
        <f>IF(Q104="","",IF(Q104="待结算","待结算",IF(Q104="红","黑",IF(Q104="半红","半黑",IF(Q104="走","走",IF(Q104="半黑","半红","红"))))))</f>
        <v/>
      </c>
      <c r="V104" s="48">
        <f>IF(OR(U104="",U104="待结算"),"",IF(L104=LEFT(F104,FIND(" vs ",F104)-1),I104,G104))</f>
        <v/>
      </c>
      <c r="W104" s="48">
        <f>IF(OR(U104="",U104="待结算"),"",IF(U104="红",V104,IF(U104="半红",V104*0.5,IF(U104="走",0,IF(U104="半黑",-0.5,-1)))))</f>
        <v/>
      </c>
      <c r="X104" s="14" t="inlineStr">
        <is>
          <t>3096945</t>
        </is>
      </c>
      <c r="Y104" s="14" t="inlineStr">
        <is>
          <t>V4</t>
        </is>
      </c>
      <c r="Z104" s="14" t="inlineStr">
        <is>
          <t>prior-2026-10-03-v1</t>
        </is>
      </c>
      <c r="AA104" s="14" t="inlineStr">
        <is>
          <t>C</t>
        </is>
      </c>
      <c r="AB104" s="14" t="n">
        <v>0.6268269937176693</v>
      </c>
      <c r="AC104" s="14" t="n">
        <v>0</v>
      </c>
      <c r="AD104" s="14" t="n">
        <v>0</v>
      </c>
      <c r="AE104" s="14" t="n">
        <v>0.1712529322210004</v>
      </c>
      <c r="AF104" s="14" t="n">
        <v>0.2019200740613303</v>
      </c>
      <c r="AG104" s="14" t="n">
        <v>0.376890073168899</v>
      </c>
      <c r="AH104" s="14" t="n"/>
      <c r="AI104" s="14" t="n"/>
      <c r="AJ104" s="14" t="n">
        <v>0.376890073168899</v>
      </c>
      <c r="AK104" s="14" t="n"/>
      <c r="AL104" s="14" t="n"/>
      <c r="AM104" s="14" t="n"/>
      <c r="AN104" s="14" t="inlineStr">
        <is>
          <t>EVALUATED</t>
        </is>
      </c>
      <c r="AO104" s="14" t="inlineStr">
        <is>
          <t>RECEIVING_VALIDATED_EDGE;BUCKET_PRIOR_ONLY;INTENT_INTERPRETATION_ONLY;EXPERT_MARKET</t>
        </is>
      </c>
      <c r="AP104" s="14" t="inlineStr">
        <is>
          <t>8005a0ce466a2413d36b</t>
        </is>
      </c>
      <c r="AQ104" s="14" t="n">
        <v>3.75</v>
      </c>
      <c r="AR104" s="14" t="n">
        <v>1.06</v>
      </c>
      <c r="AS104" s="14" t="n">
        <v>-3.75</v>
      </c>
      <c r="AT104" s="14" t="n">
        <v>3.75</v>
      </c>
      <c r="AU104" s="14" t="n">
        <v>0.7</v>
      </c>
      <c r="AV104" s="14" t="n">
        <v>1.06</v>
      </c>
      <c r="AW104" s="14" t="inlineStr">
        <is>
          <t>2026-10-03T09:27:07.620845+08:00</t>
        </is>
      </c>
      <c r="AX104" s="14" t="inlineStr">
        <is>
          <t>Titan007 Next</t>
        </is>
      </c>
      <c r="AY104" s="14" t="inlineStr">
        <is>
          <t>V4 Shadow Only；real_money=false；新增冻结记录</t>
        </is>
      </c>
    </row>
    <row r="105" ht="22" customHeight="1" s="39">
      <c r="A105" s="14" t="inlineStr">
        <is>
          <t>2026-10-03</t>
        </is>
      </c>
      <c r="B105" s="14" t="inlineStr">
        <is>
          <t>2026-10-03 22:00:00</t>
        </is>
      </c>
      <c r="C105" s="14" t="inlineStr">
        <is>
          <t>CLUB_LEAGUE</t>
        </is>
      </c>
      <c r="D105" s="14" t="inlineStr">
        <is>
          <t>联赛</t>
        </is>
      </c>
      <c r="E105" s="14" t="inlineStr">
        <is>
          <t>西女超</t>
        </is>
      </c>
      <c r="F105" s="14" t="inlineStr">
        <is>
          <t>拉科鲁尼亚女足 vs 马德里竞技女足</t>
        </is>
      </c>
      <c r="G105" s="26" t="n">
        <v>0.78</v>
      </c>
      <c r="H105" s="26" t="n">
        <v>-0.75</v>
      </c>
      <c r="I105" s="26" t="n">
        <v>0.92</v>
      </c>
      <c r="J105" s="26" t="inlineStr">
        <is>
          <t>0.78/-0.75/0.92</t>
        </is>
      </c>
      <c r="K105" s="14" t="inlineStr">
        <is>
          <t>V4-B｜EV 0.12713481038122793</t>
        </is>
      </c>
      <c r="L105" s="14" t="inlineStr">
        <is>
          <t>马德里竞技女足</t>
        </is>
      </c>
      <c r="M105" s="47" t="n">
        <v>0.5204219592712431</v>
      </c>
      <c r="N105" s="14" t="inlineStr">
        <is>
          <t>V4纸面入选-B</t>
        </is>
      </c>
      <c r="O105" s="14" t="inlineStr">
        <is>
          <t>1-2</t>
        </is>
      </c>
      <c r="P105" s="14" t="inlineStr">
        <is>
          <t>已结算</t>
        </is>
      </c>
      <c r="Q105" s="14" t="inlineStr">
        <is>
          <t>半红</t>
        </is>
      </c>
      <c r="R105" s="48" t="n">
        <v>0.92</v>
      </c>
      <c r="S105" s="48">
        <f>IF(OR(Q105="",Q105="待结算"),"",IF(Q105="红",R105,IF(Q105="半红",R105*0.5,IF(Q105="走",0,IF(Q105="半黑",-0.5,-1)))))</f>
        <v/>
      </c>
      <c r="T105" s="14" t="inlineStr">
        <is>
          <t>D:\codex\v3_legacy\outputs\football_odds_trader\raw\titan007\20261004\20261004_084919_titan007_odds_snapshot.csv</t>
        </is>
      </c>
      <c r="U105" s="14">
        <f>IF(Q105="","",IF(Q105="待结算","待结算",IF(Q105="红","黑",IF(Q105="半红","半黑",IF(Q105="走","走",IF(Q105="半黑","半红","红"))))))</f>
        <v/>
      </c>
      <c r="V105" s="48">
        <f>IF(OR(U105="",U105="待结算"),"",IF(L105=LEFT(F105,FIND(" vs ",F105)-1),I105,G105))</f>
        <v/>
      </c>
      <c r="W105" s="48">
        <f>IF(OR(U105="",U105="待结算"),"",IF(U105="红",V105,IF(U105="半红",V105*0.5,IF(U105="走",0,IF(U105="半黑",-0.5,-1)))))</f>
        <v/>
      </c>
      <c r="X105" s="14" t="inlineStr">
        <is>
          <t>3057195</t>
        </is>
      </c>
      <c r="Y105" s="14" t="inlineStr">
        <is>
          <t>V4</t>
        </is>
      </c>
      <c r="Z105" s="14" t="inlineStr">
        <is>
          <t>prior-2026-10-03-v1</t>
        </is>
      </c>
      <c r="AA105" s="14" t="inlineStr">
        <is>
          <t>B</t>
        </is>
      </c>
      <c r="AB105" s="14" t="n">
        <v>0.3924973106908018</v>
      </c>
      <c r="AC105" s="14" t="n">
        <v>0.2558492971608824</v>
      </c>
      <c r="AD105" s="14" t="n">
        <v>0</v>
      </c>
      <c r="AE105" s="14" t="n">
        <v>0</v>
      </c>
      <c r="AF105" s="14" t="n">
        <v>0.3516533921483158</v>
      </c>
      <c r="AG105" s="14" t="n">
        <v>0.1271348103812279</v>
      </c>
      <c r="AH105" s="14" t="n"/>
      <c r="AI105" s="14" t="n"/>
      <c r="AJ105" s="14" t="n">
        <v>0.1271348103812279</v>
      </c>
      <c r="AK105" s="14" t="n"/>
      <c r="AL105" s="14" t="n"/>
      <c r="AM105" s="14" t="n"/>
      <c r="AN105" s="14" t="inlineStr">
        <is>
          <t>EVALUATED</t>
        </is>
      </c>
      <c r="AO105" s="14" t="inlineStr">
        <is>
          <t>GIVING_VALIDATED_EDGE;BUCKET_PRIOR_ONLY;INTENT_INTERPRETATION_ONLY;EXPERT_MARKET</t>
        </is>
      </c>
      <c r="AP105" s="14" t="inlineStr">
        <is>
          <t>eeae50ea5c946b4f814a</t>
        </is>
      </c>
      <c r="AQ105" s="14" t="n">
        <v>-0.75</v>
      </c>
      <c r="AR105" s="14" t="n">
        <v>0.92</v>
      </c>
      <c r="AS105" s="14" t="n">
        <v>-0.75</v>
      </c>
      <c r="AT105" s="14" t="n">
        <v>0.75</v>
      </c>
      <c r="AU105" s="14" t="n">
        <v>0.92</v>
      </c>
      <c r="AV105" s="14" t="n">
        <v>0.78</v>
      </c>
      <c r="AW105" s="14" t="inlineStr">
        <is>
          <t>2026-10-03T09:27:07.620845+08:00</t>
        </is>
      </c>
      <c r="AX105" s="14" t="inlineStr">
        <is>
          <t>Titan007 Next</t>
        </is>
      </c>
      <c r="AY105" s="14" t="inlineStr">
        <is>
          <t>V4 Shadow Only；real_money=false；新增冻结记录</t>
        </is>
      </c>
    </row>
    <row r="106" ht="22" customHeight="1" s="39">
      <c r="A106" s="14" t="inlineStr">
        <is>
          <t>2026-10-03</t>
        </is>
      </c>
      <c r="B106" s="14" t="inlineStr">
        <is>
          <t>2026-10-03 22:15:00</t>
        </is>
      </c>
      <c r="C106" s="14" t="inlineStr">
        <is>
          <t>CLUB_LEAGUE</t>
        </is>
      </c>
      <c r="D106" s="14" t="inlineStr">
        <is>
          <t>联赛</t>
        </is>
      </c>
      <c r="E106" s="14" t="inlineStr">
        <is>
          <t>西乙</t>
        </is>
      </c>
      <c r="F106" s="14" t="inlineStr">
        <is>
          <t>阿尔梅里亚 vs 布尔戈斯</t>
        </is>
      </c>
      <c r="G106" s="26" t="n">
        <v>1.04</v>
      </c>
      <c r="H106" s="26" t="n">
        <v>-1</v>
      </c>
      <c r="I106" s="26" t="n">
        <v>0.84</v>
      </c>
      <c r="J106" s="26" t="inlineStr">
        <is>
          <t>1.04/-1.0/0.84</t>
        </is>
      </c>
      <c r="K106" s="14" t="inlineStr">
        <is>
          <t>V4-B｜EV 0.11827758229327145</t>
        </is>
      </c>
      <c r="L106" s="14" t="inlineStr">
        <is>
          <t>阿尔梅里亚</t>
        </is>
      </c>
      <c r="M106" s="47" t="n">
        <v>0.422122341679145</v>
      </c>
      <c r="N106" s="14" t="inlineStr">
        <is>
          <t>V4纸面入选-B</t>
        </is>
      </c>
      <c r="O106" s="14" t="inlineStr">
        <is>
          <t>2-1</t>
        </is>
      </c>
      <c r="P106" s="14" t="inlineStr">
        <is>
          <t>已结算</t>
        </is>
      </c>
      <c r="Q106" s="14" t="inlineStr">
        <is>
          <t>走</t>
        </is>
      </c>
      <c r="R106" s="48" t="n">
        <v>1.04</v>
      </c>
      <c r="S106" s="48">
        <f>IF(OR(Q106="",Q106="待结算"),"",IF(Q106="红",R106,IF(Q106="半红",R106*0.5,IF(Q106="走",0,IF(Q106="半黑",-0.5,-1)))))</f>
        <v/>
      </c>
      <c r="T106" s="14" t="inlineStr">
        <is>
          <t>D:\codex\v3_legacy\outputs\football_odds_trader\raw\titan007\20261004\20261004_084919_titan007_odds_snapshot.csv</t>
        </is>
      </c>
      <c r="U106" s="14">
        <f>IF(Q106="","",IF(Q106="待结算","待结算",IF(Q106="红","黑",IF(Q106="半红","半黑",IF(Q106="走","走",IF(Q106="半黑","半红","红"))))))</f>
        <v/>
      </c>
      <c r="V106" s="48">
        <f>IF(OR(U106="",U106="待结算"),"",IF(L106=LEFT(F106,FIND(" vs ",F106)-1),I106,G106))</f>
        <v/>
      </c>
      <c r="W106" s="48">
        <f>IF(OR(U106="",U106="待结算"),"",IF(U106="红",V106,IF(U106="半红",V106*0.5,IF(U106="走",0,IF(U106="半黑",-0.5,-1)))))</f>
        <v/>
      </c>
      <c r="X106" s="14" t="inlineStr">
        <is>
          <t>3014100</t>
        </is>
      </c>
      <c r="Y106" s="14" t="inlineStr">
        <is>
          <t>V4</t>
        </is>
      </c>
      <c r="Z106" s="14" t="inlineStr">
        <is>
          <t>prior-2026-10-03-v1</t>
        </is>
      </c>
      <c r="AA106" s="14" t="inlineStr">
        <is>
          <t>B</t>
        </is>
      </c>
      <c r="AB106" s="14" t="n">
        <v>0.422122341679145</v>
      </c>
      <c r="AC106" s="14" t="n">
        <v>0</v>
      </c>
      <c r="AD106" s="14" t="n">
        <v>0.2571480052678156</v>
      </c>
      <c r="AE106" s="14" t="n">
        <v>0</v>
      </c>
      <c r="AF106" s="14" t="n">
        <v>0.3207296530530394</v>
      </c>
      <c r="AG106" s="14" t="n">
        <v>0.1182775822932715</v>
      </c>
      <c r="AH106" s="14" t="n"/>
      <c r="AI106" s="14" t="n"/>
      <c r="AJ106" s="14" t="n">
        <v>0.1182775822932715</v>
      </c>
      <c r="AK106" s="14" t="n"/>
      <c r="AL106" s="14" t="n"/>
      <c r="AM106" s="14" t="n"/>
      <c r="AN106" s="14" t="inlineStr">
        <is>
          <t>EVALUATED</t>
        </is>
      </c>
      <c r="AO106" s="14" t="inlineStr">
        <is>
          <t>GIVING_VALIDATED_EDGE;BUCKET_PRIOR_ONLY;INTENT_INTERPRETATION_ONLY;EXPERT_MARKET</t>
        </is>
      </c>
      <c r="AP106" s="14" t="inlineStr">
        <is>
          <t>e1d5e4c6355e43f62e4b</t>
        </is>
      </c>
      <c r="AQ106" s="14" t="n">
        <v>-1</v>
      </c>
      <c r="AR106" s="14" t="n">
        <v>1.04</v>
      </c>
      <c r="AS106" s="14" t="n">
        <v>-1</v>
      </c>
      <c r="AT106" s="14" t="n">
        <v>1</v>
      </c>
      <c r="AU106" s="14" t="n">
        <v>1.04</v>
      </c>
      <c r="AV106" s="14" t="n">
        <v>0.84</v>
      </c>
      <c r="AW106" s="14" t="inlineStr">
        <is>
          <t>2026-10-03T09:27:07.620845+08:00</t>
        </is>
      </c>
      <c r="AX106" s="14" t="inlineStr">
        <is>
          <t>Titan007 Next</t>
        </is>
      </c>
      <c r="AY106" s="14" t="inlineStr">
        <is>
          <t>V4 Shadow Only；real_money=false；新增冻结记录</t>
        </is>
      </c>
    </row>
    <row r="107" ht="22" customHeight="1" s="39">
      <c r="A107" s="14" t="inlineStr">
        <is>
          <t>2026-10-03</t>
        </is>
      </c>
      <c r="B107" s="14" t="inlineStr">
        <is>
          <t>2026-10-03 22:30:00</t>
        </is>
      </c>
      <c r="C107" s="14" t="inlineStr">
        <is>
          <t>CLUB_LEAGUE</t>
        </is>
      </c>
      <c r="D107" s="14" t="inlineStr">
        <is>
          <t>联赛</t>
        </is>
      </c>
      <c r="E107" s="14" t="inlineStr">
        <is>
          <t>西协甲</t>
        </is>
      </c>
      <c r="F107" s="14" t="inlineStr">
        <is>
          <t>巴拉卡度 vs 亚勒那斯</t>
        </is>
      </c>
      <c r="G107" s="26" t="n">
        <v>0.74</v>
      </c>
      <c r="H107" s="26" t="n">
        <v>-1</v>
      </c>
      <c r="I107" s="26" t="n">
        <v>0.96</v>
      </c>
      <c r="J107" s="26" t="inlineStr">
        <is>
          <t>0.74/-1.0/0.96</t>
        </is>
      </c>
      <c r="K107" s="14" t="inlineStr">
        <is>
          <t>V4-B｜EV 0.12258262072215148</t>
        </is>
      </c>
      <c r="L107" s="14" t="inlineStr">
        <is>
          <t>巴拉卡度</t>
        </is>
      </c>
      <c r="M107" s="47" t="n">
        <v>0.5013132085645186</v>
      </c>
      <c r="N107" s="14" t="inlineStr">
        <is>
          <t>V4纸面入选-B</t>
        </is>
      </c>
      <c r="O107" s="14" t="inlineStr">
        <is>
          <t>1-1</t>
        </is>
      </c>
      <c r="P107" s="14" t="inlineStr">
        <is>
          <t>已结算</t>
        </is>
      </c>
      <c r="Q107" s="14" t="inlineStr">
        <is>
          <t>黑</t>
        </is>
      </c>
      <c r="R107" s="48" t="n">
        <v>0.74</v>
      </c>
      <c r="S107" s="48">
        <f>IF(OR(Q107="",Q107="待结算"),"",IF(Q107="红",R107,IF(Q107="半红",R107*0.5,IF(Q107="走",0,IF(Q107="半黑",-0.5,-1)))))</f>
        <v/>
      </c>
      <c r="T107" s="14" t="inlineStr">
        <is>
          <t>D:\codex\v3_legacy\outputs\football_odds_trader\raw\titan007\20261004\20261004_084919_titan007_odds_snapshot.csv</t>
        </is>
      </c>
      <c r="U107" s="14">
        <f>IF(Q107="","",IF(Q107="待结算","待结算",IF(Q107="红","黑",IF(Q107="半红","半黑",IF(Q107="走","走",IF(Q107="半黑","半红","红"))))))</f>
        <v/>
      </c>
      <c r="V107" s="48">
        <f>IF(OR(U107="",U107="待结算"),"",IF(L107=LEFT(F107,FIND(" vs ",F107)-1),I107,G107))</f>
        <v/>
      </c>
      <c r="W107" s="48">
        <f>IF(OR(U107="",U107="待结算"),"",IF(U107="红",V107,IF(U107="半红",V107*0.5,IF(U107="走",0,IF(U107="半黑",-0.5,-1)))))</f>
        <v/>
      </c>
      <c r="X107" s="14" t="inlineStr">
        <is>
          <t>3014535</t>
        </is>
      </c>
      <c r="Y107" s="14" t="inlineStr">
        <is>
          <t>V4</t>
        </is>
      </c>
      <c r="Z107" s="14" t="inlineStr">
        <is>
          <t>prior-2026-10-03-v1</t>
        </is>
      </c>
      <c r="AA107" s="14" t="inlineStr">
        <is>
          <t>B</t>
        </is>
      </c>
      <c r="AB107" s="14" t="n">
        <v>0.5013132085645186</v>
      </c>
      <c r="AC107" s="14" t="n">
        <v>0</v>
      </c>
      <c r="AD107" s="14" t="n">
        <v>0.2502976378198893</v>
      </c>
      <c r="AE107" s="14" t="n">
        <v>0</v>
      </c>
      <c r="AF107" s="14" t="n">
        <v>0.2483891536155922</v>
      </c>
      <c r="AG107" s="14" t="n">
        <v>0.1225826207221515</v>
      </c>
      <c r="AH107" s="14" t="n"/>
      <c r="AI107" s="14" t="n"/>
      <c r="AJ107" s="14" t="n">
        <v>0.1225826207221515</v>
      </c>
      <c r="AK107" s="14" t="n"/>
      <c r="AL107" s="14" t="n"/>
      <c r="AM107" s="14" t="n"/>
      <c r="AN107" s="14" t="inlineStr">
        <is>
          <t>EVALUATED</t>
        </is>
      </c>
      <c r="AO107" s="14" t="inlineStr">
        <is>
          <t>GIVING_VALIDATED_EDGE;BUCKET_PRIOR_ONLY;INTENT_INTERPRETATION_ONLY;EXPERT_MARKET</t>
        </is>
      </c>
      <c r="AP107" s="14" t="inlineStr">
        <is>
          <t>30df8441d15bb3b2ed3b</t>
        </is>
      </c>
      <c r="AQ107" s="14" t="n">
        <v>-1</v>
      </c>
      <c r="AR107" s="14" t="n">
        <v>0.74</v>
      </c>
      <c r="AS107" s="14" t="n">
        <v>-1</v>
      </c>
      <c r="AT107" s="14" t="n">
        <v>1</v>
      </c>
      <c r="AU107" s="14" t="n">
        <v>0.74</v>
      </c>
      <c r="AV107" s="14" t="n">
        <v>0.96</v>
      </c>
      <c r="AW107" s="14" t="inlineStr">
        <is>
          <t>2026-10-03T09:27:07.620845+08:00</t>
        </is>
      </c>
      <c r="AX107" s="14" t="inlineStr">
        <is>
          <t>Titan007 Next</t>
        </is>
      </c>
      <c r="AY107" s="14" t="inlineStr">
        <is>
          <t>V4 Shadow Only；real_money=false；新增冻结记录</t>
        </is>
      </c>
    </row>
    <row r="108" ht="22" customHeight="1" s="39">
      <c r="A108" s="14" t="inlineStr">
        <is>
          <t>2026-10-03</t>
        </is>
      </c>
      <c r="B108" s="14" t="inlineStr">
        <is>
          <t>2026-10-03 23:00:00</t>
        </is>
      </c>
      <c r="C108" s="14" t="inlineStr">
        <is>
          <t>INTERNATIONAL_FRIENDLY</t>
        </is>
      </c>
      <c r="D108" s="14" t="inlineStr">
        <is>
          <t>联赛</t>
        </is>
      </c>
      <c r="E108" s="14" t="inlineStr">
        <is>
          <t>国际友谊</t>
        </is>
      </c>
      <c r="F108" s="14" t="inlineStr">
        <is>
          <t>俄罗斯 vs 纳米比亚</t>
        </is>
      </c>
      <c r="G108" s="26" t="n">
        <v>0.85</v>
      </c>
      <c r="H108" s="26" t="n">
        <v>-2.25</v>
      </c>
      <c r="I108" s="26" t="n">
        <v>0.97</v>
      </c>
      <c r="J108" s="26" t="inlineStr">
        <is>
          <t>0.85/-2.25/0.97</t>
        </is>
      </c>
      <c r="K108" s="14" t="inlineStr">
        <is>
          <t>V4-C｜EV 0.15015964521041159</t>
        </is>
      </c>
      <c r="L108" s="14" t="inlineStr">
        <is>
          <t>俄罗斯</t>
        </is>
      </c>
      <c r="M108" s="47" t="n">
        <v>0.5613701232987555</v>
      </c>
      <c r="N108" s="14" t="inlineStr">
        <is>
          <t>V4纸面入选-C</t>
        </is>
      </c>
      <c r="O108" s="14" t="inlineStr">
        <is>
          <t>6-0</t>
        </is>
      </c>
      <c r="P108" s="14" t="inlineStr">
        <is>
          <t>已结算</t>
        </is>
      </c>
      <c r="Q108" s="14" t="inlineStr">
        <is>
          <t>红</t>
        </is>
      </c>
      <c r="R108" s="48" t="n">
        <v>0.85</v>
      </c>
      <c r="S108" s="48">
        <f>IF(OR(Q108="",Q108="待结算"),"",IF(Q108="红",R108,IF(Q108="半红",R108*0.5,IF(Q108="走",0,IF(Q108="半黑",-0.5,-1)))))</f>
        <v/>
      </c>
      <c r="T108" s="14" t="inlineStr">
        <is>
          <t>D:\codex\v3_legacy\outputs\football_odds_trader\raw\titan007\20261004\20261004_084919_titan007_odds_snapshot.csv</t>
        </is>
      </c>
      <c r="U108" s="14">
        <f>IF(Q108="","",IF(Q108="待结算","待结算",IF(Q108="红","黑",IF(Q108="半红","半黑",IF(Q108="走","走",IF(Q108="半黑","半红","红"))))))</f>
        <v/>
      </c>
      <c r="V108" s="48">
        <f>IF(OR(U108="",U108="待结算"),"",IF(L108=LEFT(F108,FIND(" vs ",F108)-1),I108,G108))</f>
        <v/>
      </c>
      <c r="W108" s="48">
        <f>IF(OR(U108="",U108="待结算"),"",IF(U108="红",V108,IF(U108="半红",V108*0.5,IF(U108="走",0,IF(U108="半黑",-0.5,-1)))))</f>
        <v/>
      </c>
      <c r="X108" s="14" t="inlineStr">
        <is>
          <t>3096957</t>
        </is>
      </c>
      <c r="Y108" s="14" t="inlineStr">
        <is>
          <t>V4</t>
        </is>
      </c>
      <c r="Z108" s="14" t="inlineStr">
        <is>
          <t>prior-2026-10-03-v1</t>
        </is>
      </c>
      <c r="AA108" s="14" t="inlineStr">
        <is>
          <t>C</t>
        </is>
      </c>
      <c r="AB108" s="14" t="n">
        <v>0.5613701232987555</v>
      </c>
      <c r="AC108" s="14" t="n">
        <v>0</v>
      </c>
      <c r="AD108" s="14" t="n">
        <v>0</v>
      </c>
      <c r="AE108" s="14" t="n">
        <v>0.2232498342154281</v>
      </c>
      <c r="AF108" s="14" t="n">
        <v>0.2153800424858165</v>
      </c>
      <c r="AG108" s="14" t="n">
        <v>0.1501596452104116</v>
      </c>
      <c r="AH108" s="14" t="n"/>
      <c r="AI108" s="14" t="n"/>
      <c r="AJ108" s="14" t="n">
        <v>0.1501596452104116</v>
      </c>
      <c r="AK108" s="14" t="n"/>
      <c r="AL108" s="14" t="n"/>
      <c r="AM108" s="14" t="n"/>
      <c r="AN108" s="14" t="inlineStr">
        <is>
          <t>EVALUATED</t>
        </is>
      </c>
      <c r="AO108" s="14" t="inlineStr">
        <is>
          <t>GIVING_VALIDATED_EDGE;BUCKET_PRIOR_ONLY;INTENT_INTERPRETATION_ONLY;EXPERT_MARKET</t>
        </is>
      </c>
      <c r="AP108" s="14" t="inlineStr">
        <is>
          <t>8aeb5b9c6c38e4edc7c7</t>
        </is>
      </c>
      <c r="AQ108" s="14" t="n">
        <v>-2.25</v>
      </c>
      <c r="AR108" s="14" t="n">
        <v>0.85</v>
      </c>
      <c r="AS108" s="14" t="n">
        <v>-2.25</v>
      </c>
      <c r="AT108" s="14" t="n">
        <v>2.25</v>
      </c>
      <c r="AU108" s="14" t="n">
        <v>0.85</v>
      </c>
      <c r="AV108" s="14" t="n">
        <v>0.97</v>
      </c>
      <c r="AW108" s="14" t="inlineStr">
        <is>
          <t>2026-10-03T09:27:07.620845+08:00</t>
        </is>
      </c>
      <c r="AX108" s="14" t="inlineStr">
        <is>
          <t>Titan007 Next</t>
        </is>
      </c>
      <c r="AY108" s="14" t="inlineStr">
        <is>
          <t>V4 Shadow Only；real_money=false；新增冻结记录</t>
        </is>
      </c>
    </row>
    <row r="109" ht="22" customHeight="1" s="39">
      <c r="A109" s="14" t="inlineStr">
        <is>
          <t>2026-10-03</t>
        </is>
      </c>
      <c r="B109" s="14" t="inlineStr">
        <is>
          <t>2026-10-03 23:30:00</t>
        </is>
      </c>
      <c r="C109" s="14" t="inlineStr">
        <is>
          <t>CLUB_LEAGUE</t>
        </is>
      </c>
      <c r="D109" s="14" t="inlineStr">
        <is>
          <t>联赛</t>
        </is>
      </c>
      <c r="E109" s="14" t="inlineStr">
        <is>
          <t>意丙</t>
        </is>
      </c>
      <c r="F109" s="14" t="inlineStr">
        <is>
          <t>阿济纳诺基安波 vs 帕格特斯</t>
        </is>
      </c>
      <c r="G109" s="26" t="n">
        <v>0.92</v>
      </c>
      <c r="H109" s="26" t="n">
        <v>-0.5</v>
      </c>
      <c r="I109" s="26" t="n">
        <v>0.78</v>
      </c>
      <c r="J109" s="26" t="inlineStr">
        <is>
          <t>0.92/-0.5/0.78</t>
        </is>
      </c>
      <c r="K109" s="14" t="inlineStr">
        <is>
          <t>V4-B｜EV 0.07931863076723861</t>
        </is>
      </c>
      <c r="L109" s="14" t="inlineStr">
        <is>
          <t>阿济纳诺基安波</t>
        </is>
      </c>
      <c r="M109" s="47" t="n">
        <v>0.5621451201912701</v>
      </c>
      <c r="N109" s="14" t="inlineStr">
        <is>
          <t>V4纸面入选-B</t>
        </is>
      </c>
      <c r="O109" s="14" t="inlineStr">
        <is>
          <t>2-2</t>
        </is>
      </c>
      <c r="P109" s="14" t="inlineStr">
        <is>
          <t>已结算</t>
        </is>
      </c>
      <c r="Q109" s="14" t="inlineStr">
        <is>
          <t>黑</t>
        </is>
      </c>
      <c r="R109" s="48" t="n">
        <v>0.92</v>
      </c>
      <c r="S109" s="48">
        <f>IF(OR(Q109="",Q109="待结算"),"",IF(Q109="红",R109,IF(Q109="半红",R109*0.5,IF(Q109="走",0,IF(Q109="半黑",-0.5,-1)))))</f>
        <v/>
      </c>
      <c r="T109" s="14" t="inlineStr">
        <is>
          <t>D:\codex\v3_legacy\outputs\football_odds_trader\raw\titan007\20261004\20261004_084919_titan007_odds_snapshot.csv</t>
        </is>
      </c>
      <c r="U109" s="14">
        <f>IF(Q109="","",IF(Q109="待结算","待结算",IF(Q109="红","黑",IF(Q109="半红","半黑",IF(Q109="走","走",IF(Q109="半黑","半红","红"))))))</f>
        <v/>
      </c>
      <c r="V109" s="48">
        <f>IF(OR(U109="",U109="待结算"),"",IF(L109=LEFT(F109,FIND(" vs ",F109)-1),I109,G109))</f>
        <v/>
      </c>
      <c r="W109" s="48">
        <f>IF(OR(U109="",U109="待结算"),"",IF(U109="红",V109,IF(U109="半红",V109*0.5,IF(U109="走",0,IF(U109="半黑",-0.5,-1)))))</f>
        <v/>
      </c>
      <c r="X109" s="14" t="inlineStr">
        <is>
          <t>3050572</t>
        </is>
      </c>
      <c r="Y109" s="14" t="inlineStr">
        <is>
          <t>V4</t>
        </is>
      </c>
      <c r="Z109" s="14" t="inlineStr">
        <is>
          <t>prior-2026-10-03-v1</t>
        </is>
      </c>
      <c r="AA109" s="14" t="inlineStr">
        <is>
          <t>B</t>
        </is>
      </c>
      <c r="AB109" s="14" t="n">
        <v>0.5621451201912701</v>
      </c>
      <c r="AC109" s="14" t="n">
        <v>0</v>
      </c>
      <c r="AD109" s="14" t="n">
        <v>0</v>
      </c>
      <c r="AE109" s="14" t="n">
        <v>0</v>
      </c>
      <c r="AF109" s="14" t="n">
        <v>0.4378548798087299</v>
      </c>
      <c r="AG109" s="14" t="n">
        <v>0.07931863076723861</v>
      </c>
      <c r="AH109" s="14" t="n"/>
      <c r="AI109" s="14" t="n"/>
      <c r="AJ109" s="14" t="n">
        <v>0.07931863076723861</v>
      </c>
      <c r="AK109" s="14" t="n"/>
      <c r="AL109" s="14" t="n"/>
      <c r="AM109" s="14" t="n"/>
      <c r="AN109" s="14" t="inlineStr">
        <is>
          <t>EVALUATED</t>
        </is>
      </c>
      <c r="AO109" s="14" t="inlineStr">
        <is>
          <t>GIVING_VALIDATED_EDGE;BUCKET_PRIOR_ONLY;INTENT_INTERPRETATION_ONLY;EXPERT_MARKET</t>
        </is>
      </c>
      <c r="AP109" s="14" t="inlineStr">
        <is>
          <t>e0c2e83cc05f05523cba</t>
        </is>
      </c>
      <c r="AQ109" s="14" t="n">
        <v>-0.5</v>
      </c>
      <c r="AR109" s="14" t="n">
        <v>0.92</v>
      </c>
      <c r="AS109" s="14" t="n">
        <v>-0.5</v>
      </c>
      <c r="AT109" s="14" t="n">
        <v>0.5</v>
      </c>
      <c r="AU109" s="14" t="n">
        <v>0.92</v>
      </c>
      <c r="AV109" s="14" t="n">
        <v>0.78</v>
      </c>
      <c r="AW109" s="14" t="inlineStr">
        <is>
          <t>2026-10-03T09:27:07.620845+08:00</t>
        </is>
      </c>
      <c r="AX109" s="14" t="inlineStr">
        <is>
          <t>Titan007 Next</t>
        </is>
      </c>
      <c r="AY109" s="14" t="inlineStr">
        <is>
          <t>V4 Shadow Only；real_money=false；新增冻结记录</t>
        </is>
      </c>
    </row>
    <row r="110" ht="22" customHeight="1" s="39">
      <c r="A110" s="14" t="inlineStr">
        <is>
          <t>2026-10-03</t>
        </is>
      </c>
      <c r="B110" s="14" t="inlineStr">
        <is>
          <t>2026-10-03 23:30:00</t>
        </is>
      </c>
      <c r="C110" s="14" t="inlineStr">
        <is>
          <t>CLUB_LEAGUE</t>
        </is>
      </c>
      <c r="D110" s="14" t="inlineStr">
        <is>
          <t>联赛</t>
        </is>
      </c>
      <c r="E110" s="14" t="inlineStr">
        <is>
          <t>意丙</t>
        </is>
      </c>
      <c r="F110" s="14" t="inlineStr">
        <is>
          <t>格罗瑟托 vs 萨比尼迪特斯</t>
        </is>
      </c>
      <c r="G110" s="26" t="n">
        <v>0.85</v>
      </c>
      <c r="H110" s="26" t="n">
        <v>-0.75</v>
      </c>
      <c r="I110" s="26" t="n">
        <v>0.85</v>
      </c>
      <c r="J110" s="26" t="inlineStr">
        <is>
          <t>0.85/-0.75/0.85</t>
        </is>
      </c>
      <c r="K110" s="14" t="inlineStr">
        <is>
          <t>V4-B｜EV 0.10173785947256203</t>
        </is>
      </c>
      <c r="L110" s="14" t="inlineStr">
        <is>
          <t>格罗瑟托</t>
        </is>
      </c>
      <c r="M110" s="47" t="n">
        <v>0.5260431218305918</v>
      </c>
      <c r="N110" s="14" t="inlineStr">
        <is>
          <t>V4纸面入选-B</t>
        </is>
      </c>
      <c r="O110" s="14" t="inlineStr">
        <is>
          <t>1-3</t>
        </is>
      </c>
      <c r="P110" s="14" t="inlineStr">
        <is>
          <t>已结算</t>
        </is>
      </c>
      <c r="Q110" s="14" t="inlineStr">
        <is>
          <t>黑</t>
        </is>
      </c>
      <c r="R110" s="48" t="n">
        <v>0.85</v>
      </c>
      <c r="S110" s="48">
        <f>IF(OR(Q110="",Q110="待结算"),"",IF(Q110="红",R110,IF(Q110="半红",R110*0.5,IF(Q110="走",0,IF(Q110="半黑",-0.5,-1)))))</f>
        <v/>
      </c>
      <c r="T110" s="14" t="inlineStr">
        <is>
          <t>D:\codex\v3_legacy\outputs\football_odds_trader\raw\titan007\20261004\20261004_084919_titan007_odds_snapshot.csv</t>
        </is>
      </c>
      <c r="U110" s="14">
        <f>IF(Q110="","",IF(Q110="待结算","待结算",IF(Q110="红","黑",IF(Q110="半红","半黑",IF(Q110="走","走",IF(Q110="半黑","半红","红"))))))</f>
        <v/>
      </c>
      <c r="V110" s="48">
        <f>IF(OR(U110="",U110="待结算"),"",IF(L110=LEFT(F110,FIND(" vs ",F110)-1),I110,G110))</f>
        <v/>
      </c>
      <c r="W110" s="48">
        <f>IF(OR(U110="",U110="待结算"),"",IF(U110="红",V110,IF(U110="半红",V110*0.5,IF(U110="走",0,IF(U110="半黑",-0.5,-1)))))</f>
        <v/>
      </c>
      <c r="X110" s="14" t="inlineStr">
        <is>
          <t>3050953</t>
        </is>
      </c>
      <c r="Y110" s="14" t="inlineStr">
        <is>
          <t>V4</t>
        </is>
      </c>
      <c r="Z110" s="14" t="inlineStr">
        <is>
          <t>prior-2026-10-03-v1</t>
        </is>
      </c>
      <c r="AA110" s="14" t="inlineStr">
        <is>
          <t>B</t>
        </is>
      </c>
      <c r="AB110" s="14" t="n">
        <v>0.3974850377446245</v>
      </c>
      <c r="AC110" s="14" t="n">
        <v>0.2571161681719345</v>
      </c>
      <c r="AD110" s="14" t="n">
        <v>0</v>
      </c>
      <c r="AE110" s="14" t="n">
        <v>0</v>
      </c>
      <c r="AF110" s="14" t="n">
        <v>0.345398794083441</v>
      </c>
      <c r="AG110" s="14" t="n">
        <v>0.101737859472562</v>
      </c>
      <c r="AH110" s="14" t="n"/>
      <c r="AI110" s="14" t="n"/>
      <c r="AJ110" s="14" t="n">
        <v>0.101737859472562</v>
      </c>
      <c r="AK110" s="14" t="n"/>
      <c r="AL110" s="14" t="n"/>
      <c r="AM110" s="14" t="n"/>
      <c r="AN110" s="14" t="inlineStr">
        <is>
          <t>EVALUATED</t>
        </is>
      </c>
      <c r="AO110" s="14" t="inlineStr">
        <is>
          <t>GIVING_VALIDATED_EDGE;BUCKET_PRIOR_ONLY;INTENT_INTERPRETATION_ONLY;EXPERT_MARKET</t>
        </is>
      </c>
      <c r="AP110" s="14" t="inlineStr">
        <is>
          <t>ce827f1121e1d105e9b0</t>
        </is>
      </c>
      <c r="AQ110" s="14" t="n">
        <v>-0.75</v>
      </c>
      <c r="AR110" s="14" t="n">
        <v>0.85</v>
      </c>
      <c r="AS110" s="14" t="n">
        <v>-0.75</v>
      </c>
      <c r="AT110" s="14" t="n">
        <v>0.75</v>
      </c>
      <c r="AU110" s="14" t="n">
        <v>0.85</v>
      </c>
      <c r="AV110" s="14" t="n">
        <v>0.85</v>
      </c>
      <c r="AW110" s="14" t="inlineStr">
        <is>
          <t>2026-10-03T09:27:07.620845+08:00</t>
        </is>
      </c>
      <c r="AX110" s="14" t="inlineStr">
        <is>
          <t>Titan007 Next</t>
        </is>
      </c>
      <c r="AY110" s="14" t="inlineStr">
        <is>
          <t>V4 Shadow Only；real_money=false；新增冻结记录</t>
        </is>
      </c>
    </row>
    <row r="111" ht="22" customHeight="1" s="39">
      <c r="A111" s="14" t="inlineStr">
        <is>
          <t>2026-10-03</t>
        </is>
      </c>
      <c r="B111" s="14" t="inlineStr">
        <is>
          <t>2026-10-03 23:30:00</t>
        </is>
      </c>
      <c r="C111" s="14" t="inlineStr">
        <is>
          <t>CLUB_LEAGUE</t>
        </is>
      </c>
      <c r="D111" s="14" t="inlineStr">
        <is>
          <t>联赛</t>
        </is>
      </c>
      <c r="E111" s="14" t="inlineStr">
        <is>
          <t>意丙</t>
        </is>
      </c>
      <c r="F111" s="14" t="inlineStr">
        <is>
          <t>摩诺波利 vs 萨沃亚</t>
        </is>
      </c>
      <c r="G111" s="26" t="n">
        <v>0.76</v>
      </c>
      <c r="H111" s="26" t="n">
        <v>-0.5</v>
      </c>
      <c r="I111" s="26" t="n">
        <v>0.9399999999999999</v>
      </c>
      <c r="J111" s="26" t="inlineStr">
        <is>
          <t>0.76/-0.5/0.94</t>
        </is>
      </c>
      <c r="K111" s="14" t="inlineStr">
        <is>
          <t>V4-B｜EV 0.0909443985273789</t>
        </is>
      </c>
      <c r="L111" s="14" t="inlineStr">
        <is>
          <t>摩诺波利</t>
        </is>
      </c>
      <c r="M111" s="47" t="n">
        <v>0.6198547718905562</v>
      </c>
      <c r="N111" s="14" t="inlineStr">
        <is>
          <t>V4纸面入选-B</t>
        </is>
      </c>
      <c r="O111" s="14" t="inlineStr">
        <is>
          <t>0-0</t>
        </is>
      </c>
      <c r="P111" s="14" t="inlineStr">
        <is>
          <t>已结算</t>
        </is>
      </c>
      <c r="Q111" s="14" t="inlineStr">
        <is>
          <t>黑</t>
        </is>
      </c>
      <c r="R111" s="48" t="n">
        <v>0.76</v>
      </c>
      <c r="S111" s="48">
        <f>IF(OR(Q111="",Q111="待结算"),"",IF(Q111="红",R111,IF(Q111="半红",R111*0.5,IF(Q111="走",0,IF(Q111="半黑",-0.5,-1)))))</f>
        <v/>
      </c>
      <c r="T111" s="14" t="inlineStr">
        <is>
          <t>D:\codex\v3_legacy\outputs\football_odds_trader\raw\titan007\20261004\20261004_084919_titan007_odds_snapshot.csv</t>
        </is>
      </c>
      <c r="U111" s="14">
        <f>IF(Q111="","",IF(Q111="待结算","待结算",IF(Q111="红","黑",IF(Q111="半红","半黑",IF(Q111="走","走",IF(Q111="半黑","半红","红"))))))</f>
        <v/>
      </c>
      <c r="V111" s="48">
        <f>IF(OR(U111="",U111="待结算"),"",IF(L111=LEFT(F111,FIND(" vs ",F111)-1),I111,G111))</f>
        <v/>
      </c>
      <c r="W111" s="48">
        <f>IF(OR(U111="",U111="待结算"),"",IF(U111="红",V111,IF(U111="半红",V111*0.5,IF(U111="走",0,IF(U111="半黑",-0.5,-1)))))</f>
        <v/>
      </c>
      <c r="X111" s="14" t="inlineStr">
        <is>
          <t>3051337</t>
        </is>
      </c>
      <c r="Y111" s="14" t="inlineStr">
        <is>
          <t>V4</t>
        </is>
      </c>
      <c r="Z111" s="14" t="inlineStr">
        <is>
          <t>prior-2026-10-03-v1</t>
        </is>
      </c>
      <c r="AA111" s="14" t="inlineStr">
        <is>
          <t>B</t>
        </is>
      </c>
      <c r="AB111" s="14" t="n">
        <v>0.6198547718905562</v>
      </c>
      <c r="AC111" s="14" t="n">
        <v>0</v>
      </c>
      <c r="AD111" s="14" t="n">
        <v>0</v>
      </c>
      <c r="AE111" s="14" t="n">
        <v>0</v>
      </c>
      <c r="AF111" s="14" t="n">
        <v>0.3801452281094438</v>
      </c>
      <c r="AG111" s="14" t="n">
        <v>0.0909443985273789</v>
      </c>
      <c r="AH111" s="14" t="n"/>
      <c r="AI111" s="14" t="n"/>
      <c r="AJ111" s="14" t="n">
        <v>0.0909443985273789</v>
      </c>
      <c r="AK111" s="14" t="n"/>
      <c r="AL111" s="14" t="n"/>
      <c r="AM111" s="14" t="n"/>
      <c r="AN111" s="14" t="inlineStr">
        <is>
          <t>EVALUATED</t>
        </is>
      </c>
      <c r="AO111" s="14" t="inlineStr">
        <is>
          <t>GIVING_VALIDATED_EDGE;BUCKET_PRIOR_ONLY;INTENT_INTERPRETATION_ONLY;EXPERT_MARKET</t>
        </is>
      </c>
      <c r="AP111" s="14" t="inlineStr">
        <is>
          <t>ca0a26c7433b2d57c720</t>
        </is>
      </c>
      <c r="AQ111" s="14" t="n">
        <v>-0.5</v>
      </c>
      <c r="AR111" s="14" t="n">
        <v>0.76</v>
      </c>
      <c r="AS111" s="14" t="n">
        <v>-0.5</v>
      </c>
      <c r="AT111" s="14" t="n">
        <v>0.5</v>
      </c>
      <c r="AU111" s="14" t="n">
        <v>0.76</v>
      </c>
      <c r="AV111" s="14" t="n">
        <v>0.9399999999999999</v>
      </c>
      <c r="AW111" s="14" t="inlineStr">
        <is>
          <t>2026-10-03T09:27:07.620845+08:00</t>
        </is>
      </c>
      <c r="AX111" s="14" t="inlineStr">
        <is>
          <t>Titan007 Next</t>
        </is>
      </c>
      <c r="AY111" s="14" t="inlineStr">
        <is>
          <t>V4 Shadow Only；real_money=false；新增冻结记录</t>
        </is>
      </c>
    </row>
    <row r="112" ht="22" customHeight="1" s="39">
      <c r="A112" s="14" t="inlineStr">
        <is>
          <t>2026-10-03</t>
        </is>
      </c>
      <c r="B112" s="14" t="inlineStr">
        <is>
          <t>2026-10-04 00:00:00</t>
        </is>
      </c>
      <c r="C112" s="14" t="inlineStr">
        <is>
          <t>CLUB_LEAGUE</t>
        </is>
      </c>
      <c r="D112" s="14" t="inlineStr">
        <is>
          <t>联赛</t>
        </is>
      </c>
      <c r="E112" s="14" t="inlineStr">
        <is>
          <t>意女甲</t>
        </is>
      </c>
      <c r="F112" s="14" t="inlineStr">
        <is>
          <t>AS罗马女足 vs 拉素女足</t>
        </is>
      </c>
      <c r="G112" s="26" t="n">
        <v>0.83</v>
      </c>
      <c r="H112" s="26" t="n">
        <v>-1.25</v>
      </c>
      <c r="I112" s="26" t="n">
        <v>0.87</v>
      </c>
      <c r="J112" s="26" t="inlineStr">
        <is>
          <t>0.83/-1.25/0.87</t>
        </is>
      </c>
      <c r="K112" s="14" t="inlineStr">
        <is>
          <t>V4-B｜EV 0.13100779579046656</t>
        </is>
      </c>
      <c r="L112" s="14" t="inlineStr">
        <is>
          <t>AS罗马女足</t>
        </is>
      </c>
      <c r="M112" s="47" t="n">
        <v>0.5520809374570219</v>
      </c>
      <c r="N112" s="14" t="inlineStr">
        <is>
          <t>V4纸面入选-B</t>
        </is>
      </c>
      <c r="O112" s="14" t="inlineStr">
        <is>
          <t>3-1</t>
        </is>
      </c>
      <c r="P112" s="14" t="inlineStr">
        <is>
          <t>已结算</t>
        </is>
      </c>
      <c r="Q112" s="14" t="inlineStr">
        <is>
          <t>红</t>
        </is>
      </c>
      <c r="R112" s="48" t="n">
        <v>0.83</v>
      </c>
      <c r="S112" s="48">
        <f>IF(OR(Q112="",Q112="待结算"),"",IF(Q112="红",R112,IF(Q112="半红",R112*0.5,IF(Q112="走",0,IF(Q112="半黑",-0.5,-1)))))</f>
        <v/>
      </c>
      <c r="T112" s="14" t="inlineStr">
        <is>
          <t>D:\codex\v3_legacy\outputs\football_odds_trader\raw\titan007\20261004\20261004_084919_titan007_odds_snapshot.csv</t>
        </is>
      </c>
      <c r="U112" s="14">
        <f>IF(Q112="","",IF(Q112="待结算","待结算",IF(Q112="红","黑",IF(Q112="半红","半黑",IF(Q112="走","走",IF(Q112="半黑","半红","红"))))))</f>
        <v/>
      </c>
      <c r="V112" s="48">
        <f>IF(OR(U112="",U112="待结算"),"",IF(L112=LEFT(F112,FIND(" vs ",F112)-1),I112,G112))</f>
        <v/>
      </c>
      <c r="W112" s="48">
        <f>IF(OR(U112="",U112="待结算"),"",IF(U112="红",V112,IF(U112="半红",V112*0.5,IF(U112="走",0,IF(U112="半黑",-0.5,-1)))))</f>
        <v/>
      </c>
      <c r="X112" s="14" t="inlineStr">
        <is>
          <t>3042385</t>
        </is>
      </c>
      <c r="Y112" s="14" t="inlineStr">
        <is>
          <t>V4</t>
        </is>
      </c>
      <c r="Z112" s="14" t="inlineStr">
        <is>
          <t>prior-2026-10-03-v1</t>
        </is>
      </c>
      <c r="AA112" s="14" t="inlineStr">
        <is>
          <t>B</t>
        </is>
      </c>
      <c r="AB112" s="14" t="n">
        <v>0.5520809374570219</v>
      </c>
      <c r="AC112" s="14" t="n">
        <v>0</v>
      </c>
      <c r="AD112" s="14" t="n">
        <v>0</v>
      </c>
      <c r="AE112" s="14" t="n">
        <v>0.241399360488233</v>
      </c>
      <c r="AF112" s="14" t="n">
        <v>0.2065197020547451</v>
      </c>
      <c r="AG112" s="14" t="n">
        <v>0.1310077957904666</v>
      </c>
      <c r="AH112" s="14" t="n"/>
      <c r="AI112" s="14" t="n"/>
      <c r="AJ112" s="14" t="n">
        <v>0.1310077957904666</v>
      </c>
      <c r="AK112" s="14" t="n"/>
      <c r="AL112" s="14" t="n"/>
      <c r="AM112" s="14" t="n"/>
      <c r="AN112" s="14" t="inlineStr">
        <is>
          <t>EVALUATED</t>
        </is>
      </c>
      <c r="AO112" s="14" t="inlineStr">
        <is>
          <t>GIVING_VALIDATED_EDGE;BUCKET_PRIOR_ONLY;INTENT_INTERPRETATION_ONLY;EXPERT_MARKET</t>
        </is>
      </c>
      <c r="AP112" s="14" t="inlineStr">
        <is>
          <t>de95bf72a1c58c97dc6c</t>
        </is>
      </c>
      <c r="AQ112" s="14" t="n">
        <v>-1.25</v>
      </c>
      <c r="AR112" s="14" t="n">
        <v>0.83</v>
      </c>
      <c r="AS112" s="14" t="n">
        <v>-1.25</v>
      </c>
      <c r="AT112" s="14" t="n">
        <v>1.25</v>
      </c>
      <c r="AU112" s="14" t="n">
        <v>0.83</v>
      </c>
      <c r="AV112" s="14" t="n">
        <v>0.87</v>
      </c>
      <c r="AW112" s="14" t="inlineStr">
        <is>
          <t>2026-10-03T09:27:07.620845+08:00</t>
        </is>
      </c>
      <c r="AX112" s="14" t="inlineStr">
        <is>
          <t>Titan007 Next</t>
        </is>
      </c>
      <c r="AY112" s="14" t="inlineStr">
        <is>
          <t>V4 Shadow Only；real_money=false；新增冻结记录</t>
        </is>
      </c>
    </row>
    <row r="113" ht="22" customHeight="1" s="39">
      <c r="A113" s="14" t="inlineStr">
        <is>
          <t>2026-10-03</t>
        </is>
      </c>
      <c r="B113" s="14" t="inlineStr">
        <is>
          <t>2026-10-04 00:30:00</t>
        </is>
      </c>
      <c r="C113" s="14" t="inlineStr">
        <is>
          <t>CLUB_LEAGUE</t>
        </is>
      </c>
      <c r="D113" s="14" t="inlineStr">
        <is>
          <t>联赛</t>
        </is>
      </c>
      <c r="E113" s="14" t="inlineStr">
        <is>
          <t>西乙</t>
        </is>
      </c>
      <c r="F113" s="14" t="inlineStr">
        <is>
          <t>萨瓦德尔 vs 安道尔FC</t>
        </is>
      </c>
      <c r="G113" s="26" t="n">
        <v>1.07</v>
      </c>
      <c r="H113" s="26" t="n">
        <v>-0.5</v>
      </c>
      <c r="I113" s="26" t="n">
        <v>0.8100000000000001</v>
      </c>
      <c r="J113" s="26" t="inlineStr">
        <is>
          <t>1.07/-0.5/0.81</t>
        </is>
      </c>
      <c r="K113" s="14" t="inlineStr">
        <is>
          <t>V4-B｜EV 0.08068548933797243</t>
        </is>
      </c>
      <c r="L113" s="14" t="inlineStr">
        <is>
          <t>萨瓦德尔</t>
        </is>
      </c>
      <c r="M113" s="47" t="n">
        <v>0.5220702847043345</v>
      </c>
      <c r="N113" s="14" t="inlineStr">
        <is>
          <t>V4纸面入选-B</t>
        </is>
      </c>
      <c r="O113" s="14" t="inlineStr">
        <is>
          <t>取消/延期</t>
        </is>
      </c>
      <c r="P113" s="14" t="inlineStr">
        <is>
          <t>取消/延期</t>
        </is>
      </c>
      <c r="Q113" s="14" t="n"/>
      <c r="R113" s="48" t="n">
        <v>1.07</v>
      </c>
      <c r="S113" s="48" t="n"/>
      <c r="T113" s="14" t="inlineStr">
        <is>
          <t>D:\codex\v3_legacy\outputs\football_odds_trader\raw\titan007\20261004\20261004_084919_titan007_odds_snapshot.csv</t>
        </is>
      </c>
      <c r="U113" s="14">
        <f>IF(Q113="","",IF(Q113="待结算","待结算",IF(Q113="红","黑",IF(Q113="半红","半黑",IF(Q113="走","走",IF(Q113="半黑","半红","红"))))))</f>
        <v/>
      </c>
      <c r="V113" s="48">
        <f>IF(OR(U113="",U113="待结算"),"",IF(L113=LEFT(F113,FIND(" vs ",F113)-1),I113,G113))</f>
        <v/>
      </c>
      <c r="W113" s="48">
        <f>IF(OR(U113="",U113="待结算"),"",IF(U113="红",V113,IF(U113="半红",V113*0.5,IF(U113="走",0,IF(U113="半黑",-0.5,-1)))))</f>
        <v/>
      </c>
      <c r="X113" s="14" t="inlineStr">
        <is>
          <t>3014109</t>
        </is>
      </c>
      <c r="Y113" s="14" t="inlineStr">
        <is>
          <t>V4</t>
        </is>
      </c>
      <c r="Z113" s="14" t="inlineStr">
        <is>
          <t>prior-2026-10-03-v1</t>
        </is>
      </c>
      <c r="AA113" s="14" t="inlineStr">
        <is>
          <t>B</t>
        </is>
      </c>
      <c r="AB113" s="14" t="n">
        <v>0.5220702847043345</v>
      </c>
      <c r="AC113" s="14" t="n">
        <v>0</v>
      </c>
      <c r="AD113" s="14" t="n">
        <v>0</v>
      </c>
      <c r="AE113" s="14" t="n">
        <v>0</v>
      </c>
      <c r="AF113" s="14" t="n">
        <v>0.4779297152956655</v>
      </c>
      <c r="AG113" s="14" t="n">
        <v>0.08068548933797243</v>
      </c>
      <c r="AH113" s="14" t="n"/>
      <c r="AI113" s="14" t="n"/>
      <c r="AJ113" s="14" t="n">
        <v>0.08068548933797243</v>
      </c>
      <c r="AK113" s="14" t="n"/>
      <c r="AL113" s="14" t="n"/>
      <c r="AM113" s="14" t="n"/>
      <c r="AN113" s="14" t="inlineStr">
        <is>
          <t>EVALUATED</t>
        </is>
      </c>
      <c r="AO113" s="14" t="inlineStr">
        <is>
          <t>GIVING_VALIDATED_EDGE;BUCKET_PRIOR_ONLY;INTENT_INTERPRETATION_ONLY;EXPERT_MARKET</t>
        </is>
      </c>
      <c r="AP113" s="14" t="inlineStr">
        <is>
          <t>16e3ec9bb3eb50a2d5df</t>
        </is>
      </c>
      <c r="AQ113" s="14" t="n">
        <v>-0.5</v>
      </c>
      <c r="AR113" s="14" t="n">
        <v>1.07</v>
      </c>
      <c r="AS113" s="14" t="n">
        <v>-0.5</v>
      </c>
      <c r="AT113" s="14" t="n">
        <v>0.5</v>
      </c>
      <c r="AU113" s="14" t="n">
        <v>1.07</v>
      </c>
      <c r="AV113" s="14" t="n">
        <v>0.8100000000000001</v>
      </c>
      <c r="AW113" s="14" t="inlineStr">
        <is>
          <t>2026-10-03T09:27:07.620845+08:00</t>
        </is>
      </c>
      <c r="AX113" s="14" t="inlineStr">
        <is>
          <t>Titan007 Next</t>
        </is>
      </c>
      <c r="AY113" s="14" t="inlineStr">
        <is>
          <t>V4 Shadow Only；real_money=false；新增冻结记录</t>
        </is>
      </c>
    </row>
    <row r="114" ht="22" customHeight="1" s="39">
      <c r="A114" s="14" t="inlineStr">
        <is>
          <t>2026-10-03</t>
        </is>
      </c>
      <c r="B114" s="14" t="inlineStr">
        <is>
          <t>2026-10-04 00:30:00</t>
        </is>
      </c>
      <c r="C114" s="14" t="inlineStr">
        <is>
          <t>CLUB_LEAGUE</t>
        </is>
      </c>
      <c r="D114" s="14" t="inlineStr">
        <is>
          <t>联赛</t>
        </is>
      </c>
      <c r="E114" s="14" t="inlineStr">
        <is>
          <t>苏甲</t>
        </is>
      </c>
      <c r="F114" s="14" t="inlineStr">
        <is>
          <t>哈密尔顿 vs 彼得黑德</t>
        </is>
      </c>
      <c r="G114" s="26" t="n">
        <v>0.96</v>
      </c>
      <c r="H114" s="26" t="n">
        <v>-1.5</v>
      </c>
      <c r="I114" s="26" t="n">
        <v>0.74</v>
      </c>
      <c r="J114" s="26" t="inlineStr">
        <is>
          <t>0.96/-1.5/0.74</t>
        </is>
      </c>
      <c r="K114" s="14" t="inlineStr">
        <is>
          <t>V4-B｜EV 0.1492251174252061</t>
        </is>
      </c>
      <c r="L114" s="14" t="inlineStr">
        <is>
          <t>哈密尔顿</t>
        </is>
      </c>
      <c r="M114" s="47" t="n">
        <v>0.5863393456251051</v>
      </c>
      <c r="N114" s="14" t="inlineStr">
        <is>
          <t>V4纸面入选-B</t>
        </is>
      </c>
      <c r="O114" s="14" t="inlineStr">
        <is>
          <t>2-1</t>
        </is>
      </c>
      <c r="P114" s="14" t="inlineStr">
        <is>
          <t>已结算</t>
        </is>
      </c>
      <c r="Q114" s="14" t="inlineStr">
        <is>
          <t>黑</t>
        </is>
      </c>
      <c r="R114" s="48" t="n">
        <v>0.96</v>
      </c>
      <c r="S114" s="48">
        <f>IF(OR(Q114="",Q114="待结算"),"",IF(Q114="红",R114,IF(Q114="半红",R114*0.5,IF(Q114="走",0,IF(Q114="半黑",-0.5,-1)))))</f>
        <v/>
      </c>
      <c r="T114" s="14" t="inlineStr">
        <is>
          <t>D:\codex\v3_legacy\outputs\football_odds_trader\raw\titan007\20261004\20261004_084919_titan007_odds_snapshot.csv</t>
        </is>
      </c>
      <c r="U114" s="14">
        <f>IF(Q114="","",IF(Q114="待结算","待结算",IF(Q114="红","黑",IF(Q114="半红","半黑",IF(Q114="走","走",IF(Q114="半黑","半红","红"))))))</f>
        <v/>
      </c>
      <c r="V114" s="48">
        <f>IF(OR(U114="",U114="待结算"),"",IF(L114=LEFT(F114,FIND(" vs ",F114)-1),I114,G114))</f>
        <v/>
      </c>
      <c r="W114" s="48">
        <f>IF(OR(U114="",U114="待结算"),"",IF(U114="红",V114,IF(U114="半红",V114*0.5,IF(U114="走",0,IF(U114="半黑",-0.5,-1)))))</f>
        <v/>
      </c>
      <c r="X114" s="14" t="inlineStr">
        <is>
          <t>3002454</t>
        </is>
      </c>
      <c r="Y114" s="14" t="inlineStr">
        <is>
          <t>V4</t>
        </is>
      </c>
      <c r="Z114" s="14" t="inlineStr">
        <is>
          <t>prior-2026-10-03-v1</t>
        </is>
      </c>
      <c r="AA114" s="14" t="inlineStr">
        <is>
          <t>B</t>
        </is>
      </c>
      <c r="AB114" s="14" t="n">
        <v>0.5863393456251051</v>
      </c>
      <c r="AC114" s="14" t="n">
        <v>0</v>
      </c>
      <c r="AD114" s="14" t="n">
        <v>0</v>
      </c>
      <c r="AE114" s="14" t="n">
        <v>0</v>
      </c>
      <c r="AF114" s="14" t="n">
        <v>0.4136606543748948</v>
      </c>
      <c r="AG114" s="14" t="n">
        <v>0.1492251174252061</v>
      </c>
      <c r="AH114" s="14" t="n"/>
      <c r="AI114" s="14" t="n"/>
      <c r="AJ114" s="14" t="n">
        <v>0.1492251174252061</v>
      </c>
      <c r="AK114" s="14" t="n"/>
      <c r="AL114" s="14" t="n"/>
      <c r="AM114" s="14" t="n"/>
      <c r="AN114" s="14" t="inlineStr">
        <is>
          <t>EVALUATED</t>
        </is>
      </c>
      <c r="AO114" s="14" t="inlineStr">
        <is>
          <t>GIVING_VALIDATED_EDGE;BUCKET_PRIOR_ONLY;INTENT_INTERPRETATION_ONLY;EXPERT_MARKET</t>
        </is>
      </c>
      <c r="AP114" s="14" t="inlineStr">
        <is>
          <t>068d4e3722af5f2daefc</t>
        </is>
      </c>
      <c r="AQ114" s="14" t="n">
        <v>-1.5</v>
      </c>
      <c r="AR114" s="14" t="n">
        <v>0.96</v>
      </c>
      <c r="AS114" s="14" t="n">
        <v>-1.5</v>
      </c>
      <c r="AT114" s="14" t="n">
        <v>1.5</v>
      </c>
      <c r="AU114" s="14" t="n">
        <v>0.96</v>
      </c>
      <c r="AV114" s="14" t="n">
        <v>0.74</v>
      </c>
      <c r="AW114" s="14" t="inlineStr">
        <is>
          <t>2026-10-03T09:27:07.620845+08:00</t>
        </is>
      </c>
      <c r="AX114" s="14" t="inlineStr">
        <is>
          <t>Titan007 Next</t>
        </is>
      </c>
      <c r="AY114" s="14" t="inlineStr">
        <is>
          <t>V4 Shadow Only；real_money=false；新增冻结记录</t>
        </is>
      </c>
    </row>
    <row r="115" ht="22" customHeight="1" s="39">
      <c r="A115" s="14" t="inlineStr">
        <is>
          <t>2026-10-03</t>
        </is>
      </c>
      <c r="B115" s="14" t="inlineStr">
        <is>
          <t>2026-10-04 00:45:00</t>
        </is>
      </c>
      <c r="C115" s="14" t="inlineStr">
        <is>
          <t>CLUB_LEAGUE</t>
        </is>
      </c>
      <c r="D115" s="14" t="inlineStr">
        <is>
          <t>联赛</t>
        </is>
      </c>
      <c r="E115" s="14" t="inlineStr">
        <is>
          <t>西协甲</t>
        </is>
      </c>
      <c r="F115" s="14" t="inlineStr">
        <is>
          <t>艾科坎 vs 托雷莫利诺斯青年</t>
        </is>
      </c>
      <c r="G115" s="26" t="n">
        <v>0.7</v>
      </c>
      <c r="H115" s="26" t="n">
        <v>-1.25</v>
      </c>
      <c r="I115" s="26" t="n">
        <v>1</v>
      </c>
      <c r="J115" s="26" t="inlineStr">
        <is>
          <t>0.7/-1.25/1.0</t>
        </is>
      </c>
      <c r="K115" s="14" t="inlineStr">
        <is>
          <t>V4-B｜EV 0.07033684192284584</t>
        </is>
      </c>
      <c r="L115" s="14" t="inlineStr">
        <is>
          <t>艾科坎</t>
        </is>
      </c>
      <c r="M115" s="47" t="n">
        <v>0.5586853772974534</v>
      </c>
      <c r="N115" s="14" t="inlineStr">
        <is>
          <t>V4纸面入选-B</t>
        </is>
      </c>
      <c r="O115" s="14" t="inlineStr">
        <is>
          <t>5-0</t>
        </is>
      </c>
      <c r="P115" s="14" t="inlineStr">
        <is>
          <t>已结算</t>
        </is>
      </c>
      <c r="Q115" s="14" t="inlineStr">
        <is>
          <t>红</t>
        </is>
      </c>
      <c r="R115" s="48" t="n">
        <v>0.7</v>
      </c>
      <c r="S115" s="48">
        <f>IF(OR(Q115="",Q115="待结算"),"",IF(Q115="红",R115,IF(Q115="半红",R115*0.5,IF(Q115="走",0,IF(Q115="半黑",-0.5,-1)))))</f>
        <v/>
      </c>
      <c r="T115" s="14" t="inlineStr">
        <is>
          <t>D:\codex\v3_legacy\outputs\football_odds_trader\raw\titan007\20261004\20261004_084919_titan007_odds_snapshot.csv</t>
        </is>
      </c>
      <c r="U115" s="14">
        <f>IF(Q115="","",IF(Q115="待结算","待结算",IF(Q115="红","黑",IF(Q115="半红","半黑",IF(Q115="走","走",IF(Q115="半黑","半红","红"))))))</f>
        <v/>
      </c>
      <c r="V115" s="48">
        <f>IF(OR(U115="",U115="待结算"),"",IF(L115=LEFT(F115,FIND(" vs ",F115)-1),I115,G115))</f>
        <v/>
      </c>
      <c r="W115" s="48">
        <f>IF(OR(U115="",U115="待结算"),"",IF(U115="红",V115,IF(U115="半红",V115*0.5,IF(U115="走",0,IF(U115="半黑",-0.5,-1)))))</f>
        <v/>
      </c>
      <c r="X115" s="14" t="inlineStr">
        <is>
          <t>3014914</t>
        </is>
      </c>
      <c r="Y115" s="14" t="inlineStr">
        <is>
          <t>V4</t>
        </is>
      </c>
      <c r="Z115" s="14" t="inlineStr">
        <is>
          <t>prior-2026-10-03-v1</t>
        </is>
      </c>
      <c r="AA115" s="14" t="inlineStr">
        <is>
          <t>B</t>
        </is>
      </c>
      <c r="AB115" s="14" t="n">
        <v>0.5586853772974534</v>
      </c>
      <c r="AC115" s="14" t="n">
        <v>0</v>
      </c>
      <c r="AD115" s="14" t="n">
        <v>0</v>
      </c>
      <c r="AE115" s="14" t="n">
        <v>0.2411434010343502</v>
      </c>
      <c r="AF115" s="14" t="n">
        <v>0.2001712216681963</v>
      </c>
      <c r="AG115" s="14" t="n">
        <v>0.07033684192284584</v>
      </c>
      <c r="AH115" s="14" t="n"/>
      <c r="AI115" s="14" t="n"/>
      <c r="AJ115" s="14" t="n">
        <v>0.07033684192284584</v>
      </c>
      <c r="AK115" s="14" t="n"/>
      <c r="AL115" s="14" t="n"/>
      <c r="AM115" s="14" t="n"/>
      <c r="AN115" s="14" t="inlineStr">
        <is>
          <t>EVALUATED</t>
        </is>
      </c>
      <c r="AO115" s="14" t="inlineStr">
        <is>
          <t>GIVING_VALIDATED_EDGE;BUCKET_PRIOR_ONLY;INTENT_INTERPRETATION_ONLY;EXPERT_MARKET</t>
        </is>
      </c>
      <c r="AP115" s="14" t="inlineStr">
        <is>
          <t>9ab812628ddbb2ef7a65</t>
        </is>
      </c>
      <c r="AQ115" s="14" t="n">
        <v>-1.25</v>
      </c>
      <c r="AR115" s="14" t="n">
        <v>0.7</v>
      </c>
      <c r="AS115" s="14" t="n">
        <v>-1.25</v>
      </c>
      <c r="AT115" s="14" t="n">
        <v>1.25</v>
      </c>
      <c r="AU115" s="14" t="n">
        <v>0.7</v>
      </c>
      <c r="AV115" s="14" t="n">
        <v>1</v>
      </c>
      <c r="AW115" s="14" t="inlineStr">
        <is>
          <t>2026-10-03T09:27:07.620845+08:00</t>
        </is>
      </c>
      <c r="AX115" s="14" t="inlineStr">
        <is>
          <t>Titan007 Next</t>
        </is>
      </c>
      <c r="AY115" s="14" t="inlineStr">
        <is>
          <t>V4 Shadow Only；real_money=false；新增冻结记录</t>
        </is>
      </c>
    </row>
    <row r="116" ht="22" customHeight="1" s="39">
      <c r="A116" s="14" t="inlineStr">
        <is>
          <t>2026-10-03</t>
        </is>
      </c>
      <c r="B116" s="14" t="inlineStr">
        <is>
          <t>2026-10-04 00:45:00</t>
        </is>
      </c>
      <c r="C116" s="14" t="inlineStr">
        <is>
          <t>CLUB_LEAGUE</t>
        </is>
      </c>
      <c r="D116" s="14" t="inlineStr">
        <is>
          <t>联赛</t>
        </is>
      </c>
      <c r="E116" s="14" t="inlineStr">
        <is>
          <t>西协甲</t>
        </is>
      </c>
      <c r="F116" s="14" t="inlineStr">
        <is>
          <t>卡塔赫纳 vs 亚古拉斯</t>
        </is>
      </c>
      <c r="G116" s="26" t="n">
        <v>0.92</v>
      </c>
      <c r="H116" s="26" t="n">
        <v>-0.5</v>
      </c>
      <c r="I116" s="26" t="n">
        <v>0.78</v>
      </c>
      <c r="J116" s="26" t="inlineStr">
        <is>
          <t>0.92/-0.5/0.78</t>
        </is>
      </c>
      <c r="K116" s="14" t="inlineStr">
        <is>
          <t>V4-C｜EV 0.06613641800478881</t>
        </is>
      </c>
      <c r="L116" s="14" t="inlineStr">
        <is>
          <t>卡塔赫纳</t>
        </is>
      </c>
      <c r="M116" s="47" t="n">
        <v>0.5552793843774941</v>
      </c>
      <c r="N116" s="14" t="inlineStr">
        <is>
          <t>V4纸面入选-C</t>
        </is>
      </c>
      <c r="O116" s="14" t="inlineStr">
        <is>
          <t>4-1</t>
        </is>
      </c>
      <c r="P116" s="14" t="inlineStr">
        <is>
          <t>已结算</t>
        </is>
      </c>
      <c r="Q116" s="14" t="inlineStr">
        <is>
          <t>红</t>
        </is>
      </c>
      <c r="R116" s="48" t="n">
        <v>0.92</v>
      </c>
      <c r="S116" s="48">
        <f>IF(OR(Q116="",Q116="待结算"),"",IF(Q116="红",R116,IF(Q116="半红",R116*0.5,IF(Q116="走",0,IF(Q116="半黑",-0.5,-1)))))</f>
        <v/>
      </c>
      <c r="T116" s="14" t="inlineStr">
        <is>
          <t>D:\codex\v3_legacy\outputs\football_odds_trader\raw\titan007\20261004\20261004_084919_titan007_odds_snapshot.csv</t>
        </is>
      </c>
      <c r="U116" s="14">
        <f>IF(Q116="","",IF(Q116="待结算","待结算",IF(Q116="红","黑",IF(Q116="半红","半黑",IF(Q116="走","走",IF(Q116="半黑","半红","红"))))))</f>
        <v/>
      </c>
      <c r="V116" s="48">
        <f>IF(OR(U116="",U116="待结算"),"",IF(L116=LEFT(F116,FIND(" vs ",F116)-1),I116,G116))</f>
        <v/>
      </c>
      <c r="W116" s="48">
        <f>IF(OR(U116="",U116="待结算"),"",IF(U116="红",V116,IF(U116="半红",V116*0.5,IF(U116="走",0,IF(U116="半黑",-0.5,-1)))))</f>
        <v/>
      </c>
      <c r="X116" s="14" t="inlineStr">
        <is>
          <t>3014916</t>
        </is>
      </c>
      <c r="Y116" s="14" t="inlineStr">
        <is>
          <t>V4</t>
        </is>
      </c>
      <c r="Z116" s="14" t="inlineStr">
        <is>
          <t>prior-2026-10-03-v1</t>
        </is>
      </c>
      <c r="AA116" s="14" t="inlineStr">
        <is>
          <t>C</t>
        </is>
      </c>
      <c r="AB116" s="14" t="n">
        <v>0.5552793843774941</v>
      </c>
      <c r="AC116" s="14" t="n">
        <v>0</v>
      </c>
      <c r="AD116" s="14" t="n">
        <v>0</v>
      </c>
      <c r="AE116" s="14" t="n">
        <v>0</v>
      </c>
      <c r="AF116" s="14" t="n">
        <v>0.4447206156225058</v>
      </c>
      <c r="AG116" s="14" t="n">
        <v>0.06613641800478881</v>
      </c>
      <c r="AH116" s="14" t="n"/>
      <c r="AI116" s="14" t="n"/>
      <c r="AJ116" s="14" t="n">
        <v>0.06613641800478881</v>
      </c>
      <c r="AK116" s="14" t="n"/>
      <c r="AL116" s="14" t="n"/>
      <c r="AM116" s="14" t="n"/>
      <c r="AN116" s="14" t="inlineStr">
        <is>
          <t>EVALUATED</t>
        </is>
      </c>
      <c r="AO116" s="14" t="inlineStr">
        <is>
          <t>GIVING_VALIDATED_EDGE;BUCKET_PRIOR_ONLY;INTENT_INTERPRETATION_ONLY;EXPERT_MARKET</t>
        </is>
      </c>
      <c r="AP116" s="14" t="inlineStr">
        <is>
          <t>74b0b93834ebb898f6ad</t>
        </is>
      </c>
      <c r="AQ116" s="14" t="n">
        <v>-0.5</v>
      </c>
      <c r="AR116" s="14" t="n">
        <v>0.92</v>
      </c>
      <c r="AS116" s="14" t="n">
        <v>-0.5</v>
      </c>
      <c r="AT116" s="14" t="n">
        <v>0.5</v>
      </c>
      <c r="AU116" s="14" t="n">
        <v>0.92</v>
      </c>
      <c r="AV116" s="14" t="n">
        <v>0.78</v>
      </c>
      <c r="AW116" s="14" t="inlineStr">
        <is>
          <t>2026-10-03T09:27:07.620845+08:00</t>
        </is>
      </c>
      <c r="AX116" s="14" t="inlineStr">
        <is>
          <t>Titan007 Next</t>
        </is>
      </c>
      <c r="AY116" s="14" t="inlineStr">
        <is>
          <t>V4 Shadow Only；real_money=false；新增冻结记录</t>
        </is>
      </c>
    </row>
    <row r="117" ht="22" customHeight="1" s="39">
      <c r="A117" s="14" t="inlineStr">
        <is>
          <t>2026-10-03</t>
        </is>
      </c>
      <c r="B117" s="14" t="inlineStr">
        <is>
          <t>2026-10-04 02:00:00</t>
        </is>
      </c>
      <c r="C117" s="14" t="inlineStr">
        <is>
          <t>CLUB_LEAGUE</t>
        </is>
      </c>
      <c r="D117" s="14" t="inlineStr">
        <is>
          <t>联赛</t>
        </is>
      </c>
      <c r="E117" s="14" t="inlineStr">
        <is>
          <t>摩洛超</t>
        </is>
      </c>
      <c r="F117" s="14" t="inlineStr">
        <is>
          <t>梅克内斯 vs 马拉肯查</t>
        </is>
      </c>
      <c r="G117" s="26" t="n">
        <v>1.01</v>
      </c>
      <c r="H117" s="26" t="n">
        <v>-0.25</v>
      </c>
      <c r="I117" s="26" t="n">
        <v>0.75</v>
      </c>
      <c r="J117" s="26" t="inlineStr">
        <is>
          <t>1.01/-0.25/0.75</t>
        </is>
      </c>
      <c r="K117" s="14" t="inlineStr">
        <is>
          <t>V4-B｜EV 0.11818933802375459</t>
        </is>
      </c>
      <c r="L117" s="14" t="inlineStr">
        <is>
          <t>梅克内斯</t>
        </is>
      </c>
      <c r="M117" s="47" t="n">
        <v>0.4927605864454273</v>
      </c>
      <c r="N117" s="14" t="inlineStr">
        <is>
          <t>V4纸面入选-B</t>
        </is>
      </c>
      <c r="O117" s="14" t="inlineStr">
        <is>
          <t>0-1</t>
        </is>
      </c>
      <c r="P117" s="14" t="inlineStr">
        <is>
          <t>已结算</t>
        </is>
      </c>
      <c r="Q117" s="14" t="inlineStr">
        <is>
          <t>黑</t>
        </is>
      </c>
      <c r="R117" s="48" t="n">
        <v>1.01</v>
      </c>
      <c r="S117" s="48">
        <f>IF(OR(Q117="",Q117="待结算"),"",IF(Q117="红",R117,IF(Q117="半红",R117*0.5,IF(Q117="走",0,IF(Q117="半黑",-0.5,-1)))))</f>
        <v/>
      </c>
      <c r="T117" s="14" t="inlineStr">
        <is>
          <t>D:\codex\v3_legacy\outputs\football_odds_trader\raw\titan007\20261004\20261004_084919_titan007_odds_snapshot.csv</t>
        </is>
      </c>
      <c r="U117" s="14">
        <f>IF(Q117="","",IF(Q117="待结算","待结算",IF(Q117="红","黑",IF(Q117="半红","半黑",IF(Q117="走","走",IF(Q117="半黑","半红","红"))))))</f>
        <v/>
      </c>
      <c r="V117" s="48">
        <f>IF(OR(U117="",U117="待结算"),"",IF(L117=LEFT(F117,FIND(" vs ",F117)-1),I117,G117))</f>
        <v/>
      </c>
      <c r="W117" s="48">
        <f>IF(OR(U117="",U117="待结算"),"",IF(U117="红",V117,IF(U117="半红",V117*0.5,IF(U117="走",0,IF(U117="半黑",-0.5,-1)))))</f>
        <v/>
      </c>
      <c r="X117" s="14" t="inlineStr">
        <is>
          <t>3076977</t>
        </is>
      </c>
      <c r="Y117" s="14" t="inlineStr">
        <is>
          <t>V4</t>
        </is>
      </c>
      <c r="Z117" s="14" t="inlineStr">
        <is>
          <t>prior-2026-10-03-v1</t>
        </is>
      </c>
      <c r="AA117" s="14" t="inlineStr">
        <is>
          <t>B</t>
        </is>
      </c>
      <c r="AB117" s="14" t="n">
        <v>0.4927605864454273</v>
      </c>
      <c r="AC117" s="14" t="n">
        <v>0</v>
      </c>
      <c r="AD117" s="14" t="n">
        <v>0</v>
      </c>
      <c r="AE117" s="14" t="n">
        <v>0.2554811185368913</v>
      </c>
      <c r="AF117" s="14" t="n">
        <v>0.2517582950176814</v>
      </c>
      <c r="AG117" s="14" t="n">
        <v>0.1181893380237546</v>
      </c>
      <c r="AH117" s="14" t="n"/>
      <c r="AI117" s="14" t="n"/>
      <c r="AJ117" s="14" t="n">
        <v>0.1181893380237546</v>
      </c>
      <c r="AK117" s="14" t="n"/>
      <c r="AL117" s="14" t="n"/>
      <c r="AM117" s="14" t="n"/>
      <c r="AN117" s="14" t="inlineStr">
        <is>
          <t>EVALUATED</t>
        </is>
      </c>
      <c r="AO117" s="14" t="inlineStr">
        <is>
          <t>GIVING_VALIDATED_EDGE;BUCKET_PRIOR_ONLY;INTENT_INTERPRETATION_ONLY;EXPERT_MARKET</t>
        </is>
      </c>
      <c r="AP117" s="14" t="inlineStr">
        <is>
          <t>ddbc39642362abc25bf9</t>
        </is>
      </c>
      <c r="AQ117" s="14" t="n">
        <v>-0.25</v>
      </c>
      <c r="AR117" s="14" t="n">
        <v>1.01</v>
      </c>
      <c r="AS117" s="14" t="n">
        <v>-0.25</v>
      </c>
      <c r="AT117" s="14" t="n">
        <v>0.25</v>
      </c>
      <c r="AU117" s="14" t="n">
        <v>1.01</v>
      </c>
      <c r="AV117" s="14" t="n">
        <v>0.75</v>
      </c>
      <c r="AW117" s="14" t="inlineStr">
        <is>
          <t>2026-10-03T09:27:07.620845+08:00</t>
        </is>
      </c>
      <c r="AX117" s="14" t="inlineStr">
        <is>
          <t>Titan007 Next</t>
        </is>
      </c>
      <c r="AY117" s="14" t="inlineStr">
        <is>
          <t>V4 Shadow Only；real_money=false；新增冻结记录</t>
        </is>
      </c>
    </row>
    <row r="118" ht="22" customHeight="1" s="39">
      <c r="A118" s="14" t="inlineStr">
        <is>
          <t>2026-10-03</t>
        </is>
      </c>
      <c r="B118" s="14" t="inlineStr">
        <is>
          <t>2026-10-04 02:00:00</t>
        </is>
      </c>
      <c r="C118" s="14" t="inlineStr">
        <is>
          <t>CLUB_LEAGUE</t>
        </is>
      </c>
      <c r="D118" s="14" t="inlineStr">
        <is>
          <t>联赛</t>
        </is>
      </c>
      <c r="E118" s="14" t="inlineStr">
        <is>
          <t>阿乙</t>
        </is>
      </c>
      <c r="F118" s="14" t="inlineStr">
        <is>
          <t>科隆竞技 vs 卡塞罗斯学生队</t>
        </is>
      </c>
      <c r="G118" s="26" t="n">
        <v>0.92</v>
      </c>
      <c r="H118" s="26" t="n">
        <v>-0.5</v>
      </c>
      <c r="I118" s="26" t="n">
        <v>0.84</v>
      </c>
      <c r="J118" s="26" t="inlineStr">
        <is>
          <t>0.92/-0.5/0.84</t>
        </is>
      </c>
      <c r="K118" s="14" t="inlineStr">
        <is>
          <t>V4-B｜EV 0.07923655211850639</t>
        </is>
      </c>
      <c r="L118" s="14" t="inlineStr">
        <is>
          <t>科隆竞技</t>
        </is>
      </c>
      <c r="M118" s="47" t="n">
        <v>0.5621023708950554</v>
      </c>
      <c r="N118" s="14" t="inlineStr">
        <is>
          <t>V4纸面入选-B</t>
        </is>
      </c>
      <c r="O118" s="14" t="inlineStr">
        <is>
          <t>1-0</t>
        </is>
      </c>
      <c r="P118" s="14" t="inlineStr">
        <is>
          <t>已结算</t>
        </is>
      </c>
      <c r="Q118" s="14" t="inlineStr">
        <is>
          <t>红</t>
        </is>
      </c>
      <c r="R118" s="48" t="n">
        <v>0.92</v>
      </c>
      <c r="S118" s="48">
        <f>IF(OR(Q118="",Q118="待结算"),"",IF(Q118="红",R118,IF(Q118="半红",R118*0.5,IF(Q118="走",0,IF(Q118="半黑",-0.5,-1)))))</f>
        <v/>
      </c>
      <c r="T118" s="14" t="inlineStr">
        <is>
          <t>D:\codex\v3_legacy\outputs\football_odds_trader\raw\titan007\20261004\20261004_084919_titan007_odds_snapshot.csv</t>
        </is>
      </c>
      <c r="U118" s="14">
        <f>IF(Q118="","",IF(Q118="待结算","待结算",IF(Q118="红","黑",IF(Q118="半红","半黑",IF(Q118="走","走",IF(Q118="半黑","半红","红"))))))</f>
        <v/>
      </c>
      <c r="V118" s="48">
        <f>IF(OR(U118="",U118="待结算"),"",IF(L118=LEFT(F118,FIND(" vs ",F118)-1),I118,G118))</f>
        <v/>
      </c>
      <c r="W118" s="48">
        <f>IF(OR(U118="",U118="待结算"),"",IF(U118="红",V118,IF(U118="半红",V118*0.5,IF(U118="走",0,IF(U118="半黑",-0.5,-1)))))</f>
        <v/>
      </c>
      <c r="X118" s="14" t="inlineStr">
        <is>
          <t>2916724</t>
        </is>
      </c>
      <c r="Y118" s="14" t="inlineStr">
        <is>
          <t>V4</t>
        </is>
      </c>
      <c r="Z118" s="14" t="inlineStr">
        <is>
          <t>prior-2026-10-03-v1</t>
        </is>
      </c>
      <c r="AA118" s="14" t="inlineStr">
        <is>
          <t>B</t>
        </is>
      </c>
      <c r="AB118" s="14" t="n">
        <v>0.5621023708950554</v>
      </c>
      <c r="AC118" s="14" t="n">
        <v>0</v>
      </c>
      <c r="AD118" s="14" t="n">
        <v>0</v>
      </c>
      <c r="AE118" s="14" t="n">
        <v>0</v>
      </c>
      <c r="AF118" s="14" t="n">
        <v>0.4378976291049446</v>
      </c>
      <c r="AG118" s="14" t="n">
        <v>0.07923655211850639</v>
      </c>
      <c r="AH118" s="14" t="n"/>
      <c r="AI118" s="14" t="n"/>
      <c r="AJ118" s="14" t="n">
        <v>0.07923655211850639</v>
      </c>
      <c r="AK118" s="14" t="n"/>
      <c r="AL118" s="14" t="n"/>
      <c r="AM118" s="14" t="n"/>
      <c r="AN118" s="14" t="inlineStr">
        <is>
          <t>EVALUATED</t>
        </is>
      </c>
      <c r="AO118" s="14" t="inlineStr">
        <is>
          <t>GIVING_VALIDATED_EDGE;BUCKET_PRIOR_ONLY;INTENT_INTERPRETATION_ONLY;EXPERT_MARKET</t>
        </is>
      </c>
      <c r="AP118" s="14" t="inlineStr">
        <is>
          <t>b6963dcec3ad03d28508</t>
        </is>
      </c>
      <c r="AQ118" s="14" t="n">
        <v>-0.5</v>
      </c>
      <c r="AR118" s="14" t="n">
        <v>0.92</v>
      </c>
      <c r="AS118" s="14" t="n">
        <v>-0.5</v>
      </c>
      <c r="AT118" s="14" t="n">
        <v>0.5</v>
      </c>
      <c r="AU118" s="14" t="n">
        <v>0.92</v>
      </c>
      <c r="AV118" s="14" t="n">
        <v>0.84</v>
      </c>
      <c r="AW118" s="14" t="inlineStr">
        <is>
          <t>2026-10-03T09:27:07.620845+08:00</t>
        </is>
      </c>
      <c r="AX118" s="14" t="inlineStr">
        <is>
          <t>Titan007 Next</t>
        </is>
      </c>
      <c r="AY118" s="14" t="inlineStr">
        <is>
          <t>V4 Shadow Only；real_money=false；新增冻结记录</t>
        </is>
      </c>
    </row>
    <row r="119" ht="22" customHeight="1" s="39">
      <c r="A119" s="14" t="inlineStr">
        <is>
          <t>2026-10-03</t>
        </is>
      </c>
      <c r="B119" s="14" t="inlineStr">
        <is>
          <t>2026-10-04 02:00:00</t>
        </is>
      </c>
      <c r="C119" s="14" t="inlineStr">
        <is>
          <t>CLUB_LEAGUE</t>
        </is>
      </c>
      <c r="D119" s="14" t="inlineStr">
        <is>
          <t>联赛</t>
        </is>
      </c>
      <c r="E119" s="14" t="inlineStr">
        <is>
          <t>阿乙</t>
        </is>
      </c>
      <c r="F119" s="14" t="inlineStr">
        <is>
          <t>玛伦 vs 全男孩竞技</t>
        </is>
      </c>
      <c r="G119" s="26" t="n">
        <v>0.98</v>
      </c>
      <c r="H119" s="26" t="n">
        <v>-0.5</v>
      </c>
      <c r="I119" s="26" t="n">
        <v>0.78</v>
      </c>
      <c r="J119" s="26" t="inlineStr">
        <is>
          <t>0.98/-0.5/0.78</t>
        </is>
      </c>
      <c r="K119" s="14" t="inlineStr">
        <is>
          <t>V4-B｜EV 0.24240169646107973</t>
        </is>
      </c>
      <c r="L119" s="14" t="inlineStr">
        <is>
          <t>玛伦</t>
        </is>
      </c>
      <c r="M119" s="47" t="n">
        <v>0.6274756042732726</v>
      </c>
      <c r="N119" s="14" t="inlineStr">
        <is>
          <t>V4纸面入选-B</t>
        </is>
      </c>
      <c r="O119" s="14" t="inlineStr">
        <is>
          <t>2-1</t>
        </is>
      </c>
      <c r="P119" s="14" t="inlineStr">
        <is>
          <t>已结算</t>
        </is>
      </c>
      <c r="Q119" s="14" t="inlineStr">
        <is>
          <t>红</t>
        </is>
      </c>
      <c r="R119" s="48" t="n">
        <v>0.98</v>
      </c>
      <c r="S119" s="48">
        <f>IF(OR(Q119="",Q119="待结算"),"",IF(Q119="红",R119,IF(Q119="半红",R119*0.5,IF(Q119="走",0,IF(Q119="半黑",-0.5,-1)))))</f>
        <v/>
      </c>
      <c r="T119" s="14" t="inlineStr">
        <is>
          <t>D:\codex\v3_legacy\outputs\football_odds_trader\raw\titan007\20261004\20261004_084919_titan007_odds_snapshot.csv</t>
        </is>
      </c>
      <c r="U119" s="14">
        <f>IF(Q119="","",IF(Q119="待结算","待结算",IF(Q119="红","黑",IF(Q119="半红","半黑",IF(Q119="走","走",IF(Q119="半黑","半红","红"))))))</f>
        <v/>
      </c>
      <c r="V119" s="48">
        <f>IF(OR(U119="",U119="待结算"),"",IF(L119=LEFT(F119,FIND(" vs ",F119)-1),I119,G119))</f>
        <v/>
      </c>
      <c r="W119" s="48">
        <f>IF(OR(U119="",U119="待结算"),"",IF(U119="红",V119,IF(U119="半红",V119*0.5,IF(U119="走",0,IF(U119="半黑",-0.5,-1)))))</f>
        <v/>
      </c>
      <c r="X119" s="14" t="inlineStr">
        <is>
          <t>2916725</t>
        </is>
      </c>
      <c r="Y119" s="14" t="inlineStr">
        <is>
          <t>V4</t>
        </is>
      </c>
      <c r="Z119" s="14" t="inlineStr">
        <is>
          <t>prior-2026-10-03-v1</t>
        </is>
      </c>
      <c r="AA119" s="14" t="inlineStr">
        <is>
          <t>B</t>
        </is>
      </c>
      <c r="AB119" s="14" t="n">
        <v>0.6274756042732726</v>
      </c>
      <c r="AC119" s="14" t="n">
        <v>0</v>
      </c>
      <c r="AD119" s="14" t="n">
        <v>0</v>
      </c>
      <c r="AE119" s="14" t="n">
        <v>0</v>
      </c>
      <c r="AF119" s="14" t="n">
        <v>0.3725243957267274</v>
      </c>
      <c r="AG119" s="14" t="n">
        <v>0.2424016964610797</v>
      </c>
      <c r="AH119" s="14" t="n"/>
      <c r="AI119" s="14" t="n"/>
      <c r="AJ119" s="14" t="n">
        <v>0.2424016964610797</v>
      </c>
      <c r="AK119" s="14" t="n"/>
      <c r="AL119" s="14" t="n"/>
      <c r="AM119" s="14" t="n"/>
      <c r="AN119" s="14" t="inlineStr">
        <is>
          <t>EVALUATED</t>
        </is>
      </c>
      <c r="AO119" s="14" t="inlineStr">
        <is>
          <t>GIVING_VALIDATED_EDGE;BUCKET_PRIOR_ONLY;INTENT_INTERPRETATION_ONLY;EXPERT_MARKET</t>
        </is>
      </c>
      <c r="AP119" s="14" t="inlineStr">
        <is>
          <t>1325a0c9a546472ac896</t>
        </is>
      </c>
      <c r="AQ119" s="14" t="n">
        <v>-0.5</v>
      </c>
      <c r="AR119" s="14" t="n">
        <v>0.98</v>
      </c>
      <c r="AS119" s="14" t="n">
        <v>-0.5</v>
      </c>
      <c r="AT119" s="14" t="n">
        <v>0.5</v>
      </c>
      <c r="AU119" s="14" t="n">
        <v>0.98</v>
      </c>
      <c r="AV119" s="14" t="n">
        <v>0.78</v>
      </c>
      <c r="AW119" s="14" t="inlineStr">
        <is>
          <t>2026-10-03T09:27:07.620845+08:00</t>
        </is>
      </c>
      <c r="AX119" s="14" t="inlineStr">
        <is>
          <t>Titan007 Next</t>
        </is>
      </c>
      <c r="AY119" s="14" t="inlineStr">
        <is>
          <t>V4 Shadow Only；real_money=false；新增冻结记录</t>
        </is>
      </c>
    </row>
    <row r="120" ht="22" customHeight="1" s="39">
      <c r="A120" s="14" t="inlineStr">
        <is>
          <t>2026-10-03</t>
        </is>
      </c>
      <c r="B120" s="14" t="inlineStr">
        <is>
          <t>2026-10-04 02:00:00</t>
        </is>
      </c>
      <c r="C120" s="14" t="inlineStr">
        <is>
          <t>CLUB_LEAGUE</t>
        </is>
      </c>
      <c r="D120" s="14" t="inlineStr">
        <is>
          <t>联赛</t>
        </is>
      </c>
      <c r="E120" s="14" t="inlineStr">
        <is>
          <t>阿乙</t>
        </is>
      </c>
      <c r="F120" s="14" t="inlineStr">
        <is>
          <t>特里斯顿 vs 基尔梅斯</t>
        </is>
      </c>
      <c r="G120" s="26" t="n">
        <v>0.8100000000000001</v>
      </c>
      <c r="H120" s="26" t="n">
        <v>-0.25</v>
      </c>
      <c r="I120" s="26" t="n">
        <v>0.95</v>
      </c>
      <c r="J120" s="26" t="inlineStr">
        <is>
          <t>0.81/-0.25/0.95</t>
        </is>
      </c>
      <c r="K120" s="14" t="inlineStr">
        <is>
          <t>V4-C｜EV 0.06128355738125882</t>
        </is>
      </c>
      <c r="L120" s="14" t="inlineStr">
        <is>
          <t>特里斯顿</t>
        </is>
      </c>
      <c r="M120" s="47" t="n">
        <v>0.5161304015491762</v>
      </c>
      <c r="N120" s="14" t="inlineStr">
        <is>
          <t>V4纸面入选-C</t>
        </is>
      </c>
      <c r="O120" s="14" t="inlineStr">
        <is>
          <t>0-0</t>
        </is>
      </c>
      <c r="P120" s="14" t="inlineStr">
        <is>
          <t>已结算</t>
        </is>
      </c>
      <c r="Q120" s="14" t="inlineStr">
        <is>
          <t>半黑</t>
        </is>
      </c>
      <c r="R120" s="48" t="n">
        <v>0.8100000000000001</v>
      </c>
      <c r="S120" s="48">
        <f>IF(OR(Q120="",Q120="待结算"),"",IF(Q120="红",R120,IF(Q120="半红",R120*0.5,IF(Q120="走",0,IF(Q120="半黑",-0.5,-1)))))</f>
        <v/>
      </c>
      <c r="T120" s="14" t="inlineStr">
        <is>
          <t>D:\codex\v3_legacy\outputs\football_odds_trader\raw\titan007\20261004\20261004_084919_titan007_odds_snapshot.csv</t>
        </is>
      </c>
      <c r="U120" s="14">
        <f>IF(Q120="","",IF(Q120="待结算","待结算",IF(Q120="红","黑",IF(Q120="半红","半黑",IF(Q120="走","走",IF(Q120="半黑","半红","红"))))))</f>
        <v/>
      </c>
      <c r="V120" s="48">
        <f>IF(OR(U120="",U120="待结算"),"",IF(L120=LEFT(F120,FIND(" vs ",F120)-1),I120,G120))</f>
        <v/>
      </c>
      <c r="W120" s="48">
        <f>IF(OR(U120="",U120="待结算"),"",IF(U120="红",V120,IF(U120="半红",V120*0.5,IF(U120="走",0,IF(U120="半黑",-0.5,-1)))))</f>
        <v/>
      </c>
      <c r="X120" s="14" t="inlineStr">
        <is>
          <t>2916734</t>
        </is>
      </c>
      <c r="Y120" s="14" t="inlineStr">
        <is>
          <t>V4</t>
        </is>
      </c>
      <c r="Z120" s="14" t="inlineStr">
        <is>
          <t>prior-2026-10-03-v1</t>
        </is>
      </c>
      <c r="AA120" s="14" t="inlineStr">
        <is>
          <t>C</t>
        </is>
      </c>
      <c r="AB120" s="14" t="n">
        <v>0.5161304015491762</v>
      </c>
      <c r="AC120" s="14" t="n">
        <v>0</v>
      </c>
      <c r="AD120" s="14" t="n">
        <v>0</v>
      </c>
      <c r="AE120" s="14" t="n">
        <v>0.2541750611544996</v>
      </c>
      <c r="AF120" s="14" t="n">
        <v>0.2296945372963241</v>
      </c>
      <c r="AG120" s="14" t="n">
        <v>0.06128355738125882</v>
      </c>
      <c r="AH120" s="14" t="n"/>
      <c r="AI120" s="14" t="n"/>
      <c r="AJ120" s="14" t="n">
        <v>0.06128355738125882</v>
      </c>
      <c r="AK120" s="14" t="n"/>
      <c r="AL120" s="14" t="n"/>
      <c r="AM120" s="14" t="n"/>
      <c r="AN120" s="14" t="inlineStr">
        <is>
          <t>EVALUATED</t>
        </is>
      </c>
      <c r="AO120" s="14" t="inlineStr">
        <is>
          <t>GIVING_VALIDATED_EDGE;BUCKET_PRIOR_ONLY;INTENT_INTERPRETATION_ONLY;EXPERT_MARKET</t>
        </is>
      </c>
      <c r="AP120" s="14" t="inlineStr">
        <is>
          <t>1ef6b66019c03d7ae68d</t>
        </is>
      </c>
      <c r="AQ120" s="14" t="n">
        <v>-0.25</v>
      </c>
      <c r="AR120" s="14" t="n">
        <v>0.8100000000000001</v>
      </c>
      <c r="AS120" s="14" t="n">
        <v>-0.25</v>
      </c>
      <c r="AT120" s="14" t="n">
        <v>0.25</v>
      </c>
      <c r="AU120" s="14" t="n">
        <v>0.8100000000000001</v>
      </c>
      <c r="AV120" s="14" t="n">
        <v>0.95</v>
      </c>
      <c r="AW120" s="14" t="inlineStr">
        <is>
          <t>2026-10-03T09:27:07.620845+08:00</t>
        </is>
      </c>
      <c r="AX120" s="14" t="inlineStr">
        <is>
          <t>Titan007 Next</t>
        </is>
      </c>
      <c r="AY120" s="14" t="inlineStr">
        <is>
          <t>V4 Shadow Only；real_money=false；新增冻结记录</t>
        </is>
      </c>
    </row>
    <row r="121" ht="22" customHeight="1" s="39">
      <c r="A121" s="14" t="inlineStr">
        <is>
          <t>2026-10-03</t>
        </is>
      </c>
      <c r="B121" s="14" t="inlineStr">
        <is>
          <t>2026-10-04 02:00:00</t>
        </is>
      </c>
      <c r="C121" s="14" t="inlineStr">
        <is>
          <t>CLUB_LEAGUE</t>
        </is>
      </c>
      <c r="D121" s="14" t="inlineStr">
        <is>
          <t>联赛</t>
        </is>
      </c>
      <c r="E121" s="14" t="inlineStr">
        <is>
          <t>阿乙曼特秋</t>
        </is>
      </c>
      <c r="F121" s="14" t="inlineStr">
        <is>
          <t>卡米尼罗斯 vs 拉费雷尔</t>
        </is>
      </c>
      <c r="G121" s="26" t="n">
        <v>0.96</v>
      </c>
      <c r="H121" s="26" t="n">
        <v>-0.25</v>
      </c>
      <c r="I121" s="26" t="n">
        <v>0.74</v>
      </c>
      <c r="J121" s="26" t="inlineStr">
        <is>
          <t>0.96/-0.25/0.74</t>
        </is>
      </c>
      <c r="K121" s="14" t="inlineStr">
        <is>
          <t>V4-B｜EV 0.14425871588559352</t>
        </is>
      </c>
      <c r="L121" s="14" t="inlineStr">
        <is>
          <t>卡米尼罗斯</t>
        </is>
      </c>
      <c r="M121" s="47" t="n">
        <v>0.5199434945728461</v>
      </c>
      <c r="N121" s="14" t="inlineStr">
        <is>
          <t>V4纸面入选-B</t>
        </is>
      </c>
      <c r="O121" s="14" t="inlineStr">
        <is>
          <t>1-2</t>
        </is>
      </c>
      <c r="P121" s="14" t="inlineStr">
        <is>
          <t>已结算</t>
        </is>
      </c>
      <c r="Q121" s="14" t="inlineStr">
        <is>
          <t>黑</t>
        </is>
      </c>
      <c r="R121" s="48" t="n">
        <v>0.96</v>
      </c>
      <c r="S121" s="48">
        <f>IF(OR(Q121="",Q121="待结算"),"",IF(Q121="红",R121,IF(Q121="半红",R121*0.5,IF(Q121="走",0,IF(Q121="半黑",-0.5,-1)))))</f>
        <v/>
      </c>
      <c r="T121" s="14" t="inlineStr">
        <is>
          <t>D:\codex\v3_legacy\outputs\football_odds_trader\raw\titan007\20261004\20261004_084919_titan007_odds_snapshot.csv</t>
        </is>
      </c>
      <c r="U121" s="14">
        <f>IF(Q121="","",IF(Q121="待结算","待结算",IF(Q121="红","黑",IF(Q121="半红","半黑",IF(Q121="走","走",IF(Q121="半黑","半红","红"))))))</f>
        <v/>
      </c>
      <c r="V121" s="48">
        <f>IF(OR(U121="",U121="待结算"),"",IF(L121=LEFT(F121,FIND(" vs ",F121)-1),I121,G121))</f>
        <v/>
      </c>
      <c r="W121" s="48">
        <f>IF(OR(U121="",U121="待结算"),"",IF(U121="红",V121,IF(U121="半红",V121*0.5,IF(U121="走",0,IF(U121="半黑",-0.5,-1)))))</f>
        <v/>
      </c>
      <c r="X121" s="14" t="inlineStr">
        <is>
          <t>2934830</t>
        </is>
      </c>
      <c r="Y121" s="14" t="inlineStr">
        <is>
          <t>V4</t>
        </is>
      </c>
      <c r="Z121" s="14" t="inlineStr">
        <is>
          <t>prior-2026-10-03-v1</t>
        </is>
      </c>
      <c r="AA121" s="14" t="inlineStr">
        <is>
          <t>B</t>
        </is>
      </c>
      <c r="AB121" s="14" t="n">
        <v>0.5199434945728461</v>
      </c>
      <c r="AC121" s="14" t="n">
        <v>0</v>
      </c>
      <c r="AD121" s="14" t="n">
        <v>0</v>
      </c>
      <c r="AE121" s="14" t="n">
        <v>0.2503389330456307</v>
      </c>
      <c r="AF121" s="14" t="n">
        <v>0.2297175723815233</v>
      </c>
      <c r="AG121" s="14" t="n">
        <v>0.1442587158855935</v>
      </c>
      <c r="AH121" s="14" t="n"/>
      <c r="AI121" s="14" t="n"/>
      <c r="AJ121" s="14" t="n">
        <v>0.1442587158855935</v>
      </c>
      <c r="AK121" s="14" t="n"/>
      <c r="AL121" s="14" t="n"/>
      <c r="AM121" s="14" t="n"/>
      <c r="AN121" s="14" t="inlineStr">
        <is>
          <t>EVALUATED</t>
        </is>
      </c>
      <c r="AO121" s="14" t="inlineStr">
        <is>
          <t>GIVING_VALIDATED_EDGE;BUCKET_PRIOR_ONLY;INTENT_INTERPRETATION_ONLY;EXPERT_MARKET</t>
        </is>
      </c>
      <c r="AP121" s="14" t="inlineStr">
        <is>
          <t>04034e0b39d31679123d</t>
        </is>
      </c>
      <c r="AQ121" s="14" t="n">
        <v>-0.25</v>
      </c>
      <c r="AR121" s="14" t="n">
        <v>0.96</v>
      </c>
      <c r="AS121" s="14" t="n">
        <v>-0.25</v>
      </c>
      <c r="AT121" s="14" t="n">
        <v>0.25</v>
      </c>
      <c r="AU121" s="14" t="n">
        <v>0.96</v>
      </c>
      <c r="AV121" s="14" t="n">
        <v>0.74</v>
      </c>
      <c r="AW121" s="14" t="inlineStr">
        <is>
          <t>2026-10-03T09:27:07.620845+08:00</t>
        </is>
      </c>
      <c r="AX121" s="14" t="inlineStr">
        <is>
          <t>Titan007 Next</t>
        </is>
      </c>
      <c r="AY121" s="14" t="inlineStr">
        <is>
          <t>V4 Shadow Only；real_money=false；新增冻结记录</t>
        </is>
      </c>
    </row>
    <row r="122" ht="22" customHeight="1" s="39">
      <c r="A122" s="14" t="inlineStr">
        <is>
          <t>2026-10-03</t>
        </is>
      </c>
      <c r="B122" s="14" t="inlineStr">
        <is>
          <t>2026-10-04 02:00:00</t>
        </is>
      </c>
      <c r="C122" s="14" t="inlineStr">
        <is>
          <t>CLUB_LEAGUE</t>
        </is>
      </c>
      <c r="D122" s="14" t="inlineStr">
        <is>
          <t>联赛</t>
        </is>
      </c>
      <c r="E122" s="14" t="inlineStr">
        <is>
          <t>阿乙曼特秋</t>
        </is>
      </c>
      <c r="F122" s="14" t="inlineStr">
        <is>
          <t>圣马丁布萨科 vs 梅洛小阿根廷</t>
        </is>
      </c>
      <c r="G122" s="26" t="n">
        <v>0.85</v>
      </c>
      <c r="H122" s="26" t="n">
        <v>-0.25</v>
      </c>
      <c r="I122" s="26" t="n">
        <v>0.85</v>
      </c>
      <c r="J122" s="26" t="inlineStr">
        <is>
          <t>0.85/-0.25/0.85</t>
        </is>
      </c>
      <c r="K122" s="14" t="inlineStr">
        <is>
          <t>V4-B｜EV 0.2371551354032332</t>
        </is>
      </c>
      <c r="L122" s="14" t="inlineStr">
        <is>
          <t>圣马丁布萨科</t>
        </is>
      </c>
      <c r="M122" s="47" t="n">
        <v>0.6068613313648382</v>
      </c>
      <c r="N122" s="14" t="inlineStr">
        <is>
          <t>V4纸面入选-B</t>
        </is>
      </c>
      <c r="O122" s="14" t="inlineStr">
        <is>
          <t>2-1</t>
        </is>
      </c>
      <c r="P122" s="14" t="inlineStr">
        <is>
          <t>已结算</t>
        </is>
      </c>
      <c r="Q122" s="14" t="inlineStr">
        <is>
          <t>红</t>
        </is>
      </c>
      <c r="R122" s="48" t="n">
        <v>0.85</v>
      </c>
      <c r="S122" s="48">
        <f>IF(OR(Q122="",Q122="待结算"),"",IF(Q122="红",R122,IF(Q122="半红",R122*0.5,IF(Q122="走",0,IF(Q122="半黑",-0.5,-1)))))</f>
        <v/>
      </c>
      <c r="T122" s="14" t="inlineStr">
        <is>
          <t>D:\codex\v3_legacy\outputs\football_odds_trader\raw\titan007\20261004\20261004_084919_titan007_odds_snapshot.csv</t>
        </is>
      </c>
      <c r="U122" s="14">
        <f>IF(Q122="","",IF(Q122="待结算","待结算",IF(Q122="红","黑",IF(Q122="半红","半黑",IF(Q122="走","走",IF(Q122="半黑","半红","红"))))))</f>
        <v/>
      </c>
      <c r="V122" s="48">
        <f>IF(OR(U122="",U122="待结算"),"",IF(L122=LEFT(F122,FIND(" vs ",F122)-1),I122,G122))</f>
        <v/>
      </c>
      <c r="W122" s="48">
        <f>IF(OR(U122="",U122="待结算"),"",IF(U122="红",V122,IF(U122="半红",V122*0.5,IF(U122="走",0,IF(U122="半黑",-0.5,-1)))))</f>
        <v/>
      </c>
      <c r="X122" s="14" t="inlineStr">
        <is>
          <t>2934833</t>
        </is>
      </c>
      <c r="Y122" s="14" t="inlineStr">
        <is>
          <t>V4</t>
        </is>
      </c>
      <c r="Z122" s="14" t="inlineStr">
        <is>
          <t>prior-2026-10-03-v1</t>
        </is>
      </c>
      <c r="AA122" s="14" t="inlineStr">
        <is>
          <t>B</t>
        </is>
      </c>
      <c r="AB122" s="14" t="n">
        <v>0.6068613313648382</v>
      </c>
      <c r="AC122" s="14" t="n">
        <v>0</v>
      </c>
      <c r="AD122" s="14" t="n">
        <v>0</v>
      </c>
      <c r="AE122" s="14" t="n">
        <v>0.2289233447565652</v>
      </c>
      <c r="AF122" s="14" t="n">
        <v>0.1642153238785966</v>
      </c>
      <c r="AG122" s="14" t="n">
        <v>0.2371551354032332</v>
      </c>
      <c r="AH122" s="14" t="n"/>
      <c r="AI122" s="14" t="n"/>
      <c r="AJ122" s="14" t="n">
        <v>0.2371551354032332</v>
      </c>
      <c r="AK122" s="14" t="n"/>
      <c r="AL122" s="14" t="n"/>
      <c r="AM122" s="14" t="n"/>
      <c r="AN122" s="14" t="inlineStr">
        <is>
          <t>EVALUATED</t>
        </is>
      </c>
      <c r="AO122" s="14" t="inlineStr">
        <is>
          <t>GIVING_VALIDATED_EDGE;BUCKET_PRIOR_ONLY;INTENT_INTERPRETATION_ONLY;EXPERT_MARKET</t>
        </is>
      </c>
      <c r="AP122" s="14" t="inlineStr">
        <is>
          <t>8003d460501abceac932</t>
        </is>
      </c>
      <c r="AQ122" s="14" t="n">
        <v>-0.25</v>
      </c>
      <c r="AR122" s="14" t="n">
        <v>0.85</v>
      </c>
      <c r="AS122" s="14" t="n">
        <v>-0.25</v>
      </c>
      <c r="AT122" s="14" t="n">
        <v>0.25</v>
      </c>
      <c r="AU122" s="14" t="n">
        <v>0.85</v>
      </c>
      <c r="AV122" s="14" t="n">
        <v>0.85</v>
      </c>
      <c r="AW122" s="14" t="inlineStr">
        <is>
          <t>2026-10-03T09:27:07.620845+08:00</t>
        </is>
      </c>
      <c r="AX122" s="14" t="inlineStr">
        <is>
          <t>Titan007 Next</t>
        </is>
      </c>
      <c r="AY122" s="14" t="inlineStr">
        <is>
          <t>V4 Shadow Only；real_money=false；新增冻结记录</t>
        </is>
      </c>
    </row>
    <row r="123" ht="22" customHeight="1" s="39">
      <c r="A123" s="14" t="inlineStr">
        <is>
          <t>2026-10-03</t>
        </is>
      </c>
      <c r="B123" s="14" t="inlineStr">
        <is>
          <t>2026-10-04 02:00:00</t>
        </is>
      </c>
      <c r="C123" s="14" t="inlineStr">
        <is>
          <t>CLUB_LEAGUE</t>
        </is>
      </c>
      <c r="D123" s="14" t="inlineStr">
        <is>
          <t>联赛</t>
        </is>
      </c>
      <c r="E123" s="14" t="inlineStr">
        <is>
          <t>阿乙曼特秋</t>
        </is>
      </c>
      <c r="F123" s="14" t="inlineStr">
        <is>
          <t>维拉圣卡罗斯 vs 萨兰迪兵工厂</t>
        </is>
      </c>
      <c r="G123" s="26" t="n">
        <v>0.87</v>
      </c>
      <c r="H123" s="26" t="n">
        <v>-0.25</v>
      </c>
      <c r="I123" s="26" t="n">
        <v>0.83</v>
      </c>
      <c r="J123" s="26" t="inlineStr">
        <is>
          <t>0.87/-0.25/0.83</t>
        </is>
      </c>
      <c r="K123" s="14" t="inlineStr">
        <is>
          <t>V4-B｜EV 0.18555752669265527</t>
        </is>
      </c>
      <c r="L123" s="14" t="inlineStr">
        <is>
          <t>萨兰迪兵工厂</t>
        </is>
      </c>
      <c r="M123" s="47" t="n">
        <v>0.5835167582709204</v>
      </c>
      <c r="N123" s="14" t="inlineStr">
        <is>
          <t>V4纸面入选-B</t>
        </is>
      </c>
      <c r="O123" s="14" t="inlineStr">
        <is>
          <t>1-0</t>
        </is>
      </c>
      <c r="P123" s="14" t="inlineStr">
        <is>
          <t>已结算</t>
        </is>
      </c>
      <c r="Q123" s="14" t="inlineStr">
        <is>
          <t>黑</t>
        </is>
      </c>
      <c r="R123" s="48" t="n">
        <v>0.83</v>
      </c>
      <c r="S123" s="48">
        <f>IF(OR(Q123="",Q123="待结算"),"",IF(Q123="红",R123,IF(Q123="半红",R123*0.5,IF(Q123="走",0,IF(Q123="半黑",-0.5,-1)))))</f>
        <v/>
      </c>
      <c r="T123" s="14" t="inlineStr">
        <is>
          <t>D:\codex\v3_legacy\outputs\football_odds_trader\raw\titan007\20261004\20261004_084919_titan007_odds_snapshot.csv</t>
        </is>
      </c>
      <c r="U123" s="14">
        <f>IF(Q123="","",IF(Q123="待结算","待结算",IF(Q123="红","黑",IF(Q123="半红","半黑",IF(Q123="走","走",IF(Q123="半黑","半红","红"))))))</f>
        <v/>
      </c>
      <c r="V123" s="48">
        <f>IF(OR(U123="",U123="待结算"),"",IF(L123=LEFT(F123,FIND(" vs ",F123)-1),I123,G123))</f>
        <v/>
      </c>
      <c r="W123" s="48">
        <f>IF(OR(U123="",U123="待结算"),"",IF(U123="红",V123,IF(U123="半红",V123*0.5,IF(U123="走",0,IF(U123="半黑",-0.5,-1)))))</f>
        <v/>
      </c>
      <c r="X123" s="14" t="inlineStr">
        <is>
          <t>2934836</t>
        </is>
      </c>
      <c r="Y123" s="14" t="inlineStr">
        <is>
          <t>V4</t>
        </is>
      </c>
      <c r="Z123" s="14" t="inlineStr">
        <is>
          <t>prior-2026-10-03-v1</t>
        </is>
      </c>
      <c r="AA123" s="14" t="inlineStr">
        <is>
          <t>B</t>
        </is>
      </c>
      <c r="AB123" s="14" t="n">
        <v>0.5835167582709204</v>
      </c>
      <c r="AC123" s="14" t="n">
        <v>0</v>
      </c>
      <c r="AD123" s="14" t="n">
        <v>0</v>
      </c>
      <c r="AE123" s="14" t="n">
        <v>0.235443718113742</v>
      </c>
      <c r="AF123" s="14" t="n">
        <v>0.1810395236153377</v>
      </c>
      <c r="AG123" s="14" t="n">
        <v>0.1855575266926553</v>
      </c>
      <c r="AH123" s="14" t="n"/>
      <c r="AI123" s="14" t="n"/>
      <c r="AJ123" s="14" t="n">
        <v>0.1855575266926553</v>
      </c>
      <c r="AK123" s="14" t="n"/>
      <c r="AL123" s="14" t="n"/>
      <c r="AM123" s="14" t="n"/>
      <c r="AN123" s="14" t="inlineStr">
        <is>
          <t>EVALUATED</t>
        </is>
      </c>
      <c r="AO123" s="14" t="inlineStr">
        <is>
          <t>GIVING_VALIDATED_EDGE;BUCKET_PRIOR_ONLY;INTENT_INTERPRETATION_ONLY;EXPERT_MARKET</t>
        </is>
      </c>
      <c r="AP123" s="14" t="inlineStr">
        <is>
          <t>624005a1d741ac7dde61</t>
        </is>
      </c>
      <c r="AQ123" s="14" t="n">
        <v>-0.25</v>
      </c>
      <c r="AR123" s="14" t="n">
        <v>0.83</v>
      </c>
      <c r="AS123" s="14" t="n">
        <v>-0.25</v>
      </c>
      <c r="AT123" s="14" t="n">
        <v>0.25</v>
      </c>
      <c r="AU123" s="14" t="n">
        <v>0.83</v>
      </c>
      <c r="AV123" s="14" t="n">
        <v>0.87</v>
      </c>
      <c r="AW123" s="14" t="inlineStr">
        <is>
          <t>2026-10-03T09:27:07.620845+08:00</t>
        </is>
      </c>
      <c r="AX123" s="14" t="inlineStr">
        <is>
          <t>Titan007 Next</t>
        </is>
      </c>
      <c r="AY123" s="14" t="inlineStr">
        <is>
          <t>V4 Shadow Only；real_money=false；新增冻结记录</t>
        </is>
      </c>
    </row>
    <row r="124" ht="22" customHeight="1" s="39">
      <c r="A124" s="14" t="inlineStr">
        <is>
          <t>2026-10-03</t>
        </is>
      </c>
      <c r="B124" s="14" t="inlineStr">
        <is>
          <t>2026-10-04 02:00:00</t>
        </is>
      </c>
      <c r="C124" s="14" t="inlineStr">
        <is>
          <t>CLUB_LEAGUE</t>
        </is>
      </c>
      <c r="D124" s="14" t="inlineStr">
        <is>
          <t>联赛</t>
        </is>
      </c>
      <c r="E124" s="14" t="inlineStr">
        <is>
          <t>阿乙曼特秋</t>
        </is>
      </c>
      <c r="F124" s="14" t="inlineStr">
        <is>
          <t>利涅尔斯 vs 伊希库斯尼斯塔史</t>
        </is>
      </c>
      <c r="G124" s="26" t="n">
        <v>0.77</v>
      </c>
      <c r="H124" s="26" t="n">
        <v>-0.5</v>
      </c>
      <c r="I124" s="26" t="n">
        <v>0.93</v>
      </c>
      <c r="J124" s="26" t="inlineStr">
        <is>
          <t>0.77/-0.5/0.93</t>
        </is>
      </c>
      <c r="K124" s="14" t="inlineStr">
        <is>
          <t>V4-B｜EV 0.14974917899138546</t>
        </is>
      </c>
      <c r="L124" s="14" t="inlineStr">
        <is>
          <t>伊希库斯尼斯塔史</t>
        </is>
      </c>
      <c r="M124" s="47" t="n">
        <v>0.5957249632079717</v>
      </c>
      <c r="N124" s="14" t="inlineStr">
        <is>
          <t>V4纸面入选-B</t>
        </is>
      </c>
      <c r="O124" s="14" t="inlineStr">
        <is>
          <t>1-0</t>
        </is>
      </c>
      <c r="P124" s="14" t="inlineStr">
        <is>
          <t>已结算</t>
        </is>
      </c>
      <c r="Q124" s="14" t="inlineStr">
        <is>
          <t>黑</t>
        </is>
      </c>
      <c r="R124" s="48" t="n">
        <v>0.93</v>
      </c>
      <c r="S124" s="48">
        <f>IF(OR(Q124="",Q124="待结算"),"",IF(Q124="红",R124,IF(Q124="半红",R124*0.5,IF(Q124="走",0,IF(Q124="半黑",-0.5,-1)))))</f>
        <v/>
      </c>
      <c r="T124" s="14" t="inlineStr">
        <is>
          <t>D:\codex\v3_legacy\outputs\football_odds_trader\raw\titan007\20261004\20261004_084919_titan007_odds_snapshot.csv</t>
        </is>
      </c>
      <c r="U124" s="14">
        <f>IF(Q124="","",IF(Q124="待结算","待结算",IF(Q124="红","黑",IF(Q124="半红","半黑",IF(Q124="走","走",IF(Q124="半黑","半红","红"))))))</f>
        <v/>
      </c>
      <c r="V124" s="48">
        <f>IF(OR(U124="",U124="待结算"),"",IF(L124=LEFT(F124,FIND(" vs ",F124)-1),I124,G124))</f>
        <v/>
      </c>
      <c r="W124" s="48">
        <f>IF(OR(U124="",U124="待结算"),"",IF(U124="红",V124,IF(U124="半红",V124*0.5,IF(U124="走",0,IF(U124="半黑",-0.5,-1)))))</f>
        <v/>
      </c>
      <c r="X124" s="14" t="inlineStr">
        <is>
          <t>2934837</t>
        </is>
      </c>
      <c r="Y124" s="14" t="inlineStr">
        <is>
          <t>V4</t>
        </is>
      </c>
      <c r="Z124" s="14" t="inlineStr">
        <is>
          <t>prior-2026-10-03-v1</t>
        </is>
      </c>
      <c r="AA124" s="14" t="inlineStr">
        <is>
          <t>B</t>
        </is>
      </c>
      <c r="AB124" s="14" t="n">
        <v>0.5957249632079717</v>
      </c>
      <c r="AC124" s="14" t="n">
        <v>0</v>
      </c>
      <c r="AD124" s="14" t="n">
        <v>0</v>
      </c>
      <c r="AE124" s="14" t="n">
        <v>0</v>
      </c>
      <c r="AF124" s="14" t="n">
        <v>0.4042750367920283</v>
      </c>
      <c r="AG124" s="14" t="n">
        <v>0.1497491789913855</v>
      </c>
      <c r="AH124" s="14" t="n"/>
      <c r="AI124" s="14" t="n"/>
      <c r="AJ124" s="14" t="n">
        <v>0.1497491789913855</v>
      </c>
      <c r="AK124" s="14" t="n"/>
      <c r="AL124" s="14" t="n"/>
      <c r="AM124" s="14" t="n"/>
      <c r="AN124" s="14" t="inlineStr">
        <is>
          <t>EVALUATED</t>
        </is>
      </c>
      <c r="AO124" s="14" t="inlineStr">
        <is>
          <t>GIVING_VALIDATED_EDGE;BUCKET_PRIOR_ONLY;INTENT_INTERPRETATION_ONLY;EXPERT_MARKET</t>
        </is>
      </c>
      <c r="AP124" s="14" t="inlineStr">
        <is>
          <t>533eb50757f4d79e194d</t>
        </is>
      </c>
      <c r="AQ124" s="14" t="n">
        <v>-0.5</v>
      </c>
      <c r="AR124" s="14" t="n">
        <v>0.93</v>
      </c>
      <c r="AS124" s="14" t="n">
        <v>-0.5</v>
      </c>
      <c r="AT124" s="14" t="n">
        <v>0.5</v>
      </c>
      <c r="AU124" s="14" t="n">
        <v>0.93</v>
      </c>
      <c r="AV124" s="14" t="n">
        <v>0.77</v>
      </c>
      <c r="AW124" s="14" t="inlineStr">
        <is>
          <t>2026-10-03T09:27:07.620845+08:00</t>
        </is>
      </c>
      <c r="AX124" s="14" t="inlineStr">
        <is>
          <t>Titan007 Next</t>
        </is>
      </c>
      <c r="AY124" s="14" t="inlineStr">
        <is>
          <t>V4 Shadow Only；real_money=false；新增冻结记录</t>
        </is>
      </c>
    </row>
    <row r="125" ht="22" customHeight="1" s="39">
      <c r="A125" s="14" t="inlineStr">
        <is>
          <t>2026-10-03</t>
        </is>
      </c>
      <c r="B125" s="14" t="inlineStr">
        <is>
          <t>2026-10-04 02:00:00</t>
        </is>
      </c>
      <c r="C125" s="14" t="inlineStr">
        <is>
          <t>INTERNATIONAL_FRIENDLY</t>
        </is>
      </c>
      <c r="D125" s="14" t="inlineStr">
        <is>
          <t>联赛</t>
        </is>
      </c>
      <c r="E125" s="14" t="inlineStr">
        <is>
          <t>国际友谊</t>
        </is>
      </c>
      <c r="F125" s="14" t="inlineStr">
        <is>
          <t>加拿大 vs 秘鲁</t>
        </is>
      </c>
      <c r="G125" s="26" t="n">
        <v>1.04</v>
      </c>
      <c r="H125" s="26" t="n">
        <v>-1</v>
      </c>
      <c r="I125" s="26" t="n">
        <v>0.78</v>
      </c>
      <c r="J125" s="26" t="inlineStr">
        <is>
          <t>1.04/-1.0/0.78</t>
        </is>
      </c>
      <c r="K125" s="14" t="inlineStr">
        <is>
          <t>V4-C｜EV 0.08828861155180162</t>
        </is>
      </c>
      <c r="L125" s="14" t="inlineStr">
        <is>
          <t>加拿大</t>
        </is>
      </c>
      <c r="M125" s="47" t="n">
        <v>0.407596439164684</v>
      </c>
      <c r="N125" s="14" t="inlineStr">
        <is>
          <t>V4纸面入选-C</t>
        </is>
      </c>
      <c r="O125" s="14" t="inlineStr">
        <is>
          <t>2-0</t>
        </is>
      </c>
      <c r="P125" s="14" t="inlineStr">
        <is>
          <t>已结算</t>
        </is>
      </c>
      <c r="Q125" s="14" t="inlineStr">
        <is>
          <t>红</t>
        </is>
      </c>
      <c r="R125" s="48" t="n">
        <v>1.04</v>
      </c>
      <c r="S125" s="48">
        <f>IF(OR(Q125="",Q125="待结算"),"",IF(Q125="红",R125,IF(Q125="半红",R125*0.5,IF(Q125="走",0,IF(Q125="半黑",-0.5,-1)))))</f>
        <v/>
      </c>
      <c r="T125" s="14" t="inlineStr">
        <is>
          <t>D:\codex\v3_legacy\outputs\football_odds_trader\raw\titan007\20261004\20261004_084919_titan007_odds_snapshot.csv</t>
        </is>
      </c>
      <c r="U125" s="14">
        <f>IF(Q125="","",IF(Q125="待结算","待结算",IF(Q125="红","黑",IF(Q125="半红","半黑",IF(Q125="走","走",IF(Q125="半黑","半红","红"))))))</f>
        <v/>
      </c>
      <c r="V125" s="48">
        <f>IF(OR(U125="",U125="待结算"),"",IF(L125=LEFT(F125,FIND(" vs ",F125)-1),I125,G125))</f>
        <v/>
      </c>
      <c r="W125" s="48">
        <f>IF(OR(U125="",U125="待结算"),"",IF(U125="红",V125,IF(U125="半红",V125*0.5,IF(U125="走",0,IF(U125="半黑",-0.5,-1)))))</f>
        <v/>
      </c>
      <c r="X125" s="14" t="inlineStr">
        <is>
          <t>3096091</t>
        </is>
      </c>
      <c r="Y125" s="14" t="inlineStr">
        <is>
          <t>V4</t>
        </is>
      </c>
      <c r="Z125" s="14" t="inlineStr">
        <is>
          <t>prior-2026-10-03-v1</t>
        </is>
      </c>
      <c r="AA125" s="14" t="inlineStr">
        <is>
          <t>C</t>
        </is>
      </c>
      <c r="AB125" s="14" t="n">
        <v>0.407596439164684</v>
      </c>
      <c r="AC125" s="14" t="n">
        <v>0</v>
      </c>
      <c r="AD125" s="14" t="n">
        <v>0.2567918756558462</v>
      </c>
      <c r="AE125" s="14" t="n">
        <v>0</v>
      </c>
      <c r="AF125" s="14" t="n">
        <v>0.3356116851794698</v>
      </c>
      <c r="AG125" s="14" t="n">
        <v>0.08828861155180162</v>
      </c>
      <c r="AH125" s="14" t="n"/>
      <c r="AI125" s="14" t="n"/>
      <c r="AJ125" s="14" t="n">
        <v>0.08828861155180162</v>
      </c>
      <c r="AK125" s="14" t="n"/>
      <c r="AL125" s="14" t="n"/>
      <c r="AM125" s="14" t="n"/>
      <c r="AN125" s="14" t="inlineStr">
        <is>
          <t>EVALUATED</t>
        </is>
      </c>
      <c r="AO125" s="14" t="inlineStr">
        <is>
          <t>GIVING_VALIDATED_EDGE;BUCKET_PRIOR_ONLY;INTENT_INTERPRETATION_ONLY;EXPERT_MARKET</t>
        </is>
      </c>
      <c r="AP125" s="14" t="inlineStr">
        <is>
          <t>172ff97b8547595ef238</t>
        </is>
      </c>
      <c r="AQ125" s="14" t="n">
        <v>-1</v>
      </c>
      <c r="AR125" s="14" t="n">
        <v>1.04</v>
      </c>
      <c r="AS125" s="14" t="n">
        <v>-1</v>
      </c>
      <c r="AT125" s="14" t="n">
        <v>1</v>
      </c>
      <c r="AU125" s="14" t="n">
        <v>1.04</v>
      </c>
      <c r="AV125" s="14" t="n">
        <v>0.78</v>
      </c>
      <c r="AW125" s="14" t="inlineStr">
        <is>
          <t>2026-10-03T09:27:07.620845+08:00</t>
        </is>
      </c>
      <c r="AX125" s="14" t="inlineStr">
        <is>
          <t>Titan007 Next</t>
        </is>
      </c>
      <c r="AY125" s="14" t="inlineStr">
        <is>
          <t>V4 Shadow Only；real_money=false；新增冻结记录</t>
        </is>
      </c>
    </row>
    <row r="126" ht="22" customHeight="1" s="39">
      <c r="A126" s="14" t="inlineStr">
        <is>
          <t>2026-10-03</t>
        </is>
      </c>
      <c r="B126" s="14" t="inlineStr">
        <is>
          <t>2026-10-04 02:30:00</t>
        </is>
      </c>
      <c r="C126" s="14" t="inlineStr">
        <is>
          <t>UNKNOWN</t>
        </is>
      </c>
      <c r="D126" s="14" t="inlineStr">
        <is>
          <t>联赛</t>
        </is>
      </c>
      <c r="E126" s="14" t="inlineStr">
        <is>
          <t>海湾运</t>
        </is>
      </c>
      <c r="F126" s="14" t="inlineStr">
        <is>
          <t>阿联酋(中) vs 阿曼</t>
        </is>
      </c>
      <c r="G126" s="26" t="n">
        <v>1.05</v>
      </c>
      <c r="H126" s="26" t="n">
        <v>-1</v>
      </c>
      <c r="I126" s="26" t="n">
        <v>0.77</v>
      </c>
      <c r="J126" s="26" t="inlineStr">
        <is>
          <t>1.05/-1.0/0.77</t>
        </is>
      </c>
      <c r="K126" s="14" t="inlineStr">
        <is>
          <t>V4-C｜EV 0.08247121191602502</t>
        </is>
      </c>
      <c r="L126" s="14" t="inlineStr">
        <is>
          <t>阿联酋(中)</t>
        </is>
      </c>
      <c r="M126" s="47" t="n">
        <v>0.4026812216399123</v>
      </c>
      <c r="N126" s="14" t="inlineStr">
        <is>
          <t>V4纸面入选-C</t>
        </is>
      </c>
      <c r="O126" s="14" t="inlineStr">
        <is>
          <t>1-0</t>
        </is>
      </c>
      <c r="P126" s="14" t="inlineStr">
        <is>
          <t>已结算</t>
        </is>
      </c>
      <c r="Q126" s="14" t="inlineStr">
        <is>
          <t>走</t>
        </is>
      </c>
      <c r="R126" s="48" t="n">
        <v>1.05</v>
      </c>
      <c r="S126" s="48">
        <f>IF(OR(Q126="",Q126="待结算"),"",IF(Q126="红",R126,IF(Q126="半红",R126*0.5,IF(Q126="走",0,IF(Q126="半黑",-0.5,-1)))))</f>
        <v/>
      </c>
      <c r="T126" s="14" t="inlineStr">
        <is>
          <t>D:\codex\v3_legacy\outputs\football_odds_trader\raw\titan007\20261004\20261004_084919_titan007_odds_snapshot.csv</t>
        </is>
      </c>
      <c r="U126" s="14">
        <f>IF(Q126="","",IF(Q126="待结算","待结算",IF(Q126="红","黑",IF(Q126="半红","半黑",IF(Q126="走","走",IF(Q126="半黑","半红","红"))))))</f>
        <v/>
      </c>
      <c r="V126" s="48">
        <f>IF(OR(U126="",U126="待结算"),"",IF(L126=LEFT(F126,FIND(" vs ",F126)-1),I126,G126))</f>
        <v/>
      </c>
      <c r="W126" s="48">
        <f>IF(OR(U126="",U126="待结算"),"",IF(U126="红",V126,IF(U126="半红",V126*0.5,IF(U126="走",0,IF(U126="半黑",-0.5,-1)))))</f>
        <v/>
      </c>
      <c r="X126" s="14" t="inlineStr">
        <is>
          <t>3097208</t>
        </is>
      </c>
      <c r="Y126" s="14" t="inlineStr">
        <is>
          <t>V4</t>
        </is>
      </c>
      <c r="Z126" s="14" t="inlineStr">
        <is>
          <t>prior-2026-10-03-v1</t>
        </is>
      </c>
      <c r="AA126" s="14" t="inlineStr">
        <is>
          <t>C</t>
        </is>
      </c>
      <c r="AB126" s="14" t="n">
        <v>0.4026812216399123</v>
      </c>
      <c r="AC126" s="14" t="n">
        <v>0</v>
      </c>
      <c r="AD126" s="14" t="n">
        <v>0.2569747075542048</v>
      </c>
      <c r="AE126" s="14" t="n">
        <v>0</v>
      </c>
      <c r="AF126" s="14" t="n">
        <v>0.3403440708058829</v>
      </c>
      <c r="AG126" s="14" t="n">
        <v>0.08247121191602502</v>
      </c>
      <c r="AH126" s="14" t="n"/>
      <c r="AI126" s="14" t="n"/>
      <c r="AJ126" s="14" t="n">
        <v>0.08247121191602502</v>
      </c>
      <c r="AK126" s="14" t="n"/>
      <c r="AL126" s="14" t="n"/>
      <c r="AM126" s="14" t="n"/>
      <c r="AN126" s="14" t="inlineStr">
        <is>
          <t>EVALUATED</t>
        </is>
      </c>
      <c r="AO126" s="14" t="inlineStr">
        <is>
          <t>GIVING_VALIDATED_EDGE;BUCKET_PRIOR_ONLY;INTENT_INTERPRETATION_ONLY;EXPERT_MARKET</t>
        </is>
      </c>
      <c r="AP126" s="14" t="inlineStr">
        <is>
          <t>ef397350e08866333931</t>
        </is>
      </c>
      <c r="AQ126" s="14" t="n">
        <v>-1</v>
      </c>
      <c r="AR126" s="14" t="n">
        <v>1.05</v>
      </c>
      <c r="AS126" s="14" t="n">
        <v>-1</v>
      </c>
      <c r="AT126" s="14" t="n">
        <v>1</v>
      </c>
      <c r="AU126" s="14" t="n">
        <v>1.05</v>
      </c>
      <c r="AV126" s="14" t="n">
        <v>0.77</v>
      </c>
      <c r="AW126" s="14" t="inlineStr">
        <is>
          <t>2026-10-03T09:27:07.620845+08:00</t>
        </is>
      </c>
      <c r="AX126" s="14" t="inlineStr">
        <is>
          <t>Titan007 Next</t>
        </is>
      </c>
      <c r="AY126" s="14" t="inlineStr">
        <is>
          <t>V4 Shadow Only；real_money=false；新增冻结记录</t>
        </is>
      </c>
    </row>
    <row r="127" ht="22" customHeight="1" s="39">
      <c r="A127" s="14" t="inlineStr">
        <is>
          <t>2026-10-03</t>
        </is>
      </c>
      <c r="B127" s="14" t="inlineStr">
        <is>
          <t>2026-10-04 02:30:00</t>
        </is>
      </c>
      <c r="C127" s="14" t="inlineStr">
        <is>
          <t>CLUB_LEAGUE</t>
        </is>
      </c>
      <c r="D127" s="14" t="inlineStr">
        <is>
          <t>联赛</t>
        </is>
      </c>
      <c r="E127" s="14" t="inlineStr">
        <is>
          <t>意丙</t>
        </is>
      </c>
      <c r="F127" s="14" t="inlineStr">
        <is>
          <t>卡塔尼亚 vs 克罗托内</t>
        </is>
      </c>
      <c r="G127" s="26" t="n">
        <v>0.93</v>
      </c>
      <c r="H127" s="26" t="n">
        <v>-1</v>
      </c>
      <c r="I127" s="26" t="n">
        <v>0.77</v>
      </c>
      <c r="J127" s="26" t="inlineStr">
        <is>
          <t>0.93/-1.0/0.77</t>
        </is>
      </c>
      <c r="K127" s="14" t="inlineStr">
        <is>
          <t>V4-B｜EV 0.15391493422553837</t>
        </is>
      </c>
      <c r="L127" s="14" t="inlineStr">
        <is>
          <t>卡塔尼亚</t>
        </is>
      </c>
      <c r="M127" s="47" t="n">
        <v>0.4658084464455243</v>
      </c>
      <c r="N127" s="14" t="inlineStr">
        <is>
          <t>V4纸面入选-B</t>
        </is>
      </c>
      <c r="O127" s="14" t="inlineStr">
        <is>
          <t>2-1</t>
        </is>
      </c>
      <c r="P127" s="14" t="inlineStr">
        <is>
          <t>已结算</t>
        </is>
      </c>
      <c r="Q127" s="14" t="inlineStr">
        <is>
          <t>走</t>
        </is>
      </c>
      <c r="R127" s="48" t="n">
        <v>0.93</v>
      </c>
      <c r="S127" s="48">
        <f>IF(OR(Q127="",Q127="待结算"),"",IF(Q127="红",R127,IF(Q127="半红",R127*0.5,IF(Q127="走",0,IF(Q127="半黑",-0.5,-1)))))</f>
        <v/>
      </c>
      <c r="T127" s="14" t="inlineStr">
        <is>
          <t>D:\codex\v3_legacy\outputs\football_odds_trader\raw\titan007\20261004\20261004_084919_titan007_odds_snapshot.csv</t>
        </is>
      </c>
      <c r="U127" s="14">
        <f>IF(Q127="","",IF(Q127="待结算","待结算",IF(Q127="红","黑",IF(Q127="半红","半黑",IF(Q127="走","走",IF(Q127="半黑","半红","红"))))))</f>
        <v/>
      </c>
      <c r="V127" s="48">
        <f>IF(OR(U127="",U127="待结算"),"",IF(L127=LEFT(F127,FIND(" vs ",F127)-1),I127,G127))</f>
        <v/>
      </c>
      <c r="W127" s="48">
        <f>IF(OR(U127="",U127="待结算"),"",IF(U127="红",V127,IF(U127="半红",V127*0.5,IF(U127="走",0,IF(U127="半黑",-0.5,-1)))))</f>
        <v/>
      </c>
      <c r="X127" s="14" t="inlineStr">
        <is>
          <t>3051332</t>
        </is>
      </c>
      <c r="Y127" s="14" t="inlineStr">
        <is>
          <t>V4</t>
        </is>
      </c>
      <c r="Z127" s="14" t="inlineStr">
        <is>
          <t>prior-2026-10-03-v1</t>
        </is>
      </c>
      <c r="AA127" s="14" t="inlineStr">
        <is>
          <t>B</t>
        </is>
      </c>
      <c r="AB127" s="14" t="n">
        <v>0.4658084464455243</v>
      </c>
      <c r="AC127" s="14" t="n">
        <v>0</v>
      </c>
      <c r="AD127" s="14" t="n">
        <v>0.2549046325856764</v>
      </c>
      <c r="AE127" s="14" t="n">
        <v>0</v>
      </c>
      <c r="AF127" s="14" t="n">
        <v>0.2792869209687993</v>
      </c>
      <c r="AG127" s="14" t="n">
        <v>0.1539149342255384</v>
      </c>
      <c r="AH127" s="14" t="n"/>
      <c r="AI127" s="14" t="n"/>
      <c r="AJ127" s="14" t="n">
        <v>0.1539149342255384</v>
      </c>
      <c r="AK127" s="14" t="n"/>
      <c r="AL127" s="14" t="n"/>
      <c r="AM127" s="14" t="n"/>
      <c r="AN127" s="14" t="inlineStr">
        <is>
          <t>EVALUATED</t>
        </is>
      </c>
      <c r="AO127" s="14" t="inlineStr">
        <is>
          <t>GIVING_VALIDATED_EDGE;BUCKET_PRIOR_ONLY;INTENT_INTERPRETATION_ONLY;EXPERT_MARKET</t>
        </is>
      </c>
      <c r="AP127" s="14" t="inlineStr">
        <is>
          <t>d59fd29d4ea01b8b9bdf</t>
        </is>
      </c>
      <c r="AQ127" s="14" t="n">
        <v>-1</v>
      </c>
      <c r="AR127" s="14" t="n">
        <v>0.93</v>
      </c>
      <c r="AS127" s="14" t="n">
        <v>-1</v>
      </c>
      <c r="AT127" s="14" t="n">
        <v>1</v>
      </c>
      <c r="AU127" s="14" t="n">
        <v>0.93</v>
      </c>
      <c r="AV127" s="14" t="n">
        <v>0.77</v>
      </c>
      <c r="AW127" s="14" t="inlineStr">
        <is>
          <t>2026-10-03T09:27:07.620845+08:00</t>
        </is>
      </c>
      <c r="AX127" s="14" t="inlineStr">
        <is>
          <t>Titan007 Next</t>
        </is>
      </c>
      <c r="AY127" s="14" t="inlineStr">
        <is>
          <t>V4 Shadow Only；real_money=false；新增冻结记录</t>
        </is>
      </c>
    </row>
    <row r="128" ht="22" customHeight="1" s="39">
      <c r="A128" s="14" t="inlineStr">
        <is>
          <t>2026-10-03</t>
        </is>
      </c>
      <c r="B128" s="14" t="inlineStr">
        <is>
          <t>2026-10-04 02:30:00</t>
        </is>
      </c>
      <c r="C128" s="14" t="inlineStr">
        <is>
          <t>CLUB_LEAGUE</t>
        </is>
      </c>
      <c r="D128" s="14" t="inlineStr">
        <is>
          <t>联赛</t>
        </is>
      </c>
      <c r="E128" s="14" t="inlineStr">
        <is>
          <t>意丙</t>
        </is>
      </c>
      <c r="F128" s="14" t="inlineStr">
        <is>
          <t>奥斯皮塔莱托 vs AC雷纳特</t>
        </is>
      </c>
      <c r="G128" s="26" t="n">
        <v>0.86</v>
      </c>
      <c r="H128" s="26" t="n">
        <v>-0.25</v>
      </c>
      <c r="I128" s="26" t="n">
        <v>0.84</v>
      </c>
      <c r="J128" s="26" t="inlineStr">
        <is>
          <t>0.86/-0.25/0.84</t>
        </is>
      </c>
      <c r="K128" s="14" t="inlineStr">
        <is>
          <t>V4-B｜EV 0.08669346073883663</t>
        </is>
      </c>
      <c r="L128" s="14" t="inlineStr">
        <is>
          <t>奥斯皮塔莱托</t>
        </is>
      </c>
      <c r="M128" s="47" t="n">
        <v>0.5169806387379571</v>
      </c>
      <c r="N128" s="14" t="inlineStr">
        <is>
          <t>V4纸面入选-B</t>
        </is>
      </c>
      <c r="O128" s="14" t="inlineStr">
        <is>
          <t>1-1</t>
        </is>
      </c>
      <c r="P128" s="14" t="inlineStr">
        <is>
          <t>已结算</t>
        </is>
      </c>
      <c r="Q128" s="14" t="inlineStr">
        <is>
          <t>半黑</t>
        </is>
      </c>
      <c r="R128" s="48" t="n">
        <v>0.86</v>
      </c>
      <c r="S128" s="48">
        <f>IF(OR(Q128="",Q128="待结算"),"",IF(Q128="红",R128,IF(Q128="半红",R128*0.5,IF(Q128="走",0,IF(Q128="半黑",-0.5,-1)))))</f>
        <v/>
      </c>
      <c r="T128" s="14" t="inlineStr">
        <is>
          <t>D:\codex\v3_legacy\outputs\football_odds_trader\raw\titan007\20261004\20261004_084919_titan007_odds_snapshot.csv</t>
        </is>
      </c>
      <c r="U128" s="14">
        <f>IF(Q128="","",IF(Q128="待结算","待结算",IF(Q128="红","黑",IF(Q128="半红","半黑",IF(Q128="走","走",IF(Q128="半黑","半红","红"))))))</f>
        <v/>
      </c>
      <c r="V128" s="48">
        <f>IF(OR(U128="",U128="待结算"),"",IF(L128=LEFT(F128,FIND(" vs ",F128)-1),I128,G128))</f>
        <v/>
      </c>
      <c r="W128" s="48">
        <f>IF(OR(U128="",U128="待结算"),"",IF(U128="红",V128,IF(U128="半红",V128*0.5,IF(U128="走",0,IF(U128="半黑",-0.5,-1)))))</f>
        <v/>
      </c>
      <c r="X128" s="14" t="inlineStr">
        <is>
          <t>3050578</t>
        </is>
      </c>
      <c r="Y128" s="14" t="inlineStr">
        <is>
          <t>V4</t>
        </is>
      </c>
      <c r="Z128" s="14" t="inlineStr">
        <is>
          <t>prior-2026-10-03-v1</t>
        </is>
      </c>
      <c r="AA128" s="14" t="inlineStr">
        <is>
          <t>B</t>
        </is>
      </c>
      <c r="AB128" s="14" t="n">
        <v>0.5169806387379571</v>
      </c>
      <c r="AC128" s="14" t="n">
        <v>0</v>
      </c>
      <c r="AD128" s="14" t="n">
        <v>0</v>
      </c>
      <c r="AE128" s="14" t="n">
        <v>0.2502189453724729</v>
      </c>
      <c r="AF128" s="14" t="n">
        <v>0.23280041588957</v>
      </c>
      <c r="AG128" s="14" t="n">
        <v>0.08669346073883663</v>
      </c>
      <c r="AH128" s="14" t="n"/>
      <c r="AI128" s="14" t="n"/>
      <c r="AJ128" s="14" t="n">
        <v>0.08669346073883663</v>
      </c>
      <c r="AK128" s="14" t="n"/>
      <c r="AL128" s="14" t="n"/>
      <c r="AM128" s="14" t="n"/>
      <c r="AN128" s="14" t="inlineStr">
        <is>
          <t>EVALUATED</t>
        </is>
      </c>
      <c r="AO128" s="14" t="inlineStr">
        <is>
          <t>GIVING_VALIDATED_EDGE;BUCKET_PRIOR_ONLY;INTENT_INTERPRETATION_ONLY;EXPERT_MARKET</t>
        </is>
      </c>
      <c r="AP128" s="14" t="inlineStr">
        <is>
          <t>6ebe6a8ab61eacf29bef</t>
        </is>
      </c>
      <c r="AQ128" s="14" t="n">
        <v>-0.25</v>
      </c>
      <c r="AR128" s="14" t="n">
        <v>0.86</v>
      </c>
      <c r="AS128" s="14" t="n">
        <v>-0.25</v>
      </c>
      <c r="AT128" s="14" t="n">
        <v>0.25</v>
      </c>
      <c r="AU128" s="14" t="n">
        <v>0.86</v>
      </c>
      <c r="AV128" s="14" t="n">
        <v>0.84</v>
      </c>
      <c r="AW128" s="14" t="inlineStr">
        <is>
          <t>2026-10-03T09:27:07.620845+08:00</t>
        </is>
      </c>
      <c r="AX128" s="14" t="inlineStr">
        <is>
          <t>Titan007 Next</t>
        </is>
      </c>
      <c r="AY128" s="14" t="inlineStr">
        <is>
          <t>V4 Shadow Only；real_money=false；新增冻结记录</t>
        </is>
      </c>
    </row>
    <row r="129" ht="22" customHeight="1" s="39">
      <c r="A129" s="14" t="inlineStr">
        <is>
          <t>2026-10-03</t>
        </is>
      </c>
      <c r="B129" s="14" t="inlineStr">
        <is>
          <t>2026-10-04 02:45:00</t>
        </is>
      </c>
      <c r="C129" s="14" t="inlineStr">
        <is>
          <t>NATIONAL_OFFICIAL</t>
        </is>
      </c>
      <c r="D129" s="14" t="inlineStr">
        <is>
          <t>联赛</t>
        </is>
      </c>
      <c r="E129" s="14" t="inlineStr">
        <is>
          <t>欧国联</t>
        </is>
      </c>
      <c r="F129" s="14" t="inlineStr">
        <is>
          <t>瑞士 vs 斯洛文尼亚</t>
        </is>
      </c>
      <c r="G129" s="26" t="n">
        <v>0.97</v>
      </c>
      <c r="H129" s="26" t="n">
        <v>-1.5</v>
      </c>
      <c r="I129" s="26" t="n">
        <v>0.91</v>
      </c>
      <c r="J129" s="26" t="inlineStr">
        <is>
          <t>0.97/-1.5/0.91</t>
        </is>
      </c>
      <c r="K129" s="14" t="inlineStr">
        <is>
          <t>V4-B｜EV 0.14744168682741632</t>
        </is>
      </c>
      <c r="L129" s="14" t="inlineStr">
        <is>
          <t>瑞士</t>
        </is>
      </c>
      <c r="M129" s="47" t="n">
        <v>0.5824577090494499</v>
      </c>
      <c r="N129" s="14" t="inlineStr">
        <is>
          <t>V4纸面入选-B</t>
        </is>
      </c>
      <c r="O129" s="14" t="inlineStr">
        <is>
          <t>2-1</t>
        </is>
      </c>
      <c r="P129" s="14" t="inlineStr">
        <is>
          <t>已结算</t>
        </is>
      </c>
      <c r="Q129" s="14" t="inlineStr">
        <is>
          <t>黑</t>
        </is>
      </c>
      <c r="R129" s="48" t="n">
        <v>0.97</v>
      </c>
      <c r="S129" s="48">
        <f>IF(OR(Q129="",Q129="待结算"),"",IF(Q129="红",R129,IF(Q129="半红",R129*0.5,IF(Q129="走",0,IF(Q129="半黑",-0.5,-1)))))</f>
        <v/>
      </c>
      <c r="T129" s="14" t="inlineStr">
        <is>
          <t>D:\codex\v3_legacy\outputs\football_odds_trader\raw\titan007\20261004\20261004_084919_titan007_odds_snapshot.csv</t>
        </is>
      </c>
      <c r="U129" s="14">
        <f>IF(Q129="","",IF(Q129="待结算","待结算",IF(Q129="红","黑",IF(Q129="半红","半黑",IF(Q129="走","走",IF(Q129="半黑","半红","红"))))))</f>
        <v/>
      </c>
      <c r="V129" s="48">
        <f>IF(OR(U129="",U129="待结算"),"",IF(L129=LEFT(F129,FIND(" vs ",F129)-1),I129,G129))</f>
        <v/>
      </c>
      <c r="W129" s="48">
        <f>IF(OR(U129="",U129="待结算"),"",IF(U129="红",V129,IF(U129="半红",V129*0.5,IF(U129="走",0,IF(U129="半黑",-0.5,-1)))))</f>
        <v/>
      </c>
      <c r="X129" s="14" t="inlineStr">
        <is>
          <t>2981497</t>
        </is>
      </c>
      <c r="Y129" s="14" t="inlineStr">
        <is>
          <t>V4</t>
        </is>
      </c>
      <c r="Z129" s="14" t="inlineStr">
        <is>
          <t>prior-2026-10-03-v1</t>
        </is>
      </c>
      <c r="AA129" s="14" t="inlineStr">
        <is>
          <t>B</t>
        </is>
      </c>
      <c r="AB129" s="14" t="n">
        <v>0.5824577090494499</v>
      </c>
      <c r="AC129" s="14" t="n">
        <v>0</v>
      </c>
      <c r="AD129" s="14" t="n">
        <v>0</v>
      </c>
      <c r="AE129" s="14" t="n">
        <v>0</v>
      </c>
      <c r="AF129" s="14" t="n">
        <v>0.4175422909505501</v>
      </c>
      <c r="AG129" s="14" t="n">
        <v>0.1474416868274163</v>
      </c>
      <c r="AH129" s="14" t="n"/>
      <c r="AI129" s="14" t="n"/>
      <c r="AJ129" s="14" t="n">
        <v>0.1474416868274163</v>
      </c>
      <c r="AK129" s="14" t="n"/>
      <c r="AL129" s="14" t="n"/>
      <c r="AM129" s="14" t="n"/>
      <c r="AN129" s="14" t="inlineStr">
        <is>
          <t>EVALUATED</t>
        </is>
      </c>
      <c r="AO129" s="14" t="inlineStr">
        <is>
          <t>GIVING_VALIDATED_EDGE;BUCKET_PRIOR_ONLY;INTENT_INTERPRETATION_ONLY;EXPERT_MARKET</t>
        </is>
      </c>
      <c r="AP129" s="14" t="inlineStr">
        <is>
          <t>c9d558bda470fc271853</t>
        </is>
      </c>
      <c r="AQ129" s="14" t="n">
        <v>-1.5</v>
      </c>
      <c r="AR129" s="14" t="n">
        <v>0.97</v>
      </c>
      <c r="AS129" s="14" t="n">
        <v>-1.5</v>
      </c>
      <c r="AT129" s="14" t="n">
        <v>1.5</v>
      </c>
      <c r="AU129" s="14" t="n">
        <v>0.97</v>
      </c>
      <c r="AV129" s="14" t="n">
        <v>0.91</v>
      </c>
      <c r="AW129" s="14" t="inlineStr">
        <is>
          <t>2026-10-03T09:27:07.620845+08:00</t>
        </is>
      </c>
      <c r="AX129" s="14" t="inlineStr">
        <is>
          <t>Titan007 Next</t>
        </is>
      </c>
      <c r="AY129" s="14" t="inlineStr">
        <is>
          <t>V4 Shadow Only；real_money=false；新增冻结记录</t>
        </is>
      </c>
    </row>
    <row r="130" ht="22" customHeight="1" s="39">
      <c r="A130" s="14" t="inlineStr">
        <is>
          <t>2026-10-03</t>
        </is>
      </c>
      <c r="B130" s="14" t="inlineStr">
        <is>
          <t>2026-10-04 02:45:00</t>
        </is>
      </c>
      <c r="C130" s="14" t="inlineStr">
        <is>
          <t>NATIONAL_OFFICIAL</t>
        </is>
      </c>
      <c r="D130" s="14" t="inlineStr">
        <is>
          <t>联赛</t>
        </is>
      </c>
      <c r="E130" s="14" t="inlineStr">
        <is>
          <t>欧国联</t>
        </is>
      </c>
      <c r="F130" s="14" t="inlineStr">
        <is>
          <t>北马其顿 vs 苏格兰</t>
        </is>
      </c>
      <c r="G130" s="26" t="n">
        <v>0.86</v>
      </c>
      <c r="H130" s="26" t="n">
        <v>-0.75</v>
      </c>
      <c r="I130" s="26" t="n">
        <v>1.02</v>
      </c>
      <c r="J130" s="26" t="inlineStr">
        <is>
          <t>0.86/-0.75/1.02</t>
        </is>
      </c>
      <c r="K130" s="14" t="inlineStr">
        <is>
          <t>V4-B｜EV 0.10587330081689239</t>
        </is>
      </c>
      <c r="L130" s="14" t="inlineStr">
        <is>
          <t>苏格兰</t>
        </is>
      </c>
      <c r="M130" s="47" t="n">
        <v>0.4841737581651929</v>
      </c>
      <c r="N130" s="14" t="inlineStr">
        <is>
          <t>V4纸面入选-B</t>
        </is>
      </c>
      <c r="O130" s="14" t="inlineStr">
        <is>
          <t>0-2</t>
        </is>
      </c>
      <c r="P130" s="14" t="inlineStr">
        <is>
          <t>已结算</t>
        </is>
      </c>
      <c r="Q130" s="14" t="inlineStr">
        <is>
          <t>红</t>
        </is>
      </c>
      <c r="R130" s="48" t="n">
        <v>1.02</v>
      </c>
      <c r="S130" s="48">
        <f>IF(OR(Q130="",Q130="待结算"),"",IF(Q130="红",R130,IF(Q130="半红",R130*0.5,IF(Q130="走",0,IF(Q130="半黑",-0.5,-1)))))</f>
        <v/>
      </c>
      <c r="T130" s="14" t="inlineStr">
        <is>
          <t>D:\codex\v3_legacy\outputs\football_odds_trader\raw\titan007\20261004\20261004_084919_titan007_odds_snapshot.csv</t>
        </is>
      </c>
      <c r="U130" s="14">
        <f>IF(Q130="","",IF(Q130="待结算","待结算",IF(Q130="红","黑",IF(Q130="半红","半黑",IF(Q130="走","走",IF(Q130="半黑","半红","红"))))))</f>
        <v/>
      </c>
      <c r="V130" s="48">
        <f>IF(OR(U130="",U130="待结算"),"",IF(L130=LEFT(F130,FIND(" vs ",F130)-1),I130,G130))</f>
        <v/>
      </c>
      <c r="W130" s="48">
        <f>IF(OR(U130="",U130="待结算"),"",IF(U130="红",V130,IF(U130="半红",V130*0.5,IF(U130="走",0,IF(U130="半黑",-0.5,-1)))))</f>
        <v/>
      </c>
      <c r="X130" s="14" t="inlineStr">
        <is>
          <t>2981498</t>
        </is>
      </c>
      <c r="Y130" s="14" t="inlineStr">
        <is>
          <t>V4</t>
        </is>
      </c>
      <c r="Z130" s="14" t="inlineStr">
        <is>
          <t>prior-2026-10-03-v1</t>
        </is>
      </c>
      <c r="AA130" s="14" t="inlineStr">
        <is>
          <t>B</t>
        </is>
      </c>
      <c r="AB130" s="14" t="n">
        <v>0.3563314488419901</v>
      </c>
      <c r="AC130" s="14" t="n">
        <v>0.2556846186464056</v>
      </c>
      <c r="AD130" s="14" t="n">
        <v>0</v>
      </c>
      <c r="AE130" s="14" t="n">
        <v>0</v>
      </c>
      <c r="AF130" s="14" t="n">
        <v>0.3879839325116043</v>
      </c>
      <c r="AG130" s="14" t="n">
        <v>0.1058733008168924</v>
      </c>
      <c r="AH130" s="14" t="n"/>
      <c r="AI130" s="14" t="n"/>
      <c r="AJ130" s="14" t="n">
        <v>0.1058733008168924</v>
      </c>
      <c r="AK130" s="14" t="n"/>
      <c r="AL130" s="14" t="n"/>
      <c r="AM130" s="14" t="n"/>
      <c r="AN130" s="14" t="inlineStr">
        <is>
          <t>EVALUATED</t>
        </is>
      </c>
      <c r="AO130" s="14" t="inlineStr">
        <is>
          <t>GIVING_VALIDATED_EDGE;BUCKET_PRIOR_ONLY;INTENT_INTERPRETATION_ONLY;EXPERT_MARKET</t>
        </is>
      </c>
      <c r="AP130" s="14" t="inlineStr">
        <is>
          <t>16417b033543ecc7e130</t>
        </is>
      </c>
      <c r="AQ130" s="14" t="n">
        <v>-0.75</v>
      </c>
      <c r="AR130" s="14" t="n">
        <v>1.02</v>
      </c>
      <c r="AS130" s="14" t="n">
        <v>-0.75</v>
      </c>
      <c r="AT130" s="14" t="n">
        <v>0.75</v>
      </c>
      <c r="AU130" s="14" t="n">
        <v>1.02</v>
      </c>
      <c r="AV130" s="14" t="n">
        <v>0.86</v>
      </c>
      <c r="AW130" s="14" t="inlineStr">
        <is>
          <t>2026-10-03T09:27:07.620845+08:00</t>
        </is>
      </c>
      <c r="AX130" s="14" t="inlineStr">
        <is>
          <t>Titan007 Next</t>
        </is>
      </c>
      <c r="AY130" s="14" t="inlineStr">
        <is>
          <t>V4 Shadow Only；real_money=false；新增冻结记录</t>
        </is>
      </c>
    </row>
    <row r="131" ht="22" customHeight="1" s="39">
      <c r="A131" s="14" t="inlineStr">
        <is>
          <t>2026-10-03</t>
        </is>
      </c>
      <c r="B131" s="14" t="inlineStr">
        <is>
          <t>2026-10-04 02:45:00</t>
        </is>
      </c>
      <c r="C131" s="14" t="inlineStr">
        <is>
          <t>CLUB_LEAGUE</t>
        </is>
      </c>
      <c r="D131" s="14" t="inlineStr">
        <is>
          <t>联赛</t>
        </is>
      </c>
      <c r="E131" s="14" t="inlineStr">
        <is>
          <t>法丙</t>
        </is>
      </c>
      <c r="F131" s="14" t="inlineStr">
        <is>
          <t>亚眠 vs 维利法兰</t>
        </is>
      </c>
      <c r="G131" s="26" t="n">
        <v>0.91</v>
      </c>
      <c r="H131" s="26" t="n">
        <v>-0.75</v>
      </c>
      <c r="I131" s="26" t="n">
        <v>0.85</v>
      </c>
      <c r="J131" s="26" t="inlineStr">
        <is>
          <t>0.91/-0.75/0.85</t>
        </is>
      </c>
      <c r="K131" s="14" t="inlineStr">
        <is>
          <t>V4-B｜EV 0.0982991588516704</t>
        </is>
      </c>
      <c r="L131" s="14" t="inlineStr">
        <is>
          <t>亚眠</t>
        </is>
      </c>
      <c r="M131" s="47" t="n">
        <v>0.507752478663561</v>
      </c>
      <c r="N131" s="14" t="inlineStr">
        <is>
          <t>V4纸面入选-B</t>
        </is>
      </c>
      <c r="O131" s="14" t="inlineStr">
        <is>
          <t>3-0</t>
        </is>
      </c>
      <c r="P131" s="14" t="inlineStr">
        <is>
          <t>已结算</t>
        </is>
      </c>
      <c r="Q131" s="14" t="inlineStr">
        <is>
          <t>红</t>
        </is>
      </c>
      <c r="R131" s="48" t="n">
        <v>0.91</v>
      </c>
      <c r="S131" s="48">
        <f>IF(OR(Q131="",Q131="待结算"),"",IF(Q131="红",R131,IF(Q131="半红",R131*0.5,IF(Q131="走",0,IF(Q131="半黑",-0.5,-1)))))</f>
        <v/>
      </c>
      <c r="T131" s="14" t="inlineStr">
        <is>
          <t>D:\codex\v3_legacy\outputs\football_odds_trader\raw\titan007\20261004\20261004_084919_titan007_odds_snapshot.csv</t>
        </is>
      </c>
      <c r="U131" s="14">
        <f>IF(Q131="","",IF(Q131="待结算","待结算",IF(Q131="红","黑",IF(Q131="半红","半黑",IF(Q131="走","走",IF(Q131="半黑","半红","红"))))))</f>
        <v/>
      </c>
      <c r="V131" s="48">
        <f>IF(OR(U131="",U131="待结算"),"",IF(L131=LEFT(F131,FIND(" vs ",F131)-1),I131,G131))</f>
        <v/>
      </c>
      <c r="W131" s="48">
        <f>IF(OR(U131="",U131="待结算"),"",IF(U131="红",V131,IF(U131="半红",V131*0.5,IF(U131="走",0,IF(U131="半黑",-0.5,-1)))))</f>
        <v/>
      </c>
      <c r="X131" s="14" t="inlineStr">
        <is>
          <t>3020017</t>
        </is>
      </c>
      <c r="Y131" s="14" t="inlineStr">
        <is>
          <t>V4</t>
        </is>
      </c>
      <c r="Z131" s="14" t="inlineStr">
        <is>
          <t>prior-2026-10-03-v1</t>
        </is>
      </c>
      <c r="AA131" s="14" t="inlineStr">
        <is>
          <t>B</t>
        </is>
      </c>
      <c r="AB131" s="14" t="n">
        <v>0.3792605540592919</v>
      </c>
      <c r="AC131" s="14" t="n">
        <v>0.256983849208538</v>
      </c>
      <c r="AD131" s="14" t="n">
        <v>0</v>
      </c>
      <c r="AE131" s="14" t="n">
        <v>0</v>
      </c>
      <c r="AF131" s="14" t="n">
        <v>0.3637555967321701</v>
      </c>
      <c r="AG131" s="14" t="n">
        <v>0.0982991588516704</v>
      </c>
      <c r="AH131" s="14" t="n"/>
      <c r="AI131" s="14" t="n"/>
      <c r="AJ131" s="14" t="n">
        <v>0.0982991588516704</v>
      </c>
      <c r="AK131" s="14" t="n"/>
      <c r="AL131" s="14" t="n"/>
      <c r="AM131" s="14" t="n"/>
      <c r="AN131" s="14" t="inlineStr">
        <is>
          <t>EVALUATED</t>
        </is>
      </c>
      <c r="AO131" s="14" t="inlineStr">
        <is>
          <t>GIVING_VALIDATED_EDGE;BUCKET_PRIOR_ONLY;INTENT_INTERPRETATION_ONLY;EXPERT_MARKET</t>
        </is>
      </c>
      <c r="AP131" s="14" t="inlineStr">
        <is>
          <t>59b6ab6c440dfaa367cb</t>
        </is>
      </c>
      <c r="AQ131" s="14" t="n">
        <v>-0.75</v>
      </c>
      <c r="AR131" s="14" t="n">
        <v>0.91</v>
      </c>
      <c r="AS131" s="14" t="n">
        <v>-0.75</v>
      </c>
      <c r="AT131" s="14" t="n">
        <v>0.75</v>
      </c>
      <c r="AU131" s="14" t="n">
        <v>0.91</v>
      </c>
      <c r="AV131" s="14" t="n">
        <v>0.85</v>
      </c>
      <c r="AW131" s="14" t="inlineStr">
        <is>
          <t>2026-10-03T09:27:07.620845+08:00</t>
        </is>
      </c>
      <c r="AX131" s="14" t="inlineStr">
        <is>
          <t>Titan007 Next</t>
        </is>
      </c>
      <c r="AY131" s="14" t="inlineStr">
        <is>
          <t>V4 Shadow Only；real_money=false；新增冻结记录</t>
        </is>
      </c>
    </row>
    <row r="132" ht="22" customHeight="1" s="39">
      <c r="A132" s="14" t="inlineStr">
        <is>
          <t>2026-10-03</t>
        </is>
      </c>
      <c r="B132" s="14" t="inlineStr">
        <is>
          <t>2026-10-04 02:45:00</t>
        </is>
      </c>
      <c r="C132" s="14" t="inlineStr">
        <is>
          <t>CLUB_LEAGUE</t>
        </is>
      </c>
      <c r="D132" s="14" t="inlineStr">
        <is>
          <t>联赛</t>
        </is>
      </c>
      <c r="E132" s="14" t="inlineStr">
        <is>
          <t>法丙</t>
        </is>
      </c>
      <c r="F132" s="14" t="inlineStr">
        <is>
          <t>戛纳 vs 克维伊</t>
        </is>
      </c>
      <c r="G132" s="26" t="n">
        <v>0.95</v>
      </c>
      <c r="H132" s="26" t="n">
        <v>-0.75</v>
      </c>
      <c r="I132" s="26" t="n">
        <v>0.8100000000000001</v>
      </c>
      <c r="J132" s="26" t="inlineStr">
        <is>
          <t>0.95/-0.75/0.81</t>
        </is>
      </c>
      <c r="K132" s="14" t="inlineStr">
        <is>
          <t>V4-B｜EV 0.11593292796932031</t>
        </is>
      </c>
      <c r="L132" s="14" t="inlineStr">
        <is>
          <t>戛纳</t>
        </is>
      </c>
      <c r="M132" s="47" t="n">
        <v>0.5063270116772588</v>
      </c>
      <c r="N132" s="14" t="inlineStr">
        <is>
          <t>V4纸面入选-B</t>
        </is>
      </c>
      <c r="O132" s="14" t="inlineStr">
        <is>
          <t>3-1</t>
        </is>
      </c>
      <c r="P132" s="14" t="inlineStr">
        <is>
          <t>已结算</t>
        </is>
      </c>
      <c r="Q132" s="14" t="inlineStr">
        <is>
          <t>红</t>
        </is>
      </c>
      <c r="R132" s="48" t="n">
        <v>0.95</v>
      </c>
      <c r="S132" s="48">
        <f>IF(OR(Q132="",Q132="待结算"),"",IF(Q132="红",R132,IF(Q132="半红",R132*0.5,IF(Q132="走",0,IF(Q132="半黑",-0.5,-1)))))</f>
        <v/>
      </c>
      <c r="T132" s="14" t="inlineStr">
        <is>
          <t>D:\codex\v3_legacy\outputs\football_odds_trader\raw\titan007\20261004\20261004_084919_titan007_odds_snapshot.csv</t>
        </is>
      </c>
      <c r="U132" s="14">
        <f>IF(Q132="","",IF(Q132="待结算","待结算",IF(Q132="红","黑",IF(Q132="半红","半黑",IF(Q132="走","走",IF(Q132="半黑","半红","红"))))))</f>
        <v/>
      </c>
      <c r="V132" s="48">
        <f>IF(OR(U132="",U132="待结算"),"",IF(L132=LEFT(F132,FIND(" vs ",F132)-1),I132,G132))</f>
        <v/>
      </c>
      <c r="W132" s="48">
        <f>IF(OR(U132="",U132="待结算"),"",IF(U132="红",V132,IF(U132="半红",V132*0.5,IF(U132="走",0,IF(U132="半黑",-0.5,-1)))))</f>
        <v/>
      </c>
      <c r="X132" s="14" t="inlineStr">
        <is>
          <t>3020019</t>
        </is>
      </c>
      <c r="Y132" s="14" t="inlineStr">
        <is>
          <t>V4</t>
        </is>
      </c>
      <c r="Z132" s="14" t="inlineStr">
        <is>
          <t>prior-2026-10-03-v1</t>
        </is>
      </c>
      <c r="AA132" s="14" t="inlineStr">
        <is>
          <t>B</t>
        </is>
      </c>
      <c r="AB132" s="14" t="n">
        <v>0.3777317564785932</v>
      </c>
      <c r="AC132" s="14" t="n">
        <v>0.2571905103973313</v>
      </c>
      <c r="AD132" s="14" t="n">
        <v>0</v>
      </c>
      <c r="AE132" s="14" t="n">
        <v>0</v>
      </c>
      <c r="AF132" s="14" t="n">
        <v>0.3650777331240755</v>
      </c>
      <c r="AG132" s="14" t="n">
        <v>0.1159329279693203</v>
      </c>
      <c r="AH132" s="14" t="n"/>
      <c r="AI132" s="14" t="n"/>
      <c r="AJ132" s="14" t="n">
        <v>0.1159329279693203</v>
      </c>
      <c r="AK132" s="14" t="n"/>
      <c r="AL132" s="14" t="n"/>
      <c r="AM132" s="14" t="n"/>
      <c r="AN132" s="14" t="inlineStr">
        <is>
          <t>EVALUATED</t>
        </is>
      </c>
      <c r="AO132" s="14" t="inlineStr">
        <is>
          <t>GIVING_VALIDATED_EDGE;BUCKET_PRIOR_ONLY;INTENT_INTERPRETATION_ONLY;EXPERT_MARKET</t>
        </is>
      </c>
      <c r="AP132" s="14" t="inlineStr">
        <is>
          <t>2b3e8b185ab113017760</t>
        </is>
      </c>
      <c r="AQ132" s="14" t="n">
        <v>-0.75</v>
      </c>
      <c r="AR132" s="14" t="n">
        <v>0.95</v>
      </c>
      <c r="AS132" s="14" t="n">
        <v>-0.75</v>
      </c>
      <c r="AT132" s="14" t="n">
        <v>0.75</v>
      </c>
      <c r="AU132" s="14" t="n">
        <v>0.95</v>
      </c>
      <c r="AV132" s="14" t="n">
        <v>0.8100000000000001</v>
      </c>
      <c r="AW132" s="14" t="inlineStr">
        <is>
          <t>2026-10-03T09:27:07.620845+08:00</t>
        </is>
      </c>
      <c r="AX132" s="14" t="inlineStr">
        <is>
          <t>Titan007 Next</t>
        </is>
      </c>
      <c r="AY132" s="14" t="inlineStr">
        <is>
          <t>V4 Shadow Only；real_money=false；新增冻结记录</t>
        </is>
      </c>
    </row>
    <row r="133" ht="22" customHeight="1" s="39">
      <c r="A133" s="14" t="inlineStr">
        <is>
          <t>2026-10-03</t>
        </is>
      </c>
      <c r="B133" s="14" t="inlineStr">
        <is>
          <t>2026-10-04 02:45:00</t>
        </is>
      </c>
      <c r="C133" s="14" t="inlineStr">
        <is>
          <t>CLUB_LEAGUE</t>
        </is>
      </c>
      <c r="D133" s="14" t="inlineStr">
        <is>
          <t>联赛</t>
        </is>
      </c>
      <c r="E133" s="14" t="inlineStr">
        <is>
          <t>法丙</t>
        </is>
      </c>
      <c r="F133" s="14" t="inlineStr">
        <is>
          <t>孔卡诺 vs 巴黎13区竞技</t>
        </is>
      </c>
      <c r="G133" s="26" t="n">
        <v>0.79</v>
      </c>
      <c r="H133" s="26" t="n">
        <v>-0.5</v>
      </c>
      <c r="I133" s="26" t="n">
        <v>0.97</v>
      </c>
      <c r="J133" s="26" t="inlineStr">
        <is>
          <t>0.79/-0.5/0.97</t>
        </is>
      </c>
      <c r="K133" s="14" t="inlineStr">
        <is>
          <t>V4-B｜EV 0.0787445932392894</t>
        </is>
      </c>
      <c r="L133" s="14" t="inlineStr">
        <is>
          <t>孔卡诺</t>
        </is>
      </c>
      <c r="M133" s="47" t="n">
        <v>0.6026506107482064</v>
      </c>
      <c r="N133" s="14" t="inlineStr">
        <is>
          <t>V4纸面入选-B</t>
        </is>
      </c>
      <c r="O133" s="14" t="inlineStr">
        <is>
          <t>2-1</t>
        </is>
      </c>
      <c r="P133" s="14" t="inlineStr">
        <is>
          <t>已结算</t>
        </is>
      </c>
      <c r="Q133" s="14" t="inlineStr">
        <is>
          <t>红</t>
        </is>
      </c>
      <c r="R133" s="48" t="n">
        <v>0.79</v>
      </c>
      <c r="S133" s="48">
        <f>IF(OR(Q133="",Q133="待结算"),"",IF(Q133="红",R133,IF(Q133="半红",R133*0.5,IF(Q133="走",0,IF(Q133="半黑",-0.5,-1)))))</f>
        <v/>
      </c>
      <c r="T133" s="14" t="inlineStr">
        <is>
          <t>D:\codex\v3_legacy\outputs\football_odds_trader\raw\titan007\20261004\20261004_084919_titan007_odds_snapshot.csv</t>
        </is>
      </c>
      <c r="U133" s="14">
        <f>IF(Q133="","",IF(Q133="待结算","待结算",IF(Q133="红","黑",IF(Q133="半红","半黑",IF(Q133="走","走",IF(Q133="半黑","半红","红"))))))</f>
        <v/>
      </c>
      <c r="V133" s="48">
        <f>IF(OR(U133="",U133="待结算"),"",IF(L133=LEFT(F133,FIND(" vs ",F133)-1),I133,G133))</f>
        <v/>
      </c>
      <c r="W133" s="48">
        <f>IF(OR(U133="",U133="待结算"),"",IF(U133="红",V133,IF(U133="半红",V133*0.5,IF(U133="走",0,IF(U133="半黑",-0.5,-1)))))</f>
        <v/>
      </c>
      <c r="X133" s="14" t="inlineStr">
        <is>
          <t>3020020</t>
        </is>
      </c>
      <c r="Y133" s="14" t="inlineStr">
        <is>
          <t>V4</t>
        </is>
      </c>
      <c r="Z133" s="14" t="inlineStr">
        <is>
          <t>prior-2026-10-03-v1</t>
        </is>
      </c>
      <c r="AA133" s="14" t="inlineStr">
        <is>
          <t>B</t>
        </is>
      </c>
      <c r="AB133" s="14" t="n">
        <v>0.6026506107482064</v>
      </c>
      <c r="AC133" s="14" t="n">
        <v>0</v>
      </c>
      <c r="AD133" s="14" t="n">
        <v>0</v>
      </c>
      <c r="AE133" s="14" t="n">
        <v>0</v>
      </c>
      <c r="AF133" s="14" t="n">
        <v>0.3973493892517936</v>
      </c>
      <c r="AG133" s="14" t="n">
        <v>0.0787445932392894</v>
      </c>
      <c r="AH133" s="14" t="n"/>
      <c r="AI133" s="14" t="n"/>
      <c r="AJ133" s="14" t="n">
        <v>0.0787445932392894</v>
      </c>
      <c r="AK133" s="14" t="n"/>
      <c r="AL133" s="14" t="n"/>
      <c r="AM133" s="14" t="n"/>
      <c r="AN133" s="14" t="inlineStr">
        <is>
          <t>EVALUATED</t>
        </is>
      </c>
      <c r="AO133" s="14" t="inlineStr">
        <is>
          <t>GIVING_VALIDATED_EDGE;BUCKET_PRIOR_ONLY;INTENT_INTERPRETATION_ONLY;EXPERT_MARKET</t>
        </is>
      </c>
      <c r="AP133" s="14" t="inlineStr">
        <is>
          <t>fb5d422e93db1edd28c8</t>
        </is>
      </c>
      <c r="AQ133" s="14" t="n">
        <v>-0.5</v>
      </c>
      <c r="AR133" s="14" t="n">
        <v>0.79</v>
      </c>
      <c r="AS133" s="14" t="n">
        <v>-0.5</v>
      </c>
      <c r="AT133" s="14" t="n">
        <v>0.5</v>
      </c>
      <c r="AU133" s="14" t="n">
        <v>0.79</v>
      </c>
      <c r="AV133" s="14" t="n">
        <v>0.97</v>
      </c>
      <c r="AW133" s="14" t="inlineStr">
        <is>
          <t>2026-10-03T09:27:07.620845+08:00</t>
        </is>
      </c>
      <c r="AX133" s="14" t="inlineStr">
        <is>
          <t>Titan007 Next</t>
        </is>
      </c>
      <c r="AY133" s="14" t="inlineStr">
        <is>
          <t>V4 Shadow Only；real_money=false；新增冻结记录</t>
        </is>
      </c>
    </row>
    <row r="134" ht="22" customHeight="1" s="39">
      <c r="A134" s="14" t="inlineStr">
        <is>
          <t>2026-10-03</t>
        </is>
      </c>
      <c r="B134" s="14" t="inlineStr">
        <is>
          <t>2026-10-04 02:45:00</t>
        </is>
      </c>
      <c r="C134" s="14" t="inlineStr">
        <is>
          <t>CLUB_LEAGUE</t>
        </is>
      </c>
      <c r="D134" s="14" t="inlineStr">
        <is>
          <t>联赛</t>
        </is>
      </c>
      <c r="E134" s="14" t="inlineStr">
        <is>
          <t>法丙</t>
        </is>
      </c>
      <c r="F134" s="14" t="inlineStr">
        <is>
          <t>永河畔拉罗什 vs 欧巴涅</t>
        </is>
      </c>
      <c r="G134" s="26" t="n">
        <v>0.88</v>
      </c>
      <c r="H134" s="26" t="n">
        <v>-0.75</v>
      </c>
      <c r="I134" s="26" t="n">
        <v>0.88</v>
      </c>
      <c r="J134" s="26" t="inlineStr">
        <is>
          <t>0.88/-0.75/0.88</t>
        </is>
      </c>
      <c r="K134" s="14" t="inlineStr">
        <is>
          <t>V4-C｜EV 0.06854628081913006</t>
        </is>
      </c>
      <c r="L134" s="14" t="inlineStr">
        <is>
          <t>永河畔拉罗什</t>
        </is>
      </c>
      <c r="M134" s="47" t="n">
        <v>0.5002404580711218</v>
      </c>
      <c r="N134" s="14" t="inlineStr">
        <is>
          <t>V4纸面入选-C</t>
        </is>
      </c>
      <c r="O134" s="14" t="inlineStr">
        <is>
          <t>3-1</t>
        </is>
      </c>
      <c r="P134" s="14" t="inlineStr">
        <is>
          <t>已结算</t>
        </is>
      </c>
      <c r="Q134" s="14" t="inlineStr">
        <is>
          <t>红</t>
        </is>
      </c>
      <c r="R134" s="48" t="n">
        <v>0.88</v>
      </c>
      <c r="S134" s="48">
        <f>IF(OR(Q134="",Q134="待结算"),"",IF(Q134="红",R134,IF(Q134="半红",R134*0.5,IF(Q134="走",0,IF(Q134="半黑",-0.5,-1)))))</f>
        <v/>
      </c>
      <c r="T134" s="14" t="inlineStr">
        <is>
          <t>D:\codex\v3_legacy\outputs\football_odds_trader\raw\titan007\20261004\20261004_084919_titan007_odds_snapshot.csv</t>
        </is>
      </c>
      <c r="U134" s="14">
        <f>IF(Q134="","",IF(Q134="待结算","待结算",IF(Q134="红","黑",IF(Q134="半红","半黑",IF(Q134="走","走",IF(Q134="半黑","半红","红"))))))</f>
        <v/>
      </c>
      <c r="V134" s="48">
        <f>IF(OR(U134="",U134="待结算"),"",IF(L134=LEFT(F134,FIND(" vs ",F134)-1),I134,G134))</f>
        <v/>
      </c>
      <c r="W134" s="48">
        <f>IF(OR(U134="",U134="待结算"),"",IF(U134="红",V134,IF(U134="半红",V134*0.5,IF(U134="走",0,IF(U134="半黑",-0.5,-1)))))</f>
        <v/>
      </c>
      <c r="X134" s="14" t="inlineStr">
        <is>
          <t>3020022</t>
        </is>
      </c>
      <c r="Y134" s="14" t="inlineStr">
        <is>
          <t>V4</t>
        </is>
      </c>
      <c r="Z134" s="14" t="inlineStr">
        <is>
          <t>prior-2026-10-03-v1</t>
        </is>
      </c>
      <c r="AA134" s="14" t="inlineStr">
        <is>
          <t>C</t>
        </is>
      </c>
      <c r="AB134" s="14" t="n">
        <v>0.3721462384257008</v>
      </c>
      <c r="AC134" s="14" t="n">
        <v>0.2561884392908421</v>
      </c>
      <c r="AD134" s="14" t="n">
        <v>0</v>
      </c>
      <c r="AE134" s="14" t="n">
        <v>0</v>
      </c>
      <c r="AF134" s="14" t="n">
        <v>0.3716653222834572</v>
      </c>
      <c r="AG134" s="14" t="n">
        <v>0.06854628081913006</v>
      </c>
      <c r="AH134" s="14" t="n"/>
      <c r="AI134" s="14" t="n"/>
      <c r="AJ134" s="14" t="n">
        <v>0.06854628081913006</v>
      </c>
      <c r="AK134" s="14" t="n"/>
      <c r="AL134" s="14" t="n"/>
      <c r="AM134" s="14" t="n"/>
      <c r="AN134" s="14" t="inlineStr">
        <is>
          <t>EVALUATED</t>
        </is>
      </c>
      <c r="AO134" s="14" t="inlineStr">
        <is>
          <t>GIVING_VALIDATED_EDGE;BUCKET_PRIOR_ONLY;INTENT_INTERPRETATION_ONLY;EXPERT_MARKET</t>
        </is>
      </c>
      <c r="AP134" s="14" t="inlineStr">
        <is>
          <t>42dc074e9204c71f5f09</t>
        </is>
      </c>
      <c r="AQ134" s="14" t="n">
        <v>-0.75</v>
      </c>
      <c r="AR134" s="14" t="n">
        <v>0.88</v>
      </c>
      <c r="AS134" s="14" t="n">
        <v>-0.75</v>
      </c>
      <c r="AT134" s="14" t="n">
        <v>0.75</v>
      </c>
      <c r="AU134" s="14" t="n">
        <v>0.88</v>
      </c>
      <c r="AV134" s="14" t="n">
        <v>0.88</v>
      </c>
      <c r="AW134" s="14" t="inlineStr">
        <is>
          <t>2026-10-03T09:27:07.620845+08:00</t>
        </is>
      </c>
      <c r="AX134" s="14" t="inlineStr">
        <is>
          <t>Titan007 Next</t>
        </is>
      </c>
      <c r="AY134" s="14" t="inlineStr">
        <is>
          <t>V4 Shadow Only；real_money=false；新增冻结记录</t>
        </is>
      </c>
    </row>
    <row r="135" ht="22" customHeight="1" s="39">
      <c r="A135" s="14" t="inlineStr">
        <is>
          <t>2026-10-03</t>
        </is>
      </c>
      <c r="B135" s="14" t="inlineStr">
        <is>
          <t>2026-10-04 02:45:00</t>
        </is>
      </c>
      <c r="C135" s="14" t="inlineStr">
        <is>
          <t>CLUB_LEAGUE</t>
        </is>
      </c>
      <c r="D135" s="14" t="inlineStr">
        <is>
          <t>联赛</t>
        </is>
      </c>
      <c r="E135" s="14" t="inlineStr">
        <is>
          <t>法丙</t>
        </is>
      </c>
      <c r="F135" s="14" t="inlineStr">
        <is>
          <t>奥维涅 vs 蒂翁维尔</t>
        </is>
      </c>
      <c r="G135" s="26" t="n">
        <v>0.93</v>
      </c>
      <c r="H135" s="26" t="n">
        <v>-0.5</v>
      </c>
      <c r="I135" s="26" t="n">
        <v>0.83</v>
      </c>
      <c r="J135" s="26" t="inlineStr">
        <is>
          <t>0.93/-0.5/0.83</t>
        </is>
      </c>
      <c r="K135" s="14" t="inlineStr">
        <is>
          <t>V4-C｜EV 0.05859294260673281</t>
        </is>
      </c>
      <c r="L135" s="14" t="inlineStr">
        <is>
          <t>奥维涅</t>
        </is>
      </c>
      <c r="M135" s="47" t="n">
        <v>0.5484937526459756</v>
      </c>
      <c r="N135" s="14" t="inlineStr">
        <is>
          <t>V4纸面入选-C</t>
        </is>
      </c>
      <c r="O135" s="14" t="inlineStr">
        <is>
          <t>1-0</t>
        </is>
      </c>
      <c r="P135" s="14" t="inlineStr">
        <is>
          <t>已结算</t>
        </is>
      </c>
      <c r="Q135" s="14" t="inlineStr">
        <is>
          <t>红</t>
        </is>
      </c>
      <c r="R135" s="48" t="n">
        <v>0.93</v>
      </c>
      <c r="S135" s="48">
        <f>IF(OR(Q135="",Q135="待结算"),"",IF(Q135="红",R135,IF(Q135="半红",R135*0.5,IF(Q135="走",0,IF(Q135="半黑",-0.5,-1)))))</f>
        <v/>
      </c>
      <c r="T135" s="14" t="inlineStr">
        <is>
          <t>D:\codex\v3_legacy\outputs\football_odds_trader\raw\titan007\20261004\20261004_084919_titan007_odds_snapshot.csv</t>
        </is>
      </c>
      <c r="U135" s="14">
        <f>IF(Q135="","",IF(Q135="待结算","待结算",IF(Q135="红","黑",IF(Q135="半红","半黑",IF(Q135="走","走",IF(Q135="半黑","半红","红"))))))</f>
        <v/>
      </c>
      <c r="V135" s="48">
        <f>IF(OR(U135="",U135="待结算"),"",IF(L135=LEFT(F135,FIND(" vs ",F135)-1),I135,G135))</f>
        <v/>
      </c>
      <c r="W135" s="48">
        <f>IF(OR(U135="",U135="待结算"),"",IF(U135="红",V135,IF(U135="半红",V135*0.5,IF(U135="走",0,IF(U135="半黑",-0.5,-1)))))</f>
        <v/>
      </c>
      <c r="X135" s="14" t="inlineStr">
        <is>
          <t>3020023</t>
        </is>
      </c>
      <c r="Y135" s="14" t="inlineStr">
        <is>
          <t>V4</t>
        </is>
      </c>
      <c r="Z135" s="14" t="inlineStr">
        <is>
          <t>prior-2026-10-03-v1</t>
        </is>
      </c>
      <c r="AA135" s="14" t="inlineStr">
        <is>
          <t>C</t>
        </is>
      </c>
      <c r="AB135" s="14" t="n">
        <v>0.5484937526459756</v>
      </c>
      <c r="AC135" s="14" t="n">
        <v>0</v>
      </c>
      <c r="AD135" s="14" t="n">
        <v>0</v>
      </c>
      <c r="AE135" s="14" t="n">
        <v>0</v>
      </c>
      <c r="AF135" s="14" t="n">
        <v>0.4515062473540245</v>
      </c>
      <c r="AG135" s="14" t="n">
        <v>0.05859294260673281</v>
      </c>
      <c r="AH135" s="14" t="n"/>
      <c r="AI135" s="14" t="n"/>
      <c r="AJ135" s="14" t="n">
        <v>0.05859294260673281</v>
      </c>
      <c r="AK135" s="14" t="n"/>
      <c r="AL135" s="14" t="n"/>
      <c r="AM135" s="14" t="n"/>
      <c r="AN135" s="14" t="inlineStr">
        <is>
          <t>EVALUATED</t>
        </is>
      </c>
      <c r="AO135" s="14" t="inlineStr">
        <is>
          <t>GIVING_VALIDATED_EDGE;BUCKET_PRIOR_ONLY;INTENT_INTERPRETATION_ONLY;EXPERT_MARKET</t>
        </is>
      </c>
      <c r="AP135" s="14" t="inlineStr">
        <is>
          <t>0dffe2ebaffa02444223</t>
        </is>
      </c>
      <c r="AQ135" s="14" t="n">
        <v>-0.5</v>
      </c>
      <c r="AR135" s="14" t="n">
        <v>0.93</v>
      </c>
      <c r="AS135" s="14" t="n">
        <v>-0.5</v>
      </c>
      <c r="AT135" s="14" t="n">
        <v>0.5</v>
      </c>
      <c r="AU135" s="14" t="n">
        <v>0.93</v>
      </c>
      <c r="AV135" s="14" t="n">
        <v>0.83</v>
      </c>
      <c r="AW135" s="14" t="inlineStr">
        <is>
          <t>2026-10-03T09:27:07.620845+08:00</t>
        </is>
      </c>
      <c r="AX135" s="14" t="inlineStr">
        <is>
          <t>Titan007 Next</t>
        </is>
      </c>
      <c r="AY135" s="14" t="inlineStr">
        <is>
          <t>V4 Shadow Only；real_money=false；新增冻结记录</t>
        </is>
      </c>
    </row>
    <row r="136" ht="22" customHeight="1" s="39">
      <c r="A136" s="14" t="inlineStr">
        <is>
          <t>2026-10-03</t>
        </is>
      </c>
      <c r="B136" s="14" t="inlineStr">
        <is>
          <t>2026-10-04 02:45:00</t>
        </is>
      </c>
      <c r="C136" s="14" t="inlineStr">
        <is>
          <t>CLUB_LEAGUE</t>
        </is>
      </c>
      <c r="D136" s="14" t="inlineStr">
        <is>
          <t>联赛</t>
        </is>
      </c>
      <c r="E136" s="14" t="inlineStr">
        <is>
          <t>法丙</t>
        </is>
      </c>
      <c r="F136" s="14" t="inlineStr">
        <is>
          <t>鲁昂 vs 普瑞兰斯</t>
        </is>
      </c>
      <c r="G136" s="26" t="n">
        <v>0.76</v>
      </c>
      <c r="H136" s="26" t="n">
        <v>-1</v>
      </c>
      <c r="I136" s="26" t="n">
        <v>1</v>
      </c>
      <c r="J136" s="26" t="inlineStr">
        <is>
          <t>0.76/-1.0/1.0</t>
        </is>
      </c>
      <c r="K136" s="14" t="inlineStr">
        <is>
          <t>V4-B｜EV 0.12433702711572647</t>
        </is>
      </c>
      <c r="L136" s="14" t="inlineStr">
        <is>
          <t>鲁昂</t>
        </is>
      </c>
      <c r="M136" s="47" t="n">
        <v>0.4960858850745754</v>
      </c>
      <c r="N136" s="14" t="inlineStr">
        <is>
          <t>V4纸面入选-B</t>
        </is>
      </c>
      <c r="O136" s="14" t="inlineStr">
        <is>
          <t>2-0</t>
        </is>
      </c>
      <c r="P136" s="14" t="inlineStr">
        <is>
          <t>已结算</t>
        </is>
      </c>
      <c r="Q136" s="14" t="inlineStr">
        <is>
          <t>红</t>
        </is>
      </c>
      <c r="R136" s="48" t="n">
        <v>0.76</v>
      </c>
      <c r="S136" s="48">
        <f>IF(OR(Q136="",Q136="待结算"),"",IF(Q136="红",R136,IF(Q136="半红",R136*0.5,IF(Q136="走",0,IF(Q136="半黑",-0.5,-1)))))</f>
        <v/>
      </c>
      <c r="T136" s="14" t="inlineStr">
        <is>
          <t>D:\codex\v3_legacy\outputs\football_odds_trader\raw\titan007\20261004\20261004_084919_titan007_odds_snapshot.csv</t>
        </is>
      </c>
      <c r="U136" s="14">
        <f>IF(Q136="","",IF(Q136="待结算","待结算",IF(Q136="红","黑",IF(Q136="半红","半黑",IF(Q136="走","走",IF(Q136="半黑","半红","红"))))))</f>
        <v/>
      </c>
      <c r="V136" s="48">
        <f>IF(OR(U136="",U136="待结算"),"",IF(L136=LEFT(F136,FIND(" vs ",F136)-1),I136,G136))</f>
        <v/>
      </c>
      <c r="W136" s="48">
        <f>IF(OR(U136="",U136="待结算"),"",IF(U136="红",V136,IF(U136="半红",V136*0.5,IF(U136="走",0,IF(U136="半黑",-0.5,-1)))))</f>
        <v/>
      </c>
      <c r="X136" s="14" t="inlineStr">
        <is>
          <t>3020024</t>
        </is>
      </c>
      <c r="Y136" s="14" t="inlineStr">
        <is>
          <t>V4</t>
        </is>
      </c>
      <c r="Z136" s="14" t="inlineStr">
        <is>
          <t>prior-2026-10-03-v1</t>
        </is>
      </c>
      <c r="AA136" s="14" t="inlineStr">
        <is>
          <t>B</t>
        </is>
      </c>
      <c r="AB136" s="14" t="n">
        <v>0.4960858850745754</v>
      </c>
      <c r="AC136" s="14" t="n">
        <v>0</v>
      </c>
      <c r="AD136" s="14" t="n">
        <v>0.2512258693844738</v>
      </c>
      <c r="AE136" s="14" t="n">
        <v>0</v>
      </c>
      <c r="AF136" s="14" t="n">
        <v>0.2526882455409508</v>
      </c>
      <c r="AG136" s="14" t="n">
        <v>0.1243370271157265</v>
      </c>
      <c r="AH136" s="14" t="n"/>
      <c r="AI136" s="14" t="n"/>
      <c r="AJ136" s="14" t="n">
        <v>0.1243370271157265</v>
      </c>
      <c r="AK136" s="14" t="n"/>
      <c r="AL136" s="14" t="n"/>
      <c r="AM136" s="14" t="n"/>
      <c r="AN136" s="14" t="inlineStr">
        <is>
          <t>EVALUATED</t>
        </is>
      </c>
      <c r="AO136" s="14" t="inlineStr">
        <is>
          <t>GIVING_VALIDATED_EDGE;BUCKET_PRIOR_ONLY;INTENT_INTERPRETATION_ONLY;EXPERT_MARKET</t>
        </is>
      </c>
      <c r="AP136" s="14" t="inlineStr">
        <is>
          <t>74ff8f0d0a168e73a5ed</t>
        </is>
      </c>
      <c r="AQ136" s="14" t="n">
        <v>-1</v>
      </c>
      <c r="AR136" s="14" t="n">
        <v>0.76</v>
      </c>
      <c r="AS136" s="14" t="n">
        <v>-1</v>
      </c>
      <c r="AT136" s="14" t="n">
        <v>1</v>
      </c>
      <c r="AU136" s="14" t="n">
        <v>0.76</v>
      </c>
      <c r="AV136" s="14" t="n">
        <v>1</v>
      </c>
      <c r="AW136" s="14" t="inlineStr">
        <is>
          <t>2026-10-03T09:27:07.620845+08:00</t>
        </is>
      </c>
      <c r="AX136" s="14" t="inlineStr">
        <is>
          <t>Titan007 Next</t>
        </is>
      </c>
      <c r="AY136" s="14" t="inlineStr">
        <is>
          <t>V4 Shadow Only；real_money=false；新增冻结记录</t>
        </is>
      </c>
    </row>
    <row r="137" ht="22" customHeight="1" s="39">
      <c r="A137" s="14" t="inlineStr">
        <is>
          <t>2026-10-03</t>
        </is>
      </c>
      <c r="B137" s="14" t="inlineStr">
        <is>
          <t>2026-10-04 03:00:00</t>
        </is>
      </c>
      <c r="C137" s="14" t="inlineStr">
        <is>
          <t>CLUB_LEAGUE</t>
        </is>
      </c>
      <c r="D137" s="14" t="inlineStr">
        <is>
          <t>联赛</t>
        </is>
      </c>
      <c r="E137" s="14" t="inlineStr">
        <is>
          <t>巴西乙</t>
        </is>
      </c>
      <c r="F137" s="14" t="inlineStr">
        <is>
          <t>戈亚尼亚竞技 vs 米内罗美洲</t>
        </is>
      </c>
      <c r="G137" s="26" t="n">
        <v>0.85</v>
      </c>
      <c r="H137" s="26" t="n">
        <v>-1.25</v>
      </c>
      <c r="I137" s="26" t="n">
        <v>1.03</v>
      </c>
      <c r="J137" s="26" t="inlineStr">
        <is>
          <t>0.85/-1.25/1.03</t>
        </is>
      </c>
      <c r="K137" s="14" t="inlineStr">
        <is>
          <t>V4-B｜EV 0.18474105176834368</t>
        </is>
      </c>
      <c r="L137" s="14" t="inlineStr">
        <is>
          <t>戈亚尼亚竞技</t>
        </is>
      </c>
      <c r="M137" s="47" t="n">
        <v>0.5761638586736301</v>
      </c>
      <c r="N137" s="14" t="inlineStr">
        <is>
          <t>V4纸面入选-B</t>
        </is>
      </c>
      <c r="O137" s="14" t="inlineStr">
        <is>
          <t>2-0</t>
        </is>
      </c>
      <c r="P137" s="14" t="inlineStr">
        <is>
          <t>已结算</t>
        </is>
      </c>
      <c r="Q137" s="14" t="inlineStr">
        <is>
          <t>红</t>
        </is>
      </c>
      <c r="R137" s="48" t="n">
        <v>0.85</v>
      </c>
      <c r="S137" s="48">
        <f>IF(OR(Q137="",Q137="待结算"),"",IF(Q137="红",R137,IF(Q137="半红",R137*0.5,IF(Q137="走",0,IF(Q137="半黑",-0.5,-1)))))</f>
        <v/>
      </c>
      <c r="T137" s="14" t="inlineStr">
        <is>
          <t>D:\codex\v3_legacy\outputs\football_odds_trader\raw\titan007\20261004\20261004_084919_titan007_odds_snapshot.csv</t>
        </is>
      </c>
      <c r="U137" s="14">
        <f>IF(Q137="","",IF(Q137="待结算","待结算",IF(Q137="红","黑",IF(Q137="半红","半黑",IF(Q137="走","走",IF(Q137="半黑","半红","红"))))))</f>
        <v/>
      </c>
      <c r="V137" s="48">
        <f>IF(OR(U137="",U137="待结算"),"",IF(L137=LEFT(F137,FIND(" vs ",F137)-1),I137,G137))</f>
        <v/>
      </c>
      <c r="W137" s="48">
        <f>IF(OR(U137="",U137="待结算"),"",IF(U137="红",V137,IF(U137="半红",V137*0.5,IF(U137="走",0,IF(U137="半黑",-0.5,-1)))))</f>
        <v/>
      </c>
      <c r="X137" s="14" t="inlineStr">
        <is>
          <t>2940206</t>
        </is>
      </c>
      <c r="Y137" s="14" t="inlineStr">
        <is>
          <t>V4</t>
        </is>
      </c>
      <c r="Z137" s="14" t="inlineStr">
        <is>
          <t>prior-2026-10-03-v1</t>
        </is>
      </c>
      <c r="AA137" s="14" t="inlineStr">
        <is>
          <t>B</t>
        </is>
      </c>
      <c r="AB137" s="14" t="n">
        <v>0.5761638586736301</v>
      </c>
      <c r="AC137" s="14" t="n">
        <v>0</v>
      </c>
      <c r="AD137" s="14" t="n">
        <v>0</v>
      </c>
      <c r="AE137" s="14" t="n">
        <v>0.2376758264442561</v>
      </c>
      <c r="AF137" s="14" t="n">
        <v>0.1861603148821138</v>
      </c>
      <c r="AG137" s="14" t="n">
        <v>0.1847410517683437</v>
      </c>
      <c r="AH137" s="14" t="n"/>
      <c r="AI137" s="14" t="n"/>
      <c r="AJ137" s="14" t="n">
        <v>0.1847410517683437</v>
      </c>
      <c r="AK137" s="14" t="n"/>
      <c r="AL137" s="14" t="n"/>
      <c r="AM137" s="14" t="n"/>
      <c r="AN137" s="14" t="inlineStr">
        <is>
          <t>EVALUATED</t>
        </is>
      </c>
      <c r="AO137" s="14" t="inlineStr">
        <is>
          <t>GIVING_VALIDATED_EDGE;BUCKET_PRIOR_ONLY;INTENT_INTERPRETATION_ONLY;EXPERT_MARKET</t>
        </is>
      </c>
      <c r="AP137" s="14" t="inlineStr">
        <is>
          <t>b10bb817f7be8bd104c7</t>
        </is>
      </c>
      <c r="AQ137" s="14" t="n">
        <v>-1.25</v>
      </c>
      <c r="AR137" s="14" t="n">
        <v>0.85</v>
      </c>
      <c r="AS137" s="14" t="n">
        <v>-1.25</v>
      </c>
      <c r="AT137" s="14" t="n">
        <v>1.25</v>
      </c>
      <c r="AU137" s="14" t="n">
        <v>0.85</v>
      </c>
      <c r="AV137" s="14" t="n">
        <v>1.03</v>
      </c>
      <c r="AW137" s="14" t="inlineStr">
        <is>
          <t>2026-10-03T09:27:07.620845+08:00</t>
        </is>
      </c>
      <c r="AX137" s="14" t="inlineStr">
        <is>
          <t>Titan007 Next</t>
        </is>
      </c>
      <c r="AY137" s="14" t="inlineStr">
        <is>
          <t>V4 Shadow Only；real_money=false；新增冻结记录</t>
        </is>
      </c>
    </row>
    <row r="138" ht="22" customHeight="1" s="39">
      <c r="A138" s="14" t="inlineStr">
        <is>
          <t>2026-10-03</t>
        </is>
      </c>
      <c r="B138" s="14" t="inlineStr">
        <is>
          <t>2026-10-04 03:00:00</t>
        </is>
      </c>
      <c r="C138" s="14" t="inlineStr">
        <is>
          <t>CLUB_LEAGUE</t>
        </is>
      </c>
      <c r="D138" s="14" t="inlineStr">
        <is>
          <t>联赛</t>
        </is>
      </c>
      <c r="E138" s="14" t="inlineStr">
        <is>
          <t>哥伦甲秋</t>
        </is>
      </c>
      <c r="F138" s="14" t="inlineStr">
        <is>
          <t>阿古拉斯多拉达斯 vs 贾奎斯科尔多巴</t>
        </is>
      </c>
      <c r="G138" s="26" t="n">
        <v>0.88</v>
      </c>
      <c r="H138" s="26" t="n">
        <v>-1</v>
      </c>
      <c r="I138" s="26" t="n">
        <v>1</v>
      </c>
      <c r="J138" s="26" t="inlineStr">
        <is>
          <t>0.88/-1.0/1.0</t>
        </is>
      </c>
      <c r="K138" s="14" t="inlineStr">
        <is>
          <t>V4-B｜EV 0.1212192462593123</t>
        </is>
      </c>
      <c r="L138" s="14" t="inlineStr">
        <is>
          <t>阿古拉斯多拉达斯</t>
        </is>
      </c>
      <c r="M138" s="47" t="n">
        <v>0.4607214901591936</v>
      </c>
      <c r="N138" s="14" t="inlineStr">
        <is>
          <t>V4纸面入选-B</t>
        </is>
      </c>
      <c r="O138" s="14" t="inlineStr">
        <is>
          <t>2-0</t>
        </is>
      </c>
      <c r="P138" s="14" t="inlineStr">
        <is>
          <t>已结算</t>
        </is>
      </c>
      <c r="Q138" s="14" t="inlineStr">
        <is>
          <t>红</t>
        </is>
      </c>
      <c r="R138" s="48" t="n">
        <v>0.88</v>
      </c>
      <c r="S138" s="48">
        <f>IF(OR(Q138="",Q138="待结算"),"",IF(Q138="红",R138,IF(Q138="半红",R138*0.5,IF(Q138="走",0,IF(Q138="半黑",-0.5,-1)))))</f>
        <v/>
      </c>
      <c r="T138" s="14" t="inlineStr">
        <is>
          <t>D:\codex\v3_legacy\outputs\football_odds_trader\raw\titan007\20261004\20261004_084919_titan007_odds_snapshot.csv</t>
        </is>
      </c>
      <c r="U138" s="14">
        <f>IF(Q138="","",IF(Q138="待结算","待结算",IF(Q138="红","黑",IF(Q138="半红","半黑",IF(Q138="走","走",IF(Q138="半黑","半红","红"))))))</f>
        <v/>
      </c>
      <c r="V138" s="48">
        <f>IF(OR(U138="",U138="待结算"),"",IF(L138=LEFT(F138,FIND(" vs ",F138)-1),I138,G138))</f>
        <v/>
      </c>
      <c r="W138" s="48">
        <f>IF(OR(U138="",U138="待结算"),"",IF(U138="红",V138,IF(U138="半红",V138*0.5,IF(U138="走",0,IF(U138="半黑",-0.5,-1)))))</f>
        <v/>
      </c>
      <c r="X138" s="14" t="inlineStr">
        <is>
          <t>3011877</t>
        </is>
      </c>
      <c r="Y138" s="14" t="inlineStr">
        <is>
          <t>V4</t>
        </is>
      </c>
      <c r="Z138" s="14" t="inlineStr">
        <is>
          <t>prior-2026-10-03-v1</t>
        </is>
      </c>
      <c r="AA138" s="14" t="inlineStr">
        <is>
          <t>B</t>
        </is>
      </c>
      <c r="AB138" s="14" t="n">
        <v>0.4607214901591936</v>
      </c>
      <c r="AC138" s="14" t="n">
        <v>0</v>
      </c>
      <c r="AD138" s="14" t="n">
        <v>0.2550628447600283</v>
      </c>
      <c r="AE138" s="14" t="n">
        <v>0</v>
      </c>
      <c r="AF138" s="14" t="n">
        <v>0.2842156650807781</v>
      </c>
      <c r="AG138" s="14" t="n">
        <v>0.1212192462593123</v>
      </c>
      <c r="AH138" s="14" t="n"/>
      <c r="AI138" s="14" t="n"/>
      <c r="AJ138" s="14" t="n">
        <v>0.1212192462593123</v>
      </c>
      <c r="AK138" s="14" t="n"/>
      <c r="AL138" s="14" t="n"/>
      <c r="AM138" s="14" t="n"/>
      <c r="AN138" s="14" t="inlineStr">
        <is>
          <t>EVALUATED</t>
        </is>
      </c>
      <c r="AO138" s="14" t="inlineStr">
        <is>
          <t>GIVING_VALIDATED_EDGE;BUCKET_PRIOR_ONLY;INTENT_INTERPRETATION_ONLY;EXPERT_MARKET</t>
        </is>
      </c>
      <c r="AP138" s="14" t="inlineStr">
        <is>
          <t>aedf6dac5105b4257609</t>
        </is>
      </c>
      <c r="AQ138" s="14" t="n">
        <v>-1</v>
      </c>
      <c r="AR138" s="14" t="n">
        <v>0.88</v>
      </c>
      <c r="AS138" s="14" t="n">
        <v>-1</v>
      </c>
      <c r="AT138" s="14" t="n">
        <v>1</v>
      </c>
      <c r="AU138" s="14" t="n">
        <v>0.88</v>
      </c>
      <c r="AV138" s="14" t="n">
        <v>1</v>
      </c>
      <c r="AW138" s="14" t="inlineStr">
        <is>
          <t>2026-10-03T09:27:07.620845+08:00</t>
        </is>
      </c>
      <c r="AX138" s="14" t="inlineStr">
        <is>
          <t>Titan007 Next</t>
        </is>
      </c>
      <c r="AY138" s="14" t="inlineStr">
        <is>
          <t>V4 Shadow Only；real_money=false；新增冻结记录</t>
        </is>
      </c>
    </row>
    <row r="139" ht="22" customHeight="1" s="39">
      <c r="A139" s="14" t="inlineStr">
        <is>
          <t>2026-10-03</t>
        </is>
      </c>
      <c r="B139" s="14" t="inlineStr">
        <is>
          <t>2026-10-04 03:00:00</t>
        </is>
      </c>
      <c r="C139" s="14" t="inlineStr">
        <is>
          <t>CLUB_LEAGUE</t>
        </is>
      </c>
      <c r="D139" s="14" t="inlineStr">
        <is>
          <t>联赛</t>
        </is>
      </c>
      <c r="E139" s="14" t="inlineStr">
        <is>
          <t>法女甲</t>
        </is>
      </c>
      <c r="F139" s="14" t="inlineStr">
        <is>
          <t>巴黎FC女足 vs 伦斯女足</t>
        </is>
      </c>
      <c r="G139" s="26" t="n">
        <v>0.85</v>
      </c>
      <c r="H139" s="26" t="n">
        <v>-2</v>
      </c>
      <c r="I139" s="26" t="n">
        <v>0.85</v>
      </c>
      <c r="J139" s="26" t="inlineStr">
        <is>
          <t>0.85/-2.0/0.85</t>
        </is>
      </c>
      <c r="K139" s="14" t="inlineStr">
        <is>
          <t>V4-B｜EV 0.13332082235344644</t>
        </is>
      </c>
      <c r="L139" s="14" t="inlineStr">
        <is>
          <t>巴黎FC女足</t>
        </is>
      </c>
      <c r="M139" s="47" t="n">
        <v>0.4802236706093845</v>
      </c>
      <c r="N139" s="14" t="inlineStr">
        <is>
          <t>V4纸面入选-B</t>
        </is>
      </c>
      <c r="O139" s="14" t="inlineStr">
        <is>
          <t>4-1</t>
        </is>
      </c>
      <c r="P139" s="14" t="inlineStr">
        <is>
          <t>已结算</t>
        </is>
      </c>
      <c r="Q139" s="14" t="inlineStr">
        <is>
          <t>红</t>
        </is>
      </c>
      <c r="R139" s="48" t="n">
        <v>0.85</v>
      </c>
      <c r="S139" s="48">
        <f>IF(OR(Q139="",Q139="待结算"),"",IF(Q139="红",R139,IF(Q139="半红",R139*0.5,IF(Q139="走",0,IF(Q139="半黑",-0.5,-1)))))</f>
        <v/>
      </c>
      <c r="T139" s="14" t="inlineStr">
        <is>
          <t>D:\codex\v3_legacy\outputs\football_odds_trader\raw\titan007\20261004\20261004_084919_titan007_odds_snapshot.csv</t>
        </is>
      </c>
      <c r="U139" s="14">
        <f>IF(Q139="","",IF(Q139="待结算","待结算",IF(Q139="红","黑",IF(Q139="半红","半黑",IF(Q139="走","走",IF(Q139="半黑","半红","红"))))))</f>
        <v/>
      </c>
      <c r="V139" s="48">
        <f>IF(OR(U139="",U139="待结算"),"",IF(L139=LEFT(F139,FIND(" vs ",F139)-1),I139,G139))</f>
        <v/>
      </c>
      <c r="W139" s="48">
        <f>IF(OR(U139="",U139="待结算"),"",IF(U139="红",V139,IF(U139="半红",V139*0.5,IF(U139="走",0,IF(U139="半黑",-0.5,-1)))))</f>
        <v/>
      </c>
      <c r="X139" s="14" t="inlineStr">
        <is>
          <t>3088640</t>
        </is>
      </c>
      <c r="Y139" s="14" t="inlineStr">
        <is>
          <t>V4</t>
        </is>
      </c>
      <c r="Z139" s="14" t="inlineStr">
        <is>
          <t>prior-2026-10-03-v1</t>
        </is>
      </c>
      <c r="AA139" s="14" t="inlineStr">
        <is>
          <t>B</t>
        </is>
      </c>
      <c r="AB139" s="14" t="n">
        <v>0.4802236706093845</v>
      </c>
      <c r="AC139" s="14" t="n">
        <v>0</v>
      </c>
      <c r="AD139" s="14" t="n">
        <v>0.244907031726085</v>
      </c>
      <c r="AE139" s="14" t="n">
        <v>0</v>
      </c>
      <c r="AF139" s="14" t="n">
        <v>0.2748692976645304</v>
      </c>
      <c r="AG139" s="14" t="n">
        <v>0.1333208223534464</v>
      </c>
      <c r="AH139" s="14" t="n"/>
      <c r="AI139" s="14" t="n"/>
      <c r="AJ139" s="14" t="n">
        <v>0.1333208223534464</v>
      </c>
      <c r="AK139" s="14" t="n"/>
      <c r="AL139" s="14" t="n"/>
      <c r="AM139" s="14" t="n"/>
      <c r="AN139" s="14" t="inlineStr">
        <is>
          <t>EVALUATED</t>
        </is>
      </c>
      <c r="AO139" s="14" t="inlineStr">
        <is>
          <t>GIVING_VALIDATED_EDGE;BUCKET_PRIOR_ONLY;INTENT_INTERPRETATION_ONLY;EXPERT_MARKET</t>
        </is>
      </c>
      <c r="AP139" s="14" t="inlineStr">
        <is>
          <t>1e0e38de10ab78e501ea</t>
        </is>
      </c>
      <c r="AQ139" s="14" t="n">
        <v>-2</v>
      </c>
      <c r="AR139" s="14" t="n">
        <v>0.85</v>
      </c>
      <c r="AS139" s="14" t="n">
        <v>-2</v>
      </c>
      <c r="AT139" s="14" t="n">
        <v>2</v>
      </c>
      <c r="AU139" s="14" t="n">
        <v>0.85</v>
      </c>
      <c r="AV139" s="14" t="n">
        <v>0.85</v>
      </c>
      <c r="AW139" s="14" t="inlineStr">
        <is>
          <t>2026-10-03T09:27:07.620845+08:00</t>
        </is>
      </c>
      <c r="AX139" s="14" t="inlineStr">
        <is>
          <t>Titan007 Next</t>
        </is>
      </c>
      <c r="AY139" s="14" t="inlineStr">
        <is>
          <t>V4 Shadow Only；real_money=false；新增冻结记录</t>
        </is>
      </c>
    </row>
    <row r="140" ht="22" customHeight="1" s="39">
      <c r="A140" s="14" t="inlineStr">
        <is>
          <t>2026-10-03</t>
        </is>
      </c>
      <c r="B140" s="14" t="inlineStr">
        <is>
          <t>2026-10-04 03:00:00</t>
        </is>
      </c>
      <c r="C140" s="14" t="inlineStr">
        <is>
          <t>INTERNATIONAL_FRIENDLY</t>
        </is>
      </c>
      <c r="D140" s="14" t="inlineStr">
        <is>
          <t>联赛</t>
        </is>
      </c>
      <c r="E140" s="14" t="inlineStr">
        <is>
          <t>国际友谊</t>
        </is>
      </c>
      <c r="F140" s="14" t="inlineStr">
        <is>
          <t>科特迪瓦 vs 喀麦隆</t>
        </is>
      </c>
      <c r="G140" s="26" t="n">
        <v>1.02</v>
      </c>
      <c r="H140" s="26" t="n">
        <v>-0.75</v>
      </c>
      <c r="I140" s="26" t="n">
        <v>0.8</v>
      </c>
      <c r="J140" s="26" t="inlineStr">
        <is>
          <t>1.02/-0.75/0.8</t>
        </is>
      </c>
      <c r="K140" s="14" t="inlineStr">
        <is>
          <t>V4-C｜EV 0.08203283815345486</t>
        </is>
      </c>
      <c r="L140" s="14" t="inlineStr">
        <is>
          <t>科特迪瓦</t>
        </is>
      </c>
      <c r="M140" s="47" t="n">
        <v>0.472230766453481</v>
      </c>
      <c r="N140" s="14" t="inlineStr">
        <is>
          <t>V4纸面入选-C</t>
        </is>
      </c>
      <c r="O140" s="14" t="inlineStr">
        <is>
          <t>0-1</t>
        </is>
      </c>
      <c r="P140" s="14" t="inlineStr">
        <is>
          <t>已结算</t>
        </is>
      </c>
      <c r="Q140" s="14" t="inlineStr">
        <is>
          <t>黑</t>
        </is>
      </c>
      <c r="R140" s="48" t="n">
        <v>1.02</v>
      </c>
      <c r="S140" s="48">
        <f>IF(OR(Q140="",Q140="待结算"),"",IF(Q140="红",R140,IF(Q140="半红",R140*0.5,IF(Q140="走",0,IF(Q140="半黑",-0.5,-1)))))</f>
        <v/>
      </c>
      <c r="T140" s="14" t="inlineStr">
        <is>
          <t>D:\codex\v3_legacy\outputs\football_odds_trader\raw\titan007\20261004\20261004_084919_titan007_odds_snapshot.csv</t>
        </is>
      </c>
      <c r="U140" s="14">
        <f>IF(Q140="","",IF(Q140="待结算","待结算",IF(Q140="红","黑",IF(Q140="半红","半黑",IF(Q140="走","走",IF(Q140="半黑","半红","红"))))))</f>
        <v/>
      </c>
      <c r="V140" s="48">
        <f>IF(OR(U140="",U140="待结算"),"",IF(L140=LEFT(F140,FIND(" vs ",F140)-1),I140,G140))</f>
        <v/>
      </c>
      <c r="W140" s="48">
        <f>IF(OR(U140="",U140="待结算"),"",IF(U140="红",V140,IF(U140="半红",V140*0.5,IF(U140="走",0,IF(U140="半黑",-0.5,-1)))))</f>
        <v/>
      </c>
      <c r="X140" s="14" t="inlineStr">
        <is>
          <t>3096089</t>
        </is>
      </c>
      <c r="Y140" s="14" t="inlineStr">
        <is>
          <t>V4</t>
        </is>
      </c>
      <c r="Z140" s="14" t="inlineStr">
        <is>
          <t>prior-2026-10-03-v1</t>
        </is>
      </c>
      <c r="AA140" s="14" t="inlineStr">
        <is>
          <t>C</t>
        </is>
      </c>
      <c r="AB140" s="14" t="n">
        <v>0.3441040765360578</v>
      </c>
      <c r="AC140" s="14" t="n">
        <v>0.2562533798348464</v>
      </c>
      <c r="AD140" s="14" t="n">
        <v>0</v>
      </c>
      <c r="AE140" s="14" t="n">
        <v>0</v>
      </c>
      <c r="AF140" s="14" t="n">
        <v>0.3996425436290958</v>
      </c>
      <c r="AG140" s="14" t="n">
        <v>0.08203283815345486</v>
      </c>
      <c r="AH140" s="14" t="n"/>
      <c r="AI140" s="14" t="n"/>
      <c r="AJ140" s="14" t="n">
        <v>0.08203283815345486</v>
      </c>
      <c r="AK140" s="14" t="n"/>
      <c r="AL140" s="14" t="n"/>
      <c r="AM140" s="14" t="n"/>
      <c r="AN140" s="14" t="inlineStr">
        <is>
          <t>EVALUATED</t>
        </is>
      </c>
      <c r="AO140" s="14" t="inlineStr">
        <is>
          <t>GIVING_VALIDATED_EDGE;BUCKET_PRIOR_ONLY;INTENT_INTERPRETATION_ONLY;EXPERT_MARKET</t>
        </is>
      </c>
      <c r="AP140" s="14" t="inlineStr">
        <is>
          <t>17694eae412457e9bc5c</t>
        </is>
      </c>
      <c r="AQ140" s="14" t="n">
        <v>-0.75</v>
      </c>
      <c r="AR140" s="14" t="n">
        <v>1.02</v>
      </c>
      <c r="AS140" s="14" t="n">
        <v>-0.75</v>
      </c>
      <c r="AT140" s="14" t="n">
        <v>0.75</v>
      </c>
      <c r="AU140" s="14" t="n">
        <v>1.02</v>
      </c>
      <c r="AV140" s="14" t="n">
        <v>0.8</v>
      </c>
      <c r="AW140" s="14" t="inlineStr">
        <is>
          <t>2026-10-03T09:27:07.620845+08:00</t>
        </is>
      </c>
      <c r="AX140" s="14" t="inlineStr">
        <is>
          <t>Titan007 Next</t>
        </is>
      </c>
      <c r="AY140" s="14" t="inlineStr">
        <is>
          <t>V4 Shadow Only；real_money=false；新增冻结记录</t>
        </is>
      </c>
    </row>
    <row r="141" ht="22" customHeight="1" s="39">
      <c r="A141" s="14" t="inlineStr">
        <is>
          <t>2026-10-03</t>
        </is>
      </c>
      <c r="B141" s="14" t="inlineStr">
        <is>
          <t>2026-10-04 04:00:00</t>
        </is>
      </c>
      <c r="C141" s="14" t="inlineStr">
        <is>
          <t>CLUB_LEAGUE</t>
        </is>
      </c>
      <c r="D141" s="14" t="inlineStr">
        <is>
          <t>联赛</t>
        </is>
      </c>
      <c r="E141" s="14" t="inlineStr">
        <is>
          <t>阿甲</t>
        </is>
      </c>
      <c r="F141" s="14" t="inlineStr">
        <is>
          <t>图库曼竞技 vs 巴拉卡斯中央队</t>
        </is>
      </c>
      <c r="G141" s="26" t="n">
        <v>0.95</v>
      </c>
      <c r="H141" s="26" t="n">
        <v>-0.5</v>
      </c>
      <c r="I141" s="26" t="n">
        <v>0.93</v>
      </c>
      <c r="J141" s="26" t="inlineStr">
        <is>
          <t>0.95/-0.5/0.93</t>
        </is>
      </c>
      <c r="K141" s="14" t="inlineStr">
        <is>
          <t>V4-A｜EV 0.16861684877195277</t>
        </is>
      </c>
      <c r="L141" s="14" t="inlineStr">
        <is>
          <t>图库曼竞技</t>
        </is>
      </c>
      <c r="M141" s="47" t="n">
        <v>0.5992906916779245</v>
      </c>
      <c r="N141" s="14" t="inlineStr">
        <is>
          <t>V4纸面入选-A</t>
        </is>
      </c>
      <c r="O141" s="14" t="inlineStr">
        <is>
          <t>2-3</t>
        </is>
      </c>
      <c r="P141" s="14" t="inlineStr">
        <is>
          <t>已结算</t>
        </is>
      </c>
      <c r="Q141" s="14" t="inlineStr">
        <is>
          <t>黑</t>
        </is>
      </c>
      <c r="R141" s="48" t="n">
        <v>0.95</v>
      </c>
      <c r="S141" s="48">
        <f>IF(OR(Q141="",Q141="待结算"),"",IF(Q141="红",R141,IF(Q141="半红",R141*0.5,IF(Q141="走",0,IF(Q141="半黑",-0.5,-1)))))</f>
        <v/>
      </c>
      <c r="T141" s="14" t="inlineStr">
        <is>
          <t>D:\codex\v3_legacy\outputs\football_odds_trader\raw\titan007\20261004\20261004_084919_titan007_odds_snapshot.csv</t>
        </is>
      </c>
      <c r="U141" s="14">
        <f>IF(Q141="","",IF(Q141="待结算","待结算",IF(Q141="红","黑",IF(Q141="半红","半黑",IF(Q141="走","走",IF(Q141="半黑","半红","红"))))))</f>
        <v/>
      </c>
      <c r="V141" s="48">
        <f>IF(OR(U141="",U141="待结算"),"",IF(L141=LEFT(F141,FIND(" vs ",F141)-1),I141,G141))</f>
        <v/>
      </c>
      <c r="W141" s="48">
        <f>IF(OR(U141="",U141="待结算"),"",IF(U141="红",V141,IF(U141="半红",V141*0.5,IF(U141="走",0,IF(U141="半黑",-0.5,-1)))))</f>
        <v/>
      </c>
      <c r="X141" s="14" t="inlineStr">
        <is>
          <t>2962654</t>
        </is>
      </c>
      <c r="Y141" s="14" t="inlineStr">
        <is>
          <t>V4</t>
        </is>
      </c>
      <c r="Z141" s="14" t="inlineStr">
        <is>
          <t>prior-2026-10-03-v1</t>
        </is>
      </c>
      <c r="AA141" s="14" t="inlineStr">
        <is>
          <t>A</t>
        </is>
      </c>
      <c r="AB141" s="14" t="n">
        <v>0.5992906916779245</v>
      </c>
      <c r="AC141" s="14" t="n">
        <v>0</v>
      </c>
      <c r="AD141" s="14" t="n">
        <v>0</v>
      </c>
      <c r="AE141" s="14" t="n">
        <v>0</v>
      </c>
      <c r="AF141" s="14" t="n">
        <v>0.4007093083220755</v>
      </c>
      <c r="AG141" s="14" t="n">
        <v>0.1686168487719528</v>
      </c>
      <c r="AH141" s="14" t="n"/>
      <c r="AI141" s="14" t="n"/>
      <c r="AJ141" s="14" t="n">
        <v>0.1686168487719528</v>
      </c>
      <c r="AK141" s="14" t="n"/>
      <c r="AL141" s="14" t="n"/>
      <c r="AM141" s="14" t="n"/>
      <c r="AN141" s="14" t="inlineStr">
        <is>
          <t>EVALUATED</t>
        </is>
      </c>
      <c r="AO141" s="14" t="inlineStr">
        <is>
          <t>GIVING_VALIDATED_EDGE;BUCKET_PRIOR_ONLY;INTENT_INTERPRETATION_ONLY;EXPERT_MARKET</t>
        </is>
      </c>
      <c r="AP141" s="14" t="inlineStr">
        <is>
          <t>19046dc40086397b6815</t>
        </is>
      </c>
      <c r="AQ141" s="14" t="n">
        <v>-0.5</v>
      </c>
      <c r="AR141" s="14" t="n">
        <v>0.95</v>
      </c>
      <c r="AS141" s="14" t="n">
        <v>-0.5</v>
      </c>
      <c r="AT141" s="14" t="n">
        <v>0.5</v>
      </c>
      <c r="AU141" s="14" t="n">
        <v>0.95</v>
      </c>
      <c r="AV141" s="14" t="n">
        <v>0.93</v>
      </c>
      <c r="AW141" s="14" t="inlineStr">
        <is>
          <t>2026-10-03T09:27:07.620845+08:00</t>
        </is>
      </c>
      <c r="AX141" s="14" t="inlineStr">
        <is>
          <t>Titan007 Next</t>
        </is>
      </c>
      <c r="AY141" s="14" t="inlineStr">
        <is>
          <t>V4 Shadow Only；real_money=false；新增冻结记录</t>
        </is>
      </c>
    </row>
    <row r="142" ht="22" customHeight="1" s="39">
      <c r="A142" s="14" t="inlineStr">
        <is>
          <t>2026-10-03</t>
        </is>
      </c>
      <c r="B142" s="14" t="inlineStr">
        <is>
          <t>2026-10-04 04:00:00</t>
        </is>
      </c>
      <c r="C142" s="14" t="inlineStr">
        <is>
          <t>CLUB_LEAGUE</t>
        </is>
      </c>
      <c r="D142" s="14" t="inlineStr">
        <is>
          <t>联赛</t>
        </is>
      </c>
      <c r="E142" s="14" t="inlineStr">
        <is>
          <t>巴西乙</t>
        </is>
      </c>
      <c r="F142" s="14" t="inlineStr">
        <is>
          <t>库亚巴 vs 庞特普雷塔</t>
        </is>
      </c>
      <c r="G142" s="26" t="n">
        <v>0.9</v>
      </c>
      <c r="H142" s="26" t="n">
        <v>-2</v>
      </c>
      <c r="I142" s="26" t="n">
        <v>0.98</v>
      </c>
      <c r="J142" s="26" t="inlineStr">
        <is>
          <t>0.9/-2.0/0.98</t>
        </is>
      </c>
      <c r="K142" s="14" t="inlineStr">
        <is>
          <t>V4-B｜EV 0.21056440306192659</t>
        </is>
      </c>
      <c r="L142" s="14" t="inlineStr">
        <is>
          <t>库亚巴</t>
        </is>
      </c>
      <c r="M142" s="47" t="n">
        <v>0.5123053900320732</v>
      </c>
      <c r="N142" s="14" t="inlineStr">
        <is>
          <t>V4纸面入选-B</t>
        </is>
      </c>
      <c r="O142" s="14" t="inlineStr">
        <is>
          <t>2-0</t>
        </is>
      </c>
      <c r="P142" s="14" t="inlineStr">
        <is>
          <t>已结算</t>
        </is>
      </c>
      <c r="Q142" s="14" t="inlineStr">
        <is>
          <t>走</t>
        </is>
      </c>
      <c r="R142" s="48" t="n">
        <v>0.9</v>
      </c>
      <c r="S142" s="48">
        <f>IF(OR(Q142="",Q142="待结算"),"",IF(Q142="红",R142,IF(Q142="半红",R142*0.5,IF(Q142="走",0,IF(Q142="半黑",-0.5,-1)))))</f>
        <v/>
      </c>
      <c r="T142" s="14" t="inlineStr">
        <is>
          <t>D:\codex\v3_legacy\outputs\football_odds_trader\raw\titan007\20261004\20261004_084919_titan007_odds_snapshot.csv</t>
        </is>
      </c>
      <c r="U142" s="14">
        <f>IF(Q142="","",IF(Q142="待结算","待结算",IF(Q142="红","黑",IF(Q142="半红","半黑",IF(Q142="走","走",IF(Q142="半黑","半红","红"))))))</f>
        <v/>
      </c>
      <c r="V142" s="48">
        <f>IF(OR(U142="",U142="待结算"),"",IF(L142=LEFT(F142,FIND(" vs ",F142)-1),I142,G142))</f>
        <v/>
      </c>
      <c r="W142" s="48">
        <f>IF(OR(U142="",U142="待结算"),"",IF(U142="红",V142,IF(U142="半红",V142*0.5,IF(U142="走",0,IF(U142="半黑",-0.5,-1)))))</f>
        <v/>
      </c>
      <c r="X142" s="14" t="inlineStr">
        <is>
          <t>2940209</t>
        </is>
      </c>
      <c r="Y142" s="14" t="inlineStr">
        <is>
          <t>V4</t>
        </is>
      </c>
      <c r="Z142" s="14" t="inlineStr">
        <is>
          <t>prior-2026-10-03-v1</t>
        </is>
      </c>
      <c r="AA142" s="14" t="inlineStr">
        <is>
          <t>B</t>
        </is>
      </c>
      <c r="AB142" s="14" t="n">
        <v>0.5123053900320732</v>
      </c>
      <c r="AC142" s="14" t="n">
        <v>0</v>
      </c>
      <c r="AD142" s="14" t="n">
        <v>0.2371841620009875</v>
      </c>
      <c r="AE142" s="14" t="n">
        <v>0</v>
      </c>
      <c r="AF142" s="14" t="n">
        <v>0.2505104479669393</v>
      </c>
      <c r="AG142" s="14" t="n">
        <v>0.2105644030619266</v>
      </c>
      <c r="AH142" s="14" t="n"/>
      <c r="AI142" s="14" t="n"/>
      <c r="AJ142" s="14" t="n">
        <v>0.2105644030619266</v>
      </c>
      <c r="AK142" s="14" t="n"/>
      <c r="AL142" s="14" t="n"/>
      <c r="AM142" s="14" t="n"/>
      <c r="AN142" s="14" t="inlineStr">
        <is>
          <t>EVALUATED</t>
        </is>
      </c>
      <c r="AO142" s="14" t="inlineStr">
        <is>
          <t>GIVING_VALIDATED_EDGE;BUCKET_PRIOR_ONLY;INTENT_INTERPRETATION_ONLY;EXPERT_MARKET</t>
        </is>
      </c>
      <c r="AP142" s="14" t="inlineStr">
        <is>
          <t>a719c0b119d8beea0bd8</t>
        </is>
      </c>
      <c r="AQ142" s="14" t="n">
        <v>-2</v>
      </c>
      <c r="AR142" s="14" t="n">
        <v>0.9</v>
      </c>
      <c r="AS142" s="14" t="n">
        <v>-2</v>
      </c>
      <c r="AT142" s="14" t="n">
        <v>2</v>
      </c>
      <c r="AU142" s="14" t="n">
        <v>0.9</v>
      </c>
      <c r="AV142" s="14" t="n">
        <v>0.98</v>
      </c>
      <c r="AW142" s="14" t="inlineStr">
        <is>
          <t>2026-10-03T09:27:07.620845+08:00</t>
        </is>
      </c>
      <c r="AX142" s="14" t="inlineStr">
        <is>
          <t>Titan007 Next</t>
        </is>
      </c>
      <c r="AY142" s="14" t="inlineStr">
        <is>
          <t>V4 Shadow Only；real_money=false；新增冻结记录</t>
        </is>
      </c>
    </row>
    <row r="143" ht="22" customHeight="1" s="39">
      <c r="A143" s="14" t="inlineStr">
        <is>
          <t>2026-10-03</t>
        </is>
      </c>
      <c r="B143" s="14" t="inlineStr">
        <is>
          <t>2026-10-04 04:00:00</t>
        </is>
      </c>
      <c r="C143" s="14" t="inlineStr">
        <is>
          <t>CLUB_LEAGUE</t>
        </is>
      </c>
      <c r="D143" s="14" t="inlineStr">
        <is>
          <t>联赛</t>
        </is>
      </c>
      <c r="E143" s="14" t="inlineStr">
        <is>
          <t>摩洛超</t>
        </is>
      </c>
      <c r="F143" s="14" t="inlineStr">
        <is>
          <t>拉加竞技 vs 泽马拉</t>
        </is>
      </c>
      <c r="G143" s="26" t="n">
        <v>1.01</v>
      </c>
      <c r="H143" s="26" t="n">
        <v>-1</v>
      </c>
      <c r="I143" s="26" t="n">
        <v>0.75</v>
      </c>
      <c r="J143" s="26" t="inlineStr">
        <is>
          <t>1.01/-1.0/0.75</t>
        </is>
      </c>
      <c r="K143" s="14" t="inlineStr">
        <is>
          <t>V4-B｜EV 0.3482884707800634</t>
        </is>
      </c>
      <c r="L143" s="14" t="inlineStr">
        <is>
          <t>拉加竞技</t>
        </is>
      </c>
      <c r="M143" s="47" t="n">
        <v>0.549209045089731</v>
      </c>
      <c r="N143" s="14" t="inlineStr">
        <is>
          <t>V4纸面入选-B</t>
        </is>
      </c>
      <c r="O143" s="14" t="inlineStr">
        <is>
          <t>1-0</t>
        </is>
      </c>
      <c r="P143" s="14" t="inlineStr">
        <is>
          <t>已结算</t>
        </is>
      </c>
      <c r="Q143" s="14" t="inlineStr">
        <is>
          <t>走</t>
        </is>
      </c>
      <c r="R143" s="48" t="n">
        <v>1.01</v>
      </c>
      <c r="S143" s="48">
        <f>IF(OR(Q143="",Q143="待结算"),"",IF(Q143="红",R143,IF(Q143="半红",R143*0.5,IF(Q143="走",0,IF(Q143="半黑",-0.5,-1)))))</f>
        <v/>
      </c>
      <c r="T143" s="14" t="inlineStr">
        <is>
          <t>D:\codex\v3_legacy\outputs\football_odds_trader\raw\titan007\20261004\20261004_084919_titan007_odds_snapshot.csv</t>
        </is>
      </c>
      <c r="U143" s="14">
        <f>IF(Q143="","",IF(Q143="待结算","待结算",IF(Q143="红","黑",IF(Q143="半红","半黑",IF(Q143="走","走",IF(Q143="半黑","半红","红"))))))</f>
        <v/>
      </c>
      <c r="V143" s="48">
        <f>IF(OR(U143="",U143="待结算"),"",IF(L143=LEFT(F143,FIND(" vs ",F143)-1),I143,G143))</f>
        <v/>
      </c>
      <c r="W143" s="48">
        <f>IF(OR(U143="",U143="待结算"),"",IF(U143="红",V143,IF(U143="半红",V143*0.5,IF(U143="走",0,IF(U143="半黑",-0.5,-1)))))</f>
        <v/>
      </c>
      <c r="X143" s="14" t="inlineStr">
        <is>
          <t>3076979</t>
        </is>
      </c>
      <c r="Y143" s="14" t="inlineStr">
        <is>
          <t>V4</t>
        </is>
      </c>
      <c r="Z143" s="14" t="inlineStr">
        <is>
          <t>prior-2026-10-03-v1</t>
        </is>
      </c>
      <c r="AA143" s="14" t="inlineStr">
        <is>
          <t>B</t>
        </is>
      </c>
      <c r="AB143" s="14" t="n">
        <v>0.549209045089731</v>
      </c>
      <c r="AC143" s="14" t="n">
        <v>0</v>
      </c>
      <c r="AD143" s="14" t="n">
        <v>0.2443782901497041</v>
      </c>
      <c r="AE143" s="14" t="n">
        <v>0</v>
      </c>
      <c r="AF143" s="14" t="n">
        <v>0.2064126647605649</v>
      </c>
      <c r="AG143" s="14" t="n">
        <v>0.3482884707800634</v>
      </c>
      <c r="AH143" s="14" t="n"/>
      <c r="AI143" s="14" t="n"/>
      <c r="AJ143" s="14" t="n">
        <v>0.3482884707800634</v>
      </c>
      <c r="AK143" s="14" t="n"/>
      <c r="AL143" s="14" t="n"/>
      <c r="AM143" s="14" t="n"/>
      <c r="AN143" s="14" t="inlineStr">
        <is>
          <t>EVALUATED</t>
        </is>
      </c>
      <c r="AO143" s="14" t="inlineStr">
        <is>
          <t>GIVING_VALIDATED_EDGE;BUCKET_PRIOR_ONLY;INTENT_INTERPRETATION_ONLY;EXPERT_MARKET</t>
        </is>
      </c>
      <c r="AP143" s="14" t="inlineStr">
        <is>
          <t>f2e84d06a1d27440a8e5</t>
        </is>
      </c>
      <c r="AQ143" s="14" t="n">
        <v>-1</v>
      </c>
      <c r="AR143" s="14" t="n">
        <v>1.01</v>
      </c>
      <c r="AS143" s="14" t="n">
        <v>-1</v>
      </c>
      <c r="AT143" s="14" t="n">
        <v>1</v>
      </c>
      <c r="AU143" s="14" t="n">
        <v>1.01</v>
      </c>
      <c r="AV143" s="14" t="n">
        <v>0.75</v>
      </c>
      <c r="AW143" s="14" t="inlineStr">
        <is>
          <t>2026-10-03T09:27:07.620845+08:00</t>
        </is>
      </c>
      <c r="AX143" s="14" t="inlineStr">
        <is>
          <t>Titan007 Next</t>
        </is>
      </c>
      <c r="AY143" s="14" t="inlineStr">
        <is>
          <t>V4 Shadow Only；real_money=false；新增冻结记录</t>
        </is>
      </c>
    </row>
    <row r="144" ht="22" customHeight="1" s="39">
      <c r="A144" s="14" t="inlineStr">
        <is>
          <t>2026-10-03</t>
        </is>
      </c>
      <c r="B144" s="14" t="inlineStr">
        <is>
          <t>2026-10-04 04:00:00</t>
        </is>
      </c>
      <c r="C144" s="14" t="inlineStr">
        <is>
          <t>CLUB_LEAGUE</t>
        </is>
      </c>
      <c r="D144" s="14" t="inlineStr">
        <is>
          <t>联赛</t>
        </is>
      </c>
      <c r="E144" s="14" t="inlineStr">
        <is>
          <t>巴拉甲秋</t>
        </is>
      </c>
      <c r="F144" s="14" t="inlineStr">
        <is>
          <t>亚松森瓜拉尼 vs 圣罗伦素体育会</t>
        </is>
      </c>
      <c r="G144" s="26" t="n">
        <v>0.88</v>
      </c>
      <c r="H144" s="26" t="n">
        <v>-1</v>
      </c>
      <c r="I144" s="26" t="n">
        <v>0.88</v>
      </c>
      <c r="J144" s="26" t="inlineStr">
        <is>
          <t>0.88/-1.0/0.88</t>
        </is>
      </c>
      <c r="K144" s="14" t="inlineStr">
        <is>
          <t>V4-B｜EV 0.1737945230763855</t>
        </is>
      </c>
      <c r="L144" s="14" t="inlineStr">
        <is>
          <t>亚松森瓜拉尼</t>
        </is>
      </c>
      <c r="M144" s="47" t="n">
        <v>0.4903332018048631</v>
      </c>
      <c r="N144" s="14" t="inlineStr">
        <is>
          <t>V4纸面入选-B</t>
        </is>
      </c>
      <c r="O144" s="14" t="inlineStr">
        <is>
          <t>1-1</t>
        </is>
      </c>
      <c r="P144" s="14" t="inlineStr">
        <is>
          <t>已结算</t>
        </is>
      </c>
      <c r="Q144" s="14" t="inlineStr">
        <is>
          <t>黑</t>
        </is>
      </c>
      <c r="R144" s="48" t="n">
        <v>0.88</v>
      </c>
      <c r="S144" s="48">
        <f>IF(OR(Q144="",Q144="待结算"),"",IF(Q144="红",R144,IF(Q144="半红",R144*0.5,IF(Q144="走",0,IF(Q144="半黑",-0.5,-1)))))</f>
        <v/>
      </c>
      <c r="T144" s="14" t="inlineStr">
        <is>
          <t>D:\codex\v3_legacy\outputs\football_odds_trader\raw\titan007\20261004\20261004_084919_titan007_odds_snapshot.csv</t>
        </is>
      </c>
      <c r="U144" s="14">
        <f>IF(Q144="","",IF(Q144="待结算","待结算",IF(Q144="红","黑",IF(Q144="半红","半黑",IF(Q144="走","走",IF(Q144="半黑","半红","红"))))))</f>
        <v/>
      </c>
      <c r="V144" s="48">
        <f>IF(OR(U144="",U144="待结算"),"",IF(L144=LEFT(F144,FIND(" vs ",F144)-1),I144,G144))</f>
        <v/>
      </c>
      <c r="W144" s="48">
        <f>IF(OR(U144="",U144="待结算"),"",IF(U144="红",V144,IF(U144="半红",V144*0.5,IF(U144="走",0,IF(U144="半黑",-0.5,-1)))))</f>
        <v/>
      </c>
      <c r="X144" s="14" t="inlineStr">
        <is>
          <t>3074195</t>
        </is>
      </c>
      <c r="Y144" s="14" t="inlineStr">
        <is>
          <t>V4</t>
        </is>
      </c>
      <c r="Z144" s="14" t="inlineStr">
        <is>
          <t>prior-2026-10-03-v1</t>
        </is>
      </c>
      <c r="AA144" s="14" t="inlineStr">
        <is>
          <t>B</t>
        </is>
      </c>
      <c r="AB144" s="14" t="n">
        <v>0.4903332018048631</v>
      </c>
      <c r="AC144" s="14" t="n">
        <v>0</v>
      </c>
      <c r="AD144" s="14" t="n">
        <v>0.2519681036832429</v>
      </c>
      <c r="AE144" s="14" t="n">
        <v>0</v>
      </c>
      <c r="AF144" s="14" t="n">
        <v>0.257698694511894</v>
      </c>
      <c r="AG144" s="14" t="n">
        <v>0.1737945230763855</v>
      </c>
      <c r="AH144" s="14" t="n"/>
      <c r="AI144" s="14" t="n"/>
      <c r="AJ144" s="14" t="n">
        <v>0.1737945230763855</v>
      </c>
      <c r="AK144" s="14" t="n"/>
      <c r="AL144" s="14" t="n"/>
      <c r="AM144" s="14" t="n"/>
      <c r="AN144" s="14" t="inlineStr">
        <is>
          <t>EVALUATED</t>
        </is>
      </c>
      <c r="AO144" s="14" t="inlineStr">
        <is>
          <t>GIVING_VALIDATED_EDGE;BUCKET_PRIOR_ONLY;INTENT_INTERPRETATION_ONLY;EXPERT_MARKET</t>
        </is>
      </c>
      <c r="AP144" s="14" t="inlineStr">
        <is>
          <t>ce3a116fd174398aee4a</t>
        </is>
      </c>
      <c r="AQ144" s="14" t="n">
        <v>-1</v>
      </c>
      <c r="AR144" s="14" t="n">
        <v>0.88</v>
      </c>
      <c r="AS144" s="14" t="n">
        <v>-1</v>
      </c>
      <c r="AT144" s="14" t="n">
        <v>1</v>
      </c>
      <c r="AU144" s="14" t="n">
        <v>0.88</v>
      </c>
      <c r="AV144" s="14" t="n">
        <v>0.88</v>
      </c>
      <c r="AW144" s="14" t="inlineStr">
        <is>
          <t>2026-10-03T09:27:07.620845+08:00</t>
        </is>
      </c>
      <c r="AX144" s="14" t="inlineStr">
        <is>
          <t>Titan007 Next</t>
        </is>
      </c>
      <c r="AY144" s="14" t="inlineStr">
        <is>
          <t>V4 Shadow Only；real_money=false；新增冻结记录</t>
        </is>
      </c>
    </row>
    <row r="145" ht="22" customHeight="1" s="39">
      <c r="A145" s="14" t="inlineStr">
        <is>
          <t>2026-10-03</t>
        </is>
      </c>
      <c r="B145" s="14" t="inlineStr">
        <is>
          <t>2026-10-04 04:30:00</t>
        </is>
      </c>
      <c r="C145" s="14" t="inlineStr">
        <is>
          <t>CLUB_LEAGUE</t>
        </is>
      </c>
      <c r="D145" s="14" t="inlineStr">
        <is>
          <t>联赛</t>
        </is>
      </c>
      <c r="E145" s="14" t="inlineStr">
        <is>
          <t>哥伦乙秋</t>
        </is>
      </c>
      <c r="F145" s="14" t="inlineStr">
        <is>
          <t>帕特里奥坦斯 vs 尤姆博独立</t>
        </is>
      </c>
      <c r="G145" s="26" t="n">
        <v>0.88</v>
      </c>
      <c r="H145" s="26" t="n">
        <v>-0.75</v>
      </c>
      <c r="I145" s="26" t="n">
        <v>0.82</v>
      </c>
      <c r="J145" s="26" t="inlineStr">
        <is>
          <t>0.88/-0.75/0.82</t>
        </is>
      </c>
      <c r="K145" s="14" t="inlineStr">
        <is>
          <t>V4-C｜EV 0.06082019708794495</t>
        </is>
      </c>
      <c r="L145" s="14" t="inlineStr">
        <is>
          <t>帕特里奥坦斯</t>
        </is>
      </c>
      <c r="M145" s="47" t="n">
        <v>0.495984291631445</v>
      </c>
      <c r="N145" s="14" t="inlineStr">
        <is>
          <t>V4纸面入选-C</t>
        </is>
      </c>
      <c r="O145" s="14" t="inlineStr">
        <is>
          <t>0-1</t>
        </is>
      </c>
      <c r="P145" s="14" t="inlineStr">
        <is>
          <t>已结算</t>
        </is>
      </c>
      <c r="Q145" s="14" t="inlineStr">
        <is>
          <t>黑</t>
        </is>
      </c>
      <c r="R145" s="48" t="n">
        <v>0.88</v>
      </c>
      <c r="S145" s="48">
        <f>IF(OR(Q145="",Q145="待结算"),"",IF(Q145="红",R145,IF(Q145="半红",R145*0.5,IF(Q145="走",0,IF(Q145="半黑",-0.5,-1)))))</f>
        <v/>
      </c>
      <c r="T145" s="14" t="inlineStr">
        <is>
          <t>D:\codex\v3_legacy\outputs\football_odds_trader\raw\titan007\20261004\20261004_084919_titan007_odds_snapshot.csv</t>
        </is>
      </c>
      <c r="U145" s="14">
        <f>IF(Q145="","",IF(Q145="待结算","待结算",IF(Q145="红","黑",IF(Q145="半红","半黑",IF(Q145="走","走",IF(Q145="半黑","半红","红"))))))</f>
        <v/>
      </c>
      <c r="V145" s="48">
        <f>IF(OR(U145="",U145="待结算"),"",IF(L145=LEFT(F145,FIND(" vs ",F145)-1),I145,G145))</f>
        <v/>
      </c>
      <c r="W145" s="48">
        <f>IF(OR(U145="",U145="待结算"),"",IF(U145="红",V145,IF(U145="半红",V145*0.5,IF(U145="走",0,IF(U145="半黑",-0.5,-1)))))</f>
        <v/>
      </c>
      <c r="X145" s="14" t="inlineStr">
        <is>
          <t>3012210</t>
        </is>
      </c>
      <c r="Y145" s="14" t="inlineStr">
        <is>
          <t>V4</t>
        </is>
      </c>
      <c r="Z145" s="14" t="inlineStr">
        <is>
          <t>prior-2026-10-03-v1</t>
        </is>
      </c>
      <c r="AA145" s="14" t="inlineStr">
        <is>
          <t>C</t>
        </is>
      </c>
      <c r="AB145" s="14" t="n">
        <v>0.3676145628106166</v>
      </c>
      <c r="AC145" s="14" t="n">
        <v>0.2567394576416568</v>
      </c>
      <c r="AD145" s="14" t="n">
        <v>0</v>
      </c>
      <c r="AE145" s="14" t="n">
        <v>0</v>
      </c>
      <c r="AF145" s="14" t="n">
        <v>0.3756459795477266</v>
      </c>
      <c r="AG145" s="14" t="n">
        <v>0.06082019708794495</v>
      </c>
      <c r="AH145" s="14" t="n"/>
      <c r="AI145" s="14" t="n"/>
      <c r="AJ145" s="14" t="n">
        <v>0.06082019708794495</v>
      </c>
      <c r="AK145" s="14" t="n"/>
      <c r="AL145" s="14" t="n"/>
      <c r="AM145" s="14" t="n"/>
      <c r="AN145" s="14" t="inlineStr">
        <is>
          <t>EVALUATED</t>
        </is>
      </c>
      <c r="AO145" s="14" t="inlineStr">
        <is>
          <t>GIVING_VALIDATED_EDGE;BUCKET_PRIOR_ONLY;INTENT_INTERPRETATION_ONLY;EXPERT_MARKET</t>
        </is>
      </c>
      <c r="AP145" s="14" t="inlineStr">
        <is>
          <t>ebda1ad7f157e02d0224</t>
        </is>
      </c>
      <c r="AQ145" s="14" t="n">
        <v>-0.75</v>
      </c>
      <c r="AR145" s="14" t="n">
        <v>0.88</v>
      </c>
      <c r="AS145" s="14" t="n">
        <v>-0.75</v>
      </c>
      <c r="AT145" s="14" t="n">
        <v>0.75</v>
      </c>
      <c r="AU145" s="14" t="n">
        <v>0.88</v>
      </c>
      <c r="AV145" s="14" t="n">
        <v>0.82</v>
      </c>
      <c r="AW145" s="14" t="inlineStr">
        <is>
          <t>2026-10-03T09:27:07.620845+08:00</t>
        </is>
      </c>
      <c r="AX145" s="14" t="inlineStr">
        <is>
          <t>Titan007 Next</t>
        </is>
      </c>
      <c r="AY145" s="14" t="inlineStr">
        <is>
          <t>V4 Shadow Only；real_money=false；新增冻结记录</t>
        </is>
      </c>
    </row>
    <row r="146" ht="22" customHeight="1" s="39">
      <c r="A146" s="14" t="inlineStr">
        <is>
          <t>2026-10-03</t>
        </is>
      </c>
      <c r="B146" s="14" t="inlineStr">
        <is>
          <t>2026-10-04 04:55:00</t>
        </is>
      </c>
      <c r="C146" s="14" t="inlineStr">
        <is>
          <t>CLUB_LEAGUE</t>
        </is>
      </c>
      <c r="D146" s="14" t="inlineStr">
        <is>
          <t>联赛</t>
        </is>
      </c>
      <c r="E146" s="14" t="inlineStr">
        <is>
          <t>乌拉甲秋</t>
        </is>
      </c>
      <c r="F146" s="14" t="inlineStr">
        <is>
          <t>马尔多纳多 vs 西班牙中心</t>
        </is>
      </c>
      <c r="G146" s="26" t="n">
        <v>0.78</v>
      </c>
      <c r="H146" s="26" t="n">
        <v>-0.75</v>
      </c>
      <c r="I146" s="26" t="n">
        <v>0.92</v>
      </c>
      <c r="J146" s="26" t="inlineStr">
        <is>
          <t>0.78/-0.75/0.92</t>
        </is>
      </c>
      <c r="K146" s="14" t="inlineStr">
        <is>
          <t>V4-C｜EV 0.06642383648398598</t>
        </is>
      </c>
      <c r="L146" s="14" t="inlineStr">
        <is>
          <t>马尔多纳多</t>
        </is>
      </c>
      <c r="M146" s="47" t="n">
        <v>0.5267445163451325</v>
      </c>
      <c r="N146" s="14" t="inlineStr">
        <is>
          <t>V4纸面入选-C</t>
        </is>
      </c>
      <c r="O146" s="14" t="inlineStr">
        <is>
          <t>3-0</t>
        </is>
      </c>
      <c r="P146" s="14" t="inlineStr">
        <is>
          <t>已结算</t>
        </is>
      </c>
      <c r="Q146" s="14" t="inlineStr">
        <is>
          <t>红</t>
        </is>
      </c>
      <c r="R146" s="48" t="n">
        <v>0.78</v>
      </c>
      <c r="S146" s="48">
        <f>IF(OR(Q146="",Q146="待结算"),"",IF(Q146="红",R146,IF(Q146="半红",R146*0.5,IF(Q146="走",0,IF(Q146="半黑",-0.5,-1)))))</f>
        <v/>
      </c>
      <c r="T146" s="14" t="inlineStr">
        <is>
          <t>D:\codex\v3_legacy\outputs\football_odds_trader\raw\titan007\20261004\20261004_084919_titan007_odds_snapshot.csv</t>
        </is>
      </c>
      <c r="U146" s="14">
        <f>IF(Q146="","",IF(Q146="待结算","待结算",IF(Q146="红","黑",IF(Q146="半红","半黑",IF(Q146="走","走",IF(Q146="半黑","半红","红"))))))</f>
        <v/>
      </c>
      <c r="V146" s="48">
        <f>IF(OR(U146="",U146="待结算"),"",IF(L146=LEFT(F146,FIND(" vs ",F146)-1),I146,G146))</f>
        <v/>
      </c>
      <c r="W146" s="48">
        <f>IF(OR(U146="",U146="待结算"),"",IF(U146="红",V146,IF(U146="半红",V146*0.5,IF(U146="走",0,IF(U146="半黑",-0.5,-1)))))</f>
        <v/>
      </c>
      <c r="X146" s="14" t="inlineStr">
        <is>
          <t>3094916</t>
        </is>
      </c>
      <c r="Y146" s="14" t="inlineStr">
        <is>
          <t>V4</t>
        </is>
      </c>
      <c r="Z146" s="14" t="inlineStr">
        <is>
          <t>prior-2026-10-03-v1</t>
        </is>
      </c>
      <c r="AA146" s="14" t="inlineStr">
        <is>
          <t>C</t>
        </is>
      </c>
      <c r="AB146" s="14" t="n">
        <v>0.3979259189554823</v>
      </c>
      <c r="AC146" s="14" t="n">
        <v>0.2576371947793003</v>
      </c>
      <c r="AD146" s="14" t="n">
        <v>0</v>
      </c>
      <c r="AE146" s="14" t="n">
        <v>0</v>
      </c>
      <c r="AF146" s="14" t="n">
        <v>0.3444368862652174</v>
      </c>
      <c r="AG146" s="14" t="n">
        <v>0.06642383648398598</v>
      </c>
      <c r="AH146" s="14" t="n"/>
      <c r="AI146" s="14" t="n"/>
      <c r="AJ146" s="14" t="n">
        <v>0.06642383648398598</v>
      </c>
      <c r="AK146" s="14" t="n"/>
      <c r="AL146" s="14" t="n"/>
      <c r="AM146" s="14" t="n"/>
      <c r="AN146" s="14" t="inlineStr">
        <is>
          <t>EVALUATED</t>
        </is>
      </c>
      <c r="AO146" s="14" t="inlineStr">
        <is>
          <t>GIVING_VALIDATED_EDGE;BUCKET_PRIOR_ONLY;INTENT_INTERPRETATION_ONLY;EXPERT_MARKET</t>
        </is>
      </c>
      <c r="AP146" s="14" t="inlineStr">
        <is>
          <t>b01703f73eccbfda050e</t>
        </is>
      </c>
      <c r="AQ146" s="14" t="n">
        <v>-0.75</v>
      </c>
      <c r="AR146" s="14" t="n">
        <v>0.78</v>
      </c>
      <c r="AS146" s="14" t="n">
        <v>-0.75</v>
      </c>
      <c r="AT146" s="14" t="n">
        <v>0.75</v>
      </c>
      <c r="AU146" s="14" t="n">
        <v>0.78</v>
      </c>
      <c r="AV146" s="14" t="n">
        <v>0.92</v>
      </c>
      <c r="AW146" s="14" t="inlineStr">
        <is>
          <t>2026-10-03T09:27:07.620845+08:00</t>
        </is>
      </c>
      <c r="AX146" s="14" t="inlineStr">
        <is>
          <t>Titan007 Next</t>
        </is>
      </c>
      <c r="AY146" s="14" t="inlineStr">
        <is>
          <t>V4 Shadow Only；real_money=false；新增冻结记录</t>
        </is>
      </c>
    </row>
    <row r="147" ht="22" customHeight="1" s="39">
      <c r="A147" s="14" t="inlineStr">
        <is>
          <t>2026-10-03</t>
        </is>
      </c>
      <c r="B147" s="14" t="inlineStr">
        <is>
          <t>2026-10-04 05:00:00</t>
        </is>
      </c>
      <c r="C147" s="14" t="inlineStr">
        <is>
          <t>CLUB_LEAGUE</t>
        </is>
      </c>
      <c r="D147" s="14" t="inlineStr">
        <is>
          <t>联赛</t>
        </is>
      </c>
      <c r="E147" s="14" t="inlineStr">
        <is>
          <t>危地甲春</t>
        </is>
      </c>
      <c r="F147" s="14" t="inlineStr">
        <is>
          <t>科万英佩尔 vs 马拉卡特高</t>
        </is>
      </c>
      <c r="G147" s="26" t="n">
        <v>0.87</v>
      </c>
      <c r="H147" s="26" t="n">
        <v>-0.75</v>
      </c>
      <c r="I147" s="26" t="n">
        <v>0.83</v>
      </c>
      <c r="J147" s="26" t="inlineStr">
        <is>
          <t>0.87/-0.75/0.83</t>
        </is>
      </c>
      <c r="K147" s="14" t="inlineStr">
        <is>
          <t>V4-B｜EV 0.1481644423812496</t>
        </is>
      </c>
      <c r="L147" s="14" t="inlineStr">
        <is>
          <t>科万英佩尔</t>
        </is>
      </c>
      <c r="M147" s="47" t="n">
        <v>0.545193223448003</v>
      </c>
      <c r="N147" s="14" t="inlineStr">
        <is>
          <t>V4纸面入选-B</t>
        </is>
      </c>
      <c r="O147" s="14" t="inlineStr">
        <is>
          <t>2-0</t>
        </is>
      </c>
      <c r="P147" s="14" t="inlineStr">
        <is>
          <t>已结算</t>
        </is>
      </c>
      <c r="Q147" s="14" t="inlineStr">
        <is>
          <t>红</t>
        </is>
      </c>
      <c r="R147" s="48" t="n">
        <v>0.87</v>
      </c>
      <c r="S147" s="48">
        <f>IF(OR(Q147="",Q147="待结算"),"",IF(Q147="红",R147,IF(Q147="半红",R147*0.5,IF(Q147="走",0,IF(Q147="半黑",-0.5,-1)))))</f>
        <v/>
      </c>
      <c r="T147" s="14" t="inlineStr">
        <is>
          <t>D:\codex\v3_legacy\outputs\football_odds_trader\raw\titan007\20261004\20261004_084919_titan007_odds_snapshot.csv</t>
        </is>
      </c>
      <c r="U147" s="14">
        <f>IF(Q147="","",IF(Q147="待结算","待结算",IF(Q147="红","黑",IF(Q147="半红","半黑",IF(Q147="走","走",IF(Q147="半黑","半红","红"))))))</f>
        <v/>
      </c>
      <c r="V147" s="48">
        <f>IF(OR(U147="",U147="待结算"),"",IF(L147=LEFT(F147,FIND(" vs ",F147)-1),I147,G147))</f>
        <v/>
      </c>
      <c r="W147" s="48">
        <f>IF(OR(U147="",U147="待结算"),"",IF(U147="红",V147,IF(U147="半红",V147*0.5,IF(U147="走",0,IF(U147="半黑",-0.5,-1)))))</f>
        <v/>
      </c>
      <c r="X147" s="14" t="inlineStr">
        <is>
          <t>3011296</t>
        </is>
      </c>
      <c r="Y147" s="14" t="inlineStr">
        <is>
          <t>V4</t>
        </is>
      </c>
      <c r="Z147" s="14" t="inlineStr">
        <is>
          <t>prior-2026-10-03-v1</t>
        </is>
      </c>
      <c r="AA147" s="14" t="inlineStr">
        <is>
          <t>B</t>
        </is>
      </c>
      <c r="AB147" s="14" t="n">
        <v>0.4165401089145193</v>
      </c>
      <c r="AC147" s="14" t="n">
        <v>0.2573062290669677</v>
      </c>
      <c r="AD147" s="14" t="n">
        <v>0</v>
      </c>
      <c r="AE147" s="14" t="n">
        <v>0</v>
      </c>
      <c r="AF147" s="14" t="n">
        <v>0.3261536620185131</v>
      </c>
      <c r="AG147" s="14" t="n">
        <v>0.1481644423812496</v>
      </c>
      <c r="AH147" s="14" t="n"/>
      <c r="AI147" s="14" t="n"/>
      <c r="AJ147" s="14" t="n">
        <v>0.1481644423812496</v>
      </c>
      <c r="AK147" s="14" t="n"/>
      <c r="AL147" s="14" t="n"/>
      <c r="AM147" s="14" t="n"/>
      <c r="AN147" s="14" t="inlineStr">
        <is>
          <t>EVALUATED</t>
        </is>
      </c>
      <c r="AO147" s="14" t="inlineStr">
        <is>
          <t>GIVING_VALIDATED_EDGE;BUCKET_PRIOR_ONLY;INTENT_INTERPRETATION_ONLY;EXPERT_MARKET</t>
        </is>
      </c>
      <c r="AP147" s="14" t="inlineStr">
        <is>
          <t>524e354b8efd40e42794</t>
        </is>
      </c>
      <c r="AQ147" s="14" t="n">
        <v>-0.75</v>
      </c>
      <c r="AR147" s="14" t="n">
        <v>0.87</v>
      </c>
      <c r="AS147" s="14" t="n">
        <v>-0.75</v>
      </c>
      <c r="AT147" s="14" t="n">
        <v>0.75</v>
      </c>
      <c r="AU147" s="14" t="n">
        <v>0.87</v>
      </c>
      <c r="AV147" s="14" t="n">
        <v>0.83</v>
      </c>
      <c r="AW147" s="14" t="inlineStr">
        <is>
          <t>2026-10-03T09:27:07.620845+08:00</t>
        </is>
      </c>
      <c r="AX147" s="14" t="inlineStr">
        <is>
          <t>Titan007 Next</t>
        </is>
      </c>
      <c r="AY147" s="14" t="inlineStr">
        <is>
          <t>V4 Shadow Only；real_money=false；新增冻结记录</t>
        </is>
      </c>
    </row>
    <row r="148" ht="22" customHeight="1" s="39">
      <c r="A148" s="14" t="inlineStr">
        <is>
          <t>2026-10-03</t>
        </is>
      </c>
      <c r="B148" s="14" t="inlineStr">
        <is>
          <t>2026-10-04 05:05:00</t>
        </is>
      </c>
      <c r="C148" s="14" t="inlineStr">
        <is>
          <t>CLUB_LEAGUE</t>
        </is>
      </c>
      <c r="D148" s="14" t="inlineStr">
        <is>
          <t>联赛</t>
        </is>
      </c>
      <c r="E148" s="14" t="inlineStr">
        <is>
          <t>哥伦甲秋</t>
        </is>
      </c>
      <c r="F148" s="14" t="inlineStr">
        <is>
          <t>托利马体育 vs 茨高</t>
        </is>
      </c>
      <c r="G148" s="26" t="n">
        <v>0.82</v>
      </c>
      <c r="H148" s="26" t="n">
        <v>-1.25</v>
      </c>
      <c r="I148" s="26" t="n">
        <v>1.06</v>
      </c>
      <c r="J148" s="26" t="inlineStr">
        <is>
          <t>0.82/-1.25/1.06</t>
        </is>
      </c>
      <c r="K148" s="14" t="inlineStr">
        <is>
          <t>V4-B｜EV 0.24378418600110066</t>
        </is>
      </c>
      <c r="L148" s="14" t="inlineStr">
        <is>
          <t>托利马体育</t>
        </is>
      </c>
      <c r="M148" s="47" t="n">
        <v>0.6211911292362112</v>
      </c>
      <c r="N148" s="14" t="inlineStr">
        <is>
          <t>V4纸面入选-B</t>
        </is>
      </c>
      <c r="O148" s="14" t="inlineStr">
        <is>
          <t>0-0</t>
        </is>
      </c>
      <c r="P148" s="14" t="inlineStr">
        <is>
          <t>已结算</t>
        </is>
      </c>
      <c r="Q148" s="14" t="inlineStr">
        <is>
          <t>黑</t>
        </is>
      </c>
      <c r="R148" s="48" t="n">
        <v>0.82</v>
      </c>
      <c r="S148" s="48">
        <f>IF(OR(Q148="",Q148="待结算"),"",IF(Q148="红",R148,IF(Q148="半红",R148*0.5,IF(Q148="走",0,IF(Q148="半黑",-0.5,-1)))))</f>
        <v/>
      </c>
      <c r="T148" s="14" t="inlineStr">
        <is>
          <t>D:\codex\v3_legacy\outputs\football_odds_trader\raw\titan007\20261004\20261004_084919_titan007_odds_snapshot.csv</t>
        </is>
      </c>
      <c r="U148" s="14">
        <f>IF(Q148="","",IF(Q148="待结算","待结算",IF(Q148="红","黑",IF(Q148="半红","半黑",IF(Q148="走","走",IF(Q148="半黑","半红","红"))))))</f>
        <v/>
      </c>
      <c r="V148" s="48">
        <f>IF(OR(U148="",U148="待结算"),"",IF(L148=LEFT(F148,FIND(" vs ",F148)-1),I148,G148))</f>
        <v/>
      </c>
      <c r="W148" s="48">
        <f>IF(OR(U148="",U148="待结算"),"",IF(U148="红",V148,IF(U148="半红",V148*0.5,IF(U148="走",0,IF(U148="半黑",-0.5,-1)))))</f>
        <v/>
      </c>
      <c r="X148" s="14" t="inlineStr">
        <is>
          <t>3011881</t>
        </is>
      </c>
      <c r="Y148" s="14" t="inlineStr">
        <is>
          <t>V4</t>
        </is>
      </c>
      <c r="Z148" s="14" t="inlineStr">
        <is>
          <t>prior-2026-10-03-v1</t>
        </is>
      </c>
      <c r="AA148" s="14" t="inlineStr">
        <is>
          <t>B</t>
        </is>
      </c>
      <c r="AB148" s="14" t="n">
        <v>0.6211911292362112</v>
      </c>
      <c r="AC148" s="14" t="n">
        <v>0</v>
      </c>
      <c r="AD148" s="14" t="n">
        <v>0</v>
      </c>
      <c r="AE148" s="14" t="n">
        <v>0.2264326615823925</v>
      </c>
      <c r="AF148" s="14" t="n">
        <v>0.1523762091813963</v>
      </c>
      <c r="AG148" s="14" t="n">
        <v>0.2437841860011007</v>
      </c>
      <c r="AH148" s="14" t="n"/>
      <c r="AI148" s="14" t="n"/>
      <c r="AJ148" s="14" t="n">
        <v>0.2437841860011007</v>
      </c>
      <c r="AK148" s="14" t="n"/>
      <c r="AL148" s="14" t="n"/>
      <c r="AM148" s="14" t="n"/>
      <c r="AN148" s="14" t="inlineStr">
        <is>
          <t>EVALUATED</t>
        </is>
      </c>
      <c r="AO148" s="14" t="inlineStr">
        <is>
          <t>GIVING_VALIDATED_EDGE;BUCKET_PRIOR_ONLY;INTENT_INTERPRETATION_ONLY;EXPERT_MARKET</t>
        </is>
      </c>
      <c r="AP148" s="14" t="inlineStr">
        <is>
          <t>58a8b16971ca1debbd2a</t>
        </is>
      </c>
      <c r="AQ148" s="14" t="n">
        <v>-1.25</v>
      </c>
      <c r="AR148" s="14" t="n">
        <v>0.82</v>
      </c>
      <c r="AS148" s="14" t="n">
        <v>-1.25</v>
      </c>
      <c r="AT148" s="14" t="n">
        <v>1.25</v>
      </c>
      <c r="AU148" s="14" t="n">
        <v>0.82</v>
      </c>
      <c r="AV148" s="14" t="n">
        <v>1.06</v>
      </c>
      <c r="AW148" s="14" t="inlineStr">
        <is>
          <t>2026-10-03T09:27:07.620845+08:00</t>
        </is>
      </c>
      <c r="AX148" s="14" t="inlineStr">
        <is>
          <t>Titan007 Next</t>
        </is>
      </c>
      <c r="AY148" s="14" t="inlineStr">
        <is>
          <t>V4 Shadow Only；real_money=false；新增冻结记录</t>
        </is>
      </c>
    </row>
    <row r="149" ht="22" customHeight="1" s="39">
      <c r="A149" s="14" t="inlineStr">
        <is>
          <t>2026-10-03</t>
        </is>
      </c>
      <c r="B149" s="14" t="inlineStr">
        <is>
          <t>2026-10-04 05:30:00</t>
        </is>
      </c>
      <c r="C149" s="14" t="inlineStr">
        <is>
          <t>CLUB_LEAGUE</t>
        </is>
      </c>
      <c r="D149" s="14" t="inlineStr">
        <is>
          <t>联赛</t>
        </is>
      </c>
      <c r="E149" s="14" t="inlineStr">
        <is>
          <t>巴西甲</t>
        </is>
      </c>
      <c r="F149" s="14" t="inlineStr">
        <is>
          <t>米内罗竞技 vs 布拉干蒂诺RB</t>
        </is>
      </c>
      <c r="G149" s="26" t="n">
        <v>1.06</v>
      </c>
      <c r="H149" s="26" t="n">
        <v>-0.5</v>
      </c>
      <c r="I149" s="26" t="n">
        <v>0.82</v>
      </c>
      <c r="J149" s="26" t="inlineStr">
        <is>
          <t>1.06/-0.5/0.82</t>
        </is>
      </c>
      <c r="K149" s="14" t="inlineStr">
        <is>
          <t>V4-C｜EV 0.04753060709620616</t>
        </is>
      </c>
      <c r="L149" s="14" t="inlineStr">
        <is>
          <t>米内罗竞技</t>
        </is>
      </c>
      <c r="M149" s="47" t="n">
        <v>0.5085100034447603</v>
      </c>
      <c r="N149" s="14" t="inlineStr">
        <is>
          <t>V4纸面入选-C</t>
        </is>
      </c>
      <c r="O149" s="14" t="inlineStr">
        <is>
          <t>1-0</t>
        </is>
      </c>
      <c r="P149" s="14" t="inlineStr">
        <is>
          <t>已结算</t>
        </is>
      </c>
      <c r="Q149" s="14" t="inlineStr">
        <is>
          <t>红</t>
        </is>
      </c>
      <c r="R149" s="48" t="n">
        <v>1.06</v>
      </c>
      <c r="S149" s="48">
        <f>IF(OR(Q149="",Q149="待结算"),"",IF(Q149="红",R149,IF(Q149="半红",R149*0.5,IF(Q149="走",0,IF(Q149="半黑",-0.5,-1)))))</f>
        <v/>
      </c>
      <c r="T149" s="14" t="inlineStr">
        <is>
          <t>D:\codex\v3_legacy\outputs\football_odds_trader\raw\titan007\20261004\20261004_084919_titan007_odds_snapshot.csv</t>
        </is>
      </c>
      <c r="U149" s="14">
        <f>IF(Q149="","",IF(Q149="待结算","待结算",IF(Q149="红","黑",IF(Q149="半红","半黑",IF(Q149="走","走",IF(Q149="半黑","半红","红"))))))</f>
        <v/>
      </c>
      <c r="V149" s="48">
        <f>IF(OR(U149="",U149="待结算"),"",IF(L149=LEFT(F149,FIND(" vs ",F149)-1),I149,G149))</f>
        <v/>
      </c>
      <c r="W149" s="48">
        <f>IF(OR(U149="",U149="待结算"),"",IF(U149="红",V149,IF(U149="半红",V149*0.5,IF(U149="走",0,IF(U149="半黑",-0.5,-1)))))</f>
        <v/>
      </c>
      <c r="X149" s="14" t="inlineStr">
        <is>
          <t>2910827</t>
        </is>
      </c>
      <c r="Y149" s="14" t="inlineStr">
        <is>
          <t>V4</t>
        </is>
      </c>
      <c r="Z149" s="14" t="inlineStr">
        <is>
          <t>prior-2026-10-03-v1</t>
        </is>
      </c>
      <c r="AA149" s="14" t="inlineStr">
        <is>
          <t>C</t>
        </is>
      </c>
      <c r="AB149" s="14" t="n">
        <v>0.5085100034447603</v>
      </c>
      <c r="AC149" s="14" t="n">
        <v>0</v>
      </c>
      <c r="AD149" s="14" t="n">
        <v>0</v>
      </c>
      <c r="AE149" s="14" t="n">
        <v>0</v>
      </c>
      <c r="AF149" s="14" t="n">
        <v>0.4914899965552397</v>
      </c>
      <c r="AG149" s="14" t="n">
        <v>0.04753060709620616</v>
      </c>
      <c r="AH149" s="14" t="n"/>
      <c r="AI149" s="14" t="n"/>
      <c r="AJ149" s="14" t="n">
        <v>0.04753060709620616</v>
      </c>
      <c r="AK149" s="14" t="n"/>
      <c r="AL149" s="14" t="n"/>
      <c r="AM149" s="14" t="n"/>
      <c r="AN149" s="14" t="inlineStr">
        <is>
          <t>EVALUATED</t>
        </is>
      </c>
      <c r="AO149" s="14" t="inlineStr">
        <is>
          <t>GIVING_VALIDATED_EDGE;BUCKET_PRIOR_ONLY;INTENT_INTERPRETATION_ONLY;EXPERT_MARKET</t>
        </is>
      </c>
      <c r="AP149" s="14" t="inlineStr">
        <is>
          <t>5b128de8691dffcc28d0</t>
        </is>
      </c>
      <c r="AQ149" s="14" t="n">
        <v>-0.5</v>
      </c>
      <c r="AR149" s="14" t="n">
        <v>1.06</v>
      </c>
      <c r="AS149" s="14" t="n">
        <v>-0.5</v>
      </c>
      <c r="AT149" s="14" t="n">
        <v>0.5</v>
      </c>
      <c r="AU149" s="14" t="n">
        <v>1.06</v>
      </c>
      <c r="AV149" s="14" t="n">
        <v>0.82</v>
      </c>
      <c r="AW149" s="14" t="inlineStr">
        <is>
          <t>2026-10-03T09:27:07.620845+08:00</t>
        </is>
      </c>
      <c r="AX149" s="14" t="inlineStr">
        <is>
          <t>Titan007 Next</t>
        </is>
      </c>
      <c r="AY149" s="14" t="inlineStr">
        <is>
          <t>V4 Shadow Only；real_money=false；新增冻结记录</t>
        </is>
      </c>
    </row>
    <row r="150" ht="22" customHeight="1" s="39">
      <c r="A150" s="14" t="inlineStr">
        <is>
          <t>2026-10-03</t>
        </is>
      </c>
      <c r="B150" s="14" t="inlineStr">
        <is>
          <t>2026-10-04 07:00:00</t>
        </is>
      </c>
      <c r="C150" s="14" t="inlineStr">
        <is>
          <t>CLUB_LEAGUE</t>
        </is>
      </c>
      <c r="D150" s="14" t="inlineStr">
        <is>
          <t>联赛</t>
        </is>
      </c>
      <c r="E150" s="14" t="inlineStr">
        <is>
          <t>萨尔超春</t>
        </is>
      </c>
      <c r="F150" s="14" t="inlineStr">
        <is>
          <t>梅塔帕 vs 巴博亚竞技</t>
        </is>
      </c>
      <c r="G150" s="26" t="n">
        <v>0.96</v>
      </c>
      <c r="H150" s="26" t="n">
        <v>-1</v>
      </c>
      <c r="I150" s="26" t="n">
        <v>0.8</v>
      </c>
      <c r="J150" s="26" t="inlineStr">
        <is>
          <t>0.96/-1.0/0.8</t>
        </is>
      </c>
      <c r="K150" s="14" t="inlineStr">
        <is>
          <t>V4-B｜EV 0.12366552704848666</t>
        </is>
      </c>
      <c r="L150" s="14" t="inlineStr">
        <is>
          <t>梅塔帕</t>
        </is>
      </c>
      <c r="M150" s="47" t="n">
        <v>0.4425957664066378</v>
      </c>
      <c r="N150" s="14" t="inlineStr">
        <is>
          <t>V4纸面入选-B</t>
        </is>
      </c>
      <c r="O150" s="14" t="inlineStr">
        <is>
          <t>3-0</t>
        </is>
      </c>
      <c r="P150" s="14" t="inlineStr">
        <is>
          <t>已结算</t>
        </is>
      </c>
      <c r="Q150" s="14" t="inlineStr">
        <is>
          <t>红半</t>
        </is>
      </c>
      <c r="R150" s="48" t="n">
        <v>0.96</v>
      </c>
      <c r="S150" s="48" t="n">
        <v>0.48</v>
      </c>
      <c r="T150" s="14" t="inlineStr">
        <is>
          <t>D:\codex\v3_legacy\outputs\football_odds_trader\raw\titan007\20261004\20261004_084919_titan007_odds_snapshot.csv</t>
        </is>
      </c>
      <c r="U150" s="14">
        <f>IF(Q150="","",IF(Q150="待结算","待结算",IF(Q150="红","黑",IF(Q150="半红","半黑",IF(Q150="走","走",IF(Q150="半黑","半红","红"))))))</f>
        <v/>
      </c>
      <c r="V150" s="48">
        <f>IF(OR(U150="",U150="待结算"),"",IF(L150=LEFT(F150,FIND(" vs ",F150)-1),I150,G150))</f>
        <v/>
      </c>
      <c r="W150" s="48">
        <f>IF(OR(U150="",U150="待结算"),"",IF(U150="红",V150,IF(U150="半红",V150*0.5,IF(U150="走",0,IF(U150="半黑",-0.5,-1)))))</f>
        <v/>
      </c>
      <c r="X150" s="14" t="inlineStr">
        <is>
          <t>3041932</t>
        </is>
      </c>
      <c r="Y150" s="14" t="inlineStr">
        <is>
          <t>V4</t>
        </is>
      </c>
      <c r="Z150" s="14" t="inlineStr">
        <is>
          <t>prior-2026-10-03-v1</t>
        </is>
      </c>
      <c r="AA150" s="14" t="inlineStr">
        <is>
          <t>B</t>
        </is>
      </c>
      <c r="AB150" s="14" t="n">
        <v>0.4425957664066378</v>
      </c>
      <c r="AC150" s="14" t="n">
        <v>0</v>
      </c>
      <c r="AD150" s="14" t="n">
        <v>0.2561778248914765</v>
      </c>
      <c r="AE150" s="14" t="n">
        <v>0</v>
      </c>
      <c r="AF150" s="14" t="n">
        <v>0.3012264087018857</v>
      </c>
      <c r="AG150" s="14" t="n">
        <v>0.1236655270484867</v>
      </c>
      <c r="AH150" s="14" t="n"/>
      <c r="AI150" s="14" t="n"/>
      <c r="AJ150" s="14" t="n">
        <v>0.1236655270484867</v>
      </c>
      <c r="AK150" s="14" t="n"/>
      <c r="AL150" s="14" t="n"/>
      <c r="AM150" s="14" t="n"/>
      <c r="AN150" s="14" t="inlineStr">
        <is>
          <t>EVALUATED</t>
        </is>
      </c>
      <c r="AO150" s="14" t="inlineStr">
        <is>
          <t>GIVING_VALIDATED_EDGE;BUCKET_PRIOR_ONLY;INTENT_INTERPRETATION_ONLY;EXPERT_MARKET</t>
        </is>
      </c>
      <c r="AP150" s="14" t="inlineStr">
        <is>
          <t>1e5f6b3d959803eaa768</t>
        </is>
      </c>
      <c r="AQ150" s="14" t="n">
        <v>-1</v>
      </c>
      <c r="AR150" s="14" t="n">
        <v>0.96</v>
      </c>
      <c r="AS150" s="14" t="n">
        <v>-1</v>
      </c>
      <c r="AT150" s="14" t="n">
        <v>1</v>
      </c>
      <c r="AU150" s="14" t="n">
        <v>0.96</v>
      </c>
      <c r="AV150" s="14" t="n">
        <v>0.8</v>
      </c>
      <c r="AW150" s="14" t="inlineStr">
        <is>
          <t>2026-10-03T09:27:07.620845+08:00</t>
        </is>
      </c>
      <c r="AX150" s="14" t="inlineStr">
        <is>
          <t>Titan007 Next</t>
        </is>
      </c>
      <c r="AY150" s="14" t="inlineStr">
        <is>
          <t>V4 Shadow Only；real_money=false；新增冻结记录</t>
        </is>
      </c>
    </row>
    <row r="151" ht="22" customHeight="1" s="39">
      <c r="A151" s="14" t="inlineStr">
        <is>
          <t>2026-10-03</t>
        </is>
      </c>
      <c r="B151" s="14" t="inlineStr">
        <is>
          <t>2026-10-04 07:00:00</t>
        </is>
      </c>
      <c r="C151" s="14" t="inlineStr">
        <is>
          <t>CLUB_LEAGUE</t>
        </is>
      </c>
      <c r="D151" s="14" t="inlineStr">
        <is>
          <t>联赛</t>
        </is>
      </c>
      <c r="E151" s="14" t="inlineStr">
        <is>
          <t>美冠联</t>
        </is>
      </c>
      <c r="F151" s="14" t="inlineStr">
        <is>
          <t>底特律城 vs 伯明翰军团</t>
        </is>
      </c>
      <c r="G151" s="26" t="n">
        <v>0.8100000000000001</v>
      </c>
      <c r="H151" s="26" t="n">
        <v>-0.75</v>
      </c>
      <c r="I151" s="26" t="n">
        <v>1.01</v>
      </c>
      <c r="J151" s="26" t="inlineStr">
        <is>
          <t>0.81/-0.75/1.01</t>
        </is>
      </c>
      <c r="K151" s="14" t="inlineStr">
        <is>
          <t>V4-B｜EV 0.10289171594356578</t>
        </is>
      </c>
      <c r="L151" s="14" t="inlineStr">
        <is>
          <t>底特律城</t>
        </is>
      </c>
      <c r="M151" s="47" t="n">
        <v>0.5384180680122616</v>
      </c>
      <c r="N151" s="14" t="inlineStr">
        <is>
          <t>V4纸面入选-B</t>
        </is>
      </c>
      <c r="O151" s="14" t="inlineStr">
        <is>
          <t>1-0</t>
        </is>
      </c>
      <c r="P151" s="14" t="inlineStr">
        <is>
          <t>已结算</t>
        </is>
      </c>
      <c r="Q151" s="14" t="inlineStr">
        <is>
          <t>红半</t>
        </is>
      </c>
      <c r="R151" s="48" t="n">
        <v>0.8100000000000001</v>
      </c>
      <c r="S151" s="48" t="n">
        <v>0.405</v>
      </c>
      <c r="T151" s="14" t="inlineStr">
        <is>
          <t>D:\codex\v3_legacy\outputs\football_odds_trader\raw\titan007\20261004\20261004_084919_titan007_odds_snapshot.csv</t>
        </is>
      </c>
      <c r="U151" s="14">
        <f>IF(Q151="","",IF(Q151="待结算","待结算",IF(Q151="红","黑",IF(Q151="半红","半黑",IF(Q151="走","走",IF(Q151="半黑","半红","红"))))))</f>
        <v/>
      </c>
      <c r="V151" s="48">
        <f>IF(OR(U151="",U151="待结算"),"",IF(L151=LEFT(F151,FIND(" vs ",F151)-1),I151,G151))</f>
        <v/>
      </c>
      <c r="W151" s="48">
        <f>IF(OR(U151="",U151="待结算"),"",IF(U151="红",V151,IF(U151="半红",V151*0.5,IF(U151="走",0,IF(U151="半黑",-0.5,-1)))))</f>
        <v/>
      </c>
      <c r="X151" s="14" t="inlineStr">
        <is>
          <t>2942650</t>
        </is>
      </c>
      <c r="Y151" s="14" t="inlineStr">
        <is>
          <t>V4</t>
        </is>
      </c>
      <c r="Z151" s="14" t="inlineStr">
        <is>
          <t>prior-2026-10-03-v1</t>
        </is>
      </c>
      <c r="AA151" s="14" t="inlineStr">
        <is>
          <t>B</t>
        </is>
      </c>
      <c r="AB151" s="14" t="n">
        <v>0.4100630551708891</v>
      </c>
      <c r="AC151" s="14" t="n">
        <v>0.2567100256827448</v>
      </c>
      <c r="AD151" s="14" t="n">
        <v>0</v>
      </c>
      <c r="AE151" s="14" t="n">
        <v>0</v>
      </c>
      <c r="AF151" s="14" t="n">
        <v>0.3332269191463661</v>
      </c>
      <c r="AG151" s="14" t="n">
        <v>0.1028917159435658</v>
      </c>
      <c r="AH151" s="14" t="n"/>
      <c r="AI151" s="14" t="n"/>
      <c r="AJ151" s="14" t="n">
        <v>0.1028917159435658</v>
      </c>
      <c r="AK151" s="14" t="n"/>
      <c r="AL151" s="14" t="n"/>
      <c r="AM151" s="14" t="n"/>
      <c r="AN151" s="14" t="inlineStr">
        <is>
          <t>EVALUATED</t>
        </is>
      </c>
      <c r="AO151" s="14" t="inlineStr">
        <is>
          <t>GIVING_VALIDATED_EDGE;BUCKET_PRIOR_ONLY;INTENT_INTERPRETATION_ONLY;EXPERT_MARKET</t>
        </is>
      </c>
      <c r="AP151" s="14" t="inlineStr">
        <is>
          <t>e9038d8fc594966511ef</t>
        </is>
      </c>
      <c r="AQ151" s="14" t="n">
        <v>-0.75</v>
      </c>
      <c r="AR151" s="14" t="n">
        <v>0.8100000000000001</v>
      </c>
      <c r="AS151" s="14" t="n">
        <v>-0.75</v>
      </c>
      <c r="AT151" s="14" t="n">
        <v>0.75</v>
      </c>
      <c r="AU151" s="14" t="n">
        <v>0.8100000000000001</v>
      </c>
      <c r="AV151" s="14" t="n">
        <v>1.01</v>
      </c>
      <c r="AW151" s="14" t="inlineStr">
        <is>
          <t>2026-10-03T09:27:07.620845+08:00</t>
        </is>
      </c>
      <c r="AX151" s="14" t="inlineStr">
        <is>
          <t>Titan007 Next</t>
        </is>
      </c>
      <c r="AY151" s="14" t="inlineStr">
        <is>
          <t>V4 Shadow Only；real_money=false；新增冻结记录</t>
        </is>
      </c>
    </row>
    <row r="152" ht="22" customHeight="1" s="39">
      <c r="A152" s="14" t="inlineStr">
        <is>
          <t>2026-10-03</t>
        </is>
      </c>
      <c r="B152" s="14" t="inlineStr">
        <is>
          <t>2026-10-04 07:30:00</t>
        </is>
      </c>
      <c r="C152" s="14" t="inlineStr">
        <is>
          <t>CLUB_LEAGUE</t>
        </is>
      </c>
      <c r="D152" s="14" t="inlineStr">
        <is>
          <t>联赛</t>
        </is>
      </c>
      <c r="E152" s="14" t="inlineStr">
        <is>
          <t>美冠联</t>
        </is>
      </c>
      <c r="F152" s="14" t="inlineStr">
        <is>
          <t>坦帕湾 vs 迈阿密FC</t>
        </is>
      </c>
      <c r="G152" s="26" t="n">
        <v>0.9399999999999999</v>
      </c>
      <c r="H152" s="26" t="n">
        <v>-1.5</v>
      </c>
      <c r="I152" s="26" t="n">
        <v>0.88</v>
      </c>
      <c r="J152" s="26" t="inlineStr">
        <is>
          <t>0.94/-1.5/0.88</t>
        </is>
      </c>
      <c r="K152" s="14" t="inlineStr">
        <is>
          <t>V4-B｜EV 0.07970207083262221</t>
        </is>
      </c>
      <c r="L152" s="14" t="inlineStr">
        <is>
          <t>坦帕湾</t>
        </is>
      </c>
      <c r="M152" s="47" t="n">
        <v>0.5565474591920733</v>
      </c>
      <c r="N152" s="14" t="inlineStr">
        <is>
          <t>V4纸面入选-B</t>
        </is>
      </c>
      <c r="O152" s="14" t="inlineStr">
        <is>
          <t>0-1</t>
        </is>
      </c>
      <c r="P152" s="14" t="inlineStr">
        <is>
          <t>已结算</t>
        </is>
      </c>
      <c r="Q152" s="14" t="inlineStr">
        <is>
          <t>红半</t>
        </is>
      </c>
      <c r="R152" s="48" t="n">
        <v>0.9399999999999999</v>
      </c>
      <c r="S152" s="48" t="n">
        <v>0.47</v>
      </c>
      <c r="T152" s="14" t="inlineStr">
        <is>
          <t>D:\codex\v3_legacy\outputs\football_odds_trader\raw\titan007\20261004\20261004_084919_titan007_odds_snapshot.csv</t>
        </is>
      </c>
      <c r="U152" s="14">
        <f>IF(Q152="","",IF(Q152="待结算","待结算",IF(Q152="红","黑",IF(Q152="半红","半黑",IF(Q152="走","走",IF(Q152="半黑","半红","红"))))))</f>
        <v/>
      </c>
      <c r="V152" s="48">
        <f>IF(OR(U152="",U152="待结算"),"",IF(L152=LEFT(F152,FIND(" vs ",F152)-1),I152,G152))</f>
        <v/>
      </c>
      <c r="W152" s="48">
        <f>IF(OR(U152="",U152="待结算"),"",IF(U152="红",V152,IF(U152="半红",V152*0.5,IF(U152="走",0,IF(U152="半黑",-0.5,-1)))))</f>
        <v/>
      </c>
      <c r="X152" s="14" t="inlineStr">
        <is>
          <t>2942659</t>
        </is>
      </c>
      <c r="Y152" s="14" t="inlineStr">
        <is>
          <t>V4</t>
        </is>
      </c>
      <c r="Z152" s="14" t="inlineStr">
        <is>
          <t>prior-2026-10-03-v1</t>
        </is>
      </c>
      <c r="AA152" s="14" t="inlineStr">
        <is>
          <t>B</t>
        </is>
      </c>
      <c r="AB152" s="14" t="n">
        <v>0.5565474591920733</v>
      </c>
      <c r="AC152" s="14" t="n">
        <v>0</v>
      </c>
      <c r="AD152" s="14" t="n">
        <v>0</v>
      </c>
      <c r="AE152" s="14" t="n">
        <v>0</v>
      </c>
      <c r="AF152" s="14" t="n">
        <v>0.4434525408079267</v>
      </c>
      <c r="AG152" s="14" t="n">
        <v>0.07970207083262221</v>
      </c>
      <c r="AH152" s="14" t="n"/>
      <c r="AI152" s="14" t="n"/>
      <c r="AJ152" s="14" t="n">
        <v>0.07970207083262221</v>
      </c>
      <c r="AK152" s="14" t="n"/>
      <c r="AL152" s="14" t="n"/>
      <c r="AM152" s="14" t="n"/>
      <c r="AN152" s="14" t="inlineStr">
        <is>
          <t>EVALUATED</t>
        </is>
      </c>
      <c r="AO152" s="14" t="inlineStr">
        <is>
          <t>GIVING_VALIDATED_EDGE;BUCKET_PRIOR_ONLY;INTENT_INTERPRETATION_ONLY;EXPERT_MARKET</t>
        </is>
      </c>
      <c r="AP152" s="14" t="inlineStr">
        <is>
          <t>3dfdb787f258d732a7b5</t>
        </is>
      </c>
      <c r="AQ152" s="14" t="n">
        <v>-1.5</v>
      </c>
      <c r="AR152" s="14" t="n">
        <v>0.9399999999999999</v>
      </c>
      <c r="AS152" s="14" t="n">
        <v>-1.5</v>
      </c>
      <c r="AT152" s="14" t="n">
        <v>1.5</v>
      </c>
      <c r="AU152" s="14" t="n">
        <v>0.9399999999999999</v>
      </c>
      <c r="AV152" s="14" t="n">
        <v>0.88</v>
      </c>
      <c r="AW152" s="14" t="inlineStr">
        <is>
          <t>2026-10-03T09:27:07.620845+08:00</t>
        </is>
      </c>
      <c r="AX152" s="14" t="inlineStr">
        <is>
          <t>Titan007 Next</t>
        </is>
      </c>
      <c r="AY152" s="14" t="inlineStr">
        <is>
          <t>V4 Shadow Only；real_money=false；新增冻结记录</t>
        </is>
      </c>
    </row>
    <row r="153" ht="22" customHeight="1" s="39">
      <c r="A153" s="14" t="inlineStr">
        <is>
          <t>2026-10-03</t>
        </is>
      </c>
      <c r="B153" s="14" t="inlineStr">
        <is>
          <t>2026-10-04 09:00:00</t>
        </is>
      </c>
      <c r="C153" s="14" t="inlineStr">
        <is>
          <t>CLUB_LEAGUE</t>
        </is>
      </c>
      <c r="D153" s="14" t="inlineStr">
        <is>
          <t>联赛</t>
        </is>
      </c>
      <c r="E153" s="14" t="inlineStr">
        <is>
          <t>墨西甲春</t>
        </is>
      </c>
      <c r="F153" s="14" t="inlineStr">
        <is>
          <t>莫雷利亚 vs 特拉斯卡拉</t>
        </is>
      </c>
      <c r="G153" s="26" t="n">
        <v>0.8</v>
      </c>
      <c r="H153" s="26" t="n">
        <v>-1</v>
      </c>
      <c r="I153" s="26" t="n">
        <v>1.02</v>
      </c>
      <c r="J153" s="26" t="inlineStr">
        <is>
          <t>0.8/-1.0/1.02</t>
        </is>
      </c>
      <c r="K153" s="14" t="inlineStr">
        <is>
          <t>V4-B｜EV 0.09426780025854192</t>
        </is>
      </c>
      <c r="L153" s="14" t="inlineStr">
        <is>
          <t>莫雷利亚</t>
        </is>
      </c>
      <c r="M153" s="47" t="n">
        <v>0.4672051899275896</v>
      </c>
      <c r="N153" s="14" t="inlineStr">
        <is>
          <t>V4纸面入选-B</t>
        </is>
      </c>
      <c r="O153" s="14" t="inlineStr">
        <is>
          <t>1-1</t>
        </is>
      </c>
      <c r="P153" s="14" t="inlineStr">
        <is>
          <t>已结算</t>
        </is>
      </c>
      <c r="Q153" s="14" t="inlineStr">
        <is>
          <t>红半</t>
        </is>
      </c>
      <c r="R153" s="48" t="n">
        <v>0.8</v>
      </c>
      <c r="S153" s="48" t="n">
        <v>0.4</v>
      </c>
      <c r="T153" s="14" t="inlineStr">
        <is>
          <t>D:\codex\v3_legacy\outputs\football_odds_trader\raw\titan007\20261004\20261004_135431_titan007_odds_snapshot.csv</t>
        </is>
      </c>
      <c r="U153" s="14">
        <f>IF(Q153="","",IF(Q153="待结算","待结算",IF(Q153="红","黑",IF(Q153="半红","半黑",IF(Q153="走","走",IF(Q153="半黑","半红","红"))))))</f>
        <v/>
      </c>
      <c r="V153" s="48">
        <f>IF(OR(U153="",U153="待结算"),"",IF(L153=LEFT(F153,FIND(" vs ",F153)-1),I153,G153))</f>
        <v/>
      </c>
      <c r="W153" s="48">
        <f>IF(OR(U153="",U153="待结算"),"",IF(U153="红",V153,IF(U153="半红",V153*0.5,IF(U153="走",0,IF(U153="半黑",-0.5,-1)))))</f>
        <v/>
      </c>
      <c r="X153" s="14" t="inlineStr">
        <is>
          <t>3024468</t>
        </is>
      </c>
      <c r="Y153" s="14" t="inlineStr">
        <is>
          <t>V4</t>
        </is>
      </c>
      <c r="Z153" s="14" t="inlineStr">
        <is>
          <t>prior-2026-10-03-v1</t>
        </is>
      </c>
      <c r="AA153" s="14" t="inlineStr">
        <is>
          <t>B</t>
        </is>
      </c>
      <c r="AB153" s="14" t="n">
        <v>0.4672051899275896</v>
      </c>
      <c r="AC153" s="14" t="n">
        <v>0</v>
      </c>
      <c r="AD153" s="14" t="n">
        <v>0.2532984583888807</v>
      </c>
      <c r="AE153" s="14" t="n">
        <v>0</v>
      </c>
      <c r="AF153" s="14" t="n">
        <v>0.2794963516835298</v>
      </c>
      <c r="AG153" s="14" t="n">
        <v>0.09426780025854192</v>
      </c>
      <c r="AH153" s="14" t="n"/>
      <c r="AI153" s="14" t="n"/>
      <c r="AJ153" s="14" t="n">
        <v>0.09426780025854192</v>
      </c>
      <c r="AK153" s="14" t="n"/>
      <c r="AL153" s="14" t="n"/>
      <c r="AM153" s="14" t="n"/>
      <c r="AN153" s="14" t="inlineStr">
        <is>
          <t>EVALUATED</t>
        </is>
      </c>
      <c r="AO153" s="14" t="inlineStr">
        <is>
          <t>GIVING_VALIDATED_EDGE;BUCKET_PRIOR_ONLY;INTENT_INTERPRETATION_ONLY;EXPERT_MARKET</t>
        </is>
      </c>
      <c r="AP153" s="14" t="inlineStr">
        <is>
          <t>6345d20fbed01c5990ee</t>
        </is>
      </c>
      <c r="AQ153" s="14" t="n">
        <v>-1</v>
      </c>
      <c r="AR153" s="14" t="n">
        <v>0.8</v>
      </c>
      <c r="AS153" s="14" t="n">
        <v>-1</v>
      </c>
      <c r="AT153" s="14" t="n">
        <v>1</v>
      </c>
      <c r="AU153" s="14" t="n">
        <v>0.8</v>
      </c>
      <c r="AV153" s="14" t="n">
        <v>1.02</v>
      </c>
      <c r="AW153" s="14" t="inlineStr">
        <is>
          <t>2026-10-03T09:27:07.620845+08:00</t>
        </is>
      </c>
      <c r="AX153" s="14" t="inlineStr">
        <is>
          <t>Titan007 Next</t>
        </is>
      </c>
      <c r="AY153" s="14" t="inlineStr">
        <is>
          <t>V4 Shadow Only；real_money=false；新增冻结记录</t>
        </is>
      </c>
    </row>
    <row r="154" ht="22" customHeight="1" s="39">
      <c r="A154" s="14" t="inlineStr">
        <is>
          <t>2026-10-03</t>
        </is>
      </c>
      <c r="B154" s="14" t="inlineStr">
        <is>
          <t>2026-10-04 09:00:00</t>
        </is>
      </c>
      <c r="C154" s="14" t="inlineStr">
        <is>
          <t>CLUB_LEAGUE</t>
        </is>
      </c>
      <c r="D154" s="14" t="inlineStr">
        <is>
          <t>联赛</t>
        </is>
      </c>
      <c r="E154" s="14" t="inlineStr">
        <is>
          <t>墨西甲春</t>
        </is>
      </c>
      <c r="F154" s="14" t="inlineStr">
        <is>
          <t>坎昆 vs 塔巴蒂奥</t>
        </is>
      </c>
      <c r="G154" s="26" t="n">
        <v>0.92</v>
      </c>
      <c r="H154" s="26" t="n">
        <v>-0.75</v>
      </c>
      <c r="I154" s="26" t="n">
        <v>0.9</v>
      </c>
      <c r="J154" s="26" t="inlineStr">
        <is>
          <t>0.92/-0.75/0.9</t>
        </is>
      </c>
      <c r="K154" s="14" t="inlineStr">
        <is>
          <t>V4-A｜EV 0.14664272380568472</t>
        </is>
      </c>
      <c r="L154" s="14" t="inlineStr">
        <is>
          <t>坎昆</t>
        </is>
      </c>
      <c r="M154" s="47" t="n">
        <v>0.5304611419914227</v>
      </c>
      <c r="N154" s="14" t="inlineStr">
        <is>
          <t>V4纸面入选-A</t>
        </is>
      </c>
      <c r="O154" s="14" t="inlineStr">
        <is>
          <t>1-0</t>
        </is>
      </c>
      <c r="P154" s="14" t="inlineStr">
        <is>
          <t>已结算</t>
        </is>
      </c>
      <c r="Q154" s="14" t="inlineStr">
        <is>
          <t>红半</t>
        </is>
      </c>
      <c r="R154" s="48" t="n">
        <v>0.92</v>
      </c>
      <c r="S154" s="48" t="n">
        <v>0.46</v>
      </c>
      <c r="T154" s="14" t="inlineStr">
        <is>
          <t>D:\codex\v3_legacy\outputs\football_odds_trader\raw\titan007\20261004\20261004_135431_titan007_odds_snapshot.csv</t>
        </is>
      </c>
      <c r="U154" s="14">
        <f>IF(Q154="","",IF(Q154="待结算","待结算",IF(Q154="红","黑",IF(Q154="半红","半黑",IF(Q154="走","走",IF(Q154="半黑","半红","红"))))))</f>
        <v/>
      </c>
      <c r="V154" s="48">
        <f>IF(OR(U154="",U154="待结算"),"",IF(L154=LEFT(F154,FIND(" vs ",F154)-1),I154,G154))</f>
        <v/>
      </c>
      <c r="W154" s="48">
        <f>IF(OR(U154="",U154="待结算"),"",IF(U154="红",V154,IF(U154="半红",V154*0.5,IF(U154="走",0,IF(U154="半黑",-0.5,-1)))))</f>
        <v/>
      </c>
      <c r="X154" s="14" t="inlineStr">
        <is>
          <t>3024469</t>
        </is>
      </c>
      <c r="Y154" s="14" t="inlineStr">
        <is>
          <t>V4</t>
        </is>
      </c>
      <c r="Z154" s="14" t="inlineStr">
        <is>
          <t>prior-2026-10-03-v1</t>
        </is>
      </c>
      <c r="AA154" s="14" t="inlineStr">
        <is>
          <t>A</t>
        </is>
      </c>
      <c r="AB154" s="14" t="n">
        <v>0.4023038108092696</v>
      </c>
      <c r="AC154" s="14" t="n">
        <v>0.2563146623643062</v>
      </c>
      <c r="AD154" s="14" t="n">
        <v>0</v>
      </c>
      <c r="AE154" s="14" t="n">
        <v>0</v>
      </c>
      <c r="AF154" s="14" t="n">
        <v>0.3413815268264242</v>
      </c>
      <c r="AG154" s="14" t="n">
        <v>0.1466427238056847</v>
      </c>
      <c r="AH154" s="14" t="n"/>
      <c r="AI154" s="14" t="n"/>
      <c r="AJ154" s="14" t="n">
        <v>0.1466427238056847</v>
      </c>
      <c r="AK154" s="14" t="n"/>
      <c r="AL154" s="14" t="n"/>
      <c r="AM154" s="14" t="n"/>
      <c r="AN154" s="14" t="inlineStr">
        <is>
          <t>EVALUATED</t>
        </is>
      </c>
      <c r="AO154" s="14" t="inlineStr">
        <is>
          <t>GIVING_VALIDATED_EDGE;BUCKET_PRIOR_ONLY;INTENT_INTERPRETATION_ONLY;EXPERT_MARKET</t>
        </is>
      </c>
      <c r="AP154" s="14" t="inlineStr">
        <is>
          <t>eb8ed2fa504724d17b3a</t>
        </is>
      </c>
      <c r="AQ154" s="14" t="n">
        <v>-0.75</v>
      </c>
      <c r="AR154" s="14" t="n">
        <v>0.92</v>
      </c>
      <c r="AS154" s="14" t="n">
        <v>-0.75</v>
      </c>
      <c r="AT154" s="14" t="n">
        <v>0.75</v>
      </c>
      <c r="AU154" s="14" t="n">
        <v>0.92</v>
      </c>
      <c r="AV154" s="14" t="n">
        <v>0.9</v>
      </c>
      <c r="AW154" s="14" t="inlineStr">
        <is>
          <t>2026-10-03T09:27:07.620845+08:00</t>
        </is>
      </c>
      <c r="AX154" s="14" t="inlineStr">
        <is>
          <t>Titan007 Next</t>
        </is>
      </c>
      <c r="AY154" s="14" t="inlineStr">
        <is>
          <t>V4 Shadow Only；real_money=false；新增冻结记录</t>
        </is>
      </c>
    </row>
    <row r="155" ht="22" customHeight="1" s="39">
      <c r="A155" s="14" t="inlineStr">
        <is>
          <t>2026-10-03</t>
        </is>
      </c>
      <c r="B155" s="14" t="inlineStr">
        <is>
          <t>2026-10-04 09:00:00</t>
        </is>
      </c>
      <c r="C155" s="14" t="inlineStr">
        <is>
          <t>CLUB_LEAGUE</t>
        </is>
      </c>
      <c r="D155" s="14" t="inlineStr">
        <is>
          <t>联赛</t>
        </is>
      </c>
      <c r="E155" s="14" t="inlineStr">
        <is>
          <t>墨西甲春</t>
        </is>
      </c>
      <c r="F155" s="14" t="inlineStr">
        <is>
          <t>皮拉塔斯 vs 瓦哈卡</t>
        </is>
      </c>
      <c r="G155" s="26" t="n">
        <v>0.9</v>
      </c>
      <c r="H155" s="26" t="n">
        <v>-1.5</v>
      </c>
      <c r="I155" s="26" t="n">
        <v>0.92</v>
      </c>
      <c r="J155" s="26" t="inlineStr">
        <is>
          <t>0.9/-1.5/0.92</t>
        </is>
      </c>
      <c r="K155" s="14" t="inlineStr">
        <is>
          <t>V4-A｜EV 0.2576563912621455</t>
        </is>
      </c>
      <c r="L155" s="14" t="inlineStr">
        <is>
          <t>皮拉塔斯</t>
        </is>
      </c>
      <c r="M155" s="47" t="n">
        <v>0.6619244164537608</v>
      </c>
      <c r="N155" s="14" t="inlineStr">
        <is>
          <t>V4纸面入选-A</t>
        </is>
      </c>
      <c r="O155" s="14" t="inlineStr">
        <is>
          <t>4-0</t>
        </is>
      </c>
      <c r="P155" s="14" t="inlineStr">
        <is>
          <t>已结算</t>
        </is>
      </c>
      <c r="Q155" s="14" t="inlineStr">
        <is>
          <t>红半</t>
        </is>
      </c>
      <c r="R155" s="48" t="n">
        <v>0.9</v>
      </c>
      <c r="S155" s="48" t="n">
        <v>0.45</v>
      </c>
      <c r="T155" s="14" t="inlineStr">
        <is>
          <t>D:\codex\v3_legacy\outputs\football_odds_trader\raw\titan007\20261004\20261004_135431_titan007_odds_snapshot.csv</t>
        </is>
      </c>
      <c r="U155" s="14">
        <f>IF(Q155="","",IF(Q155="待结算","待结算",IF(Q155="红","黑",IF(Q155="半红","半黑",IF(Q155="走","走",IF(Q155="半黑","半红","红"))))))</f>
        <v/>
      </c>
      <c r="V155" s="48">
        <f>IF(OR(U155="",U155="待结算"),"",IF(L155=LEFT(F155,FIND(" vs ",F155)-1),I155,G155))</f>
        <v/>
      </c>
      <c r="W155" s="48">
        <f>IF(OR(U155="",U155="待结算"),"",IF(U155="红",V155,IF(U155="半红",V155*0.5,IF(U155="走",0,IF(U155="半黑",-0.5,-1)))))</f>
        <v/>
      </c>
      <c r="X155" s="14" t="inlineStr">
        <is>
          <t>3024471</t>
        </is>
      </c>
      <c r="Y155" s="14" t="inlineStr">
        <is>
          <t>V4</t>
        </is>
      </c>
      <c r="Z155" s="14" t="inlineStr">
        <is>
          <t>prior-2026-10-03-v1</t>
        </is>
      </c>
      <c r="AA155" s="14" t="inlineStr">
        <is>
          <t>A</t>
        </is>
      </c>
      <c r="AB155" s="14" t="n">
        <v>0.6619244164537608</v>
      </c>
      <c r="AC155" s="14" t="n">
        <v>0</v>
      </c>
      <c r="AD155" s="14" t="n">
        <v>0</v>
      </c>
      <c r="AE155" s="14" t="n">
        <v>0</v>
      </c>
      <c r="AF155" s="14" t="n">
        <v>0.3380755835462392</v>
      </c>
      <c r="AG155" s="14" t="n">
        <v>0.2576563912621455</v>
      </c>
      <c r="AH155" s="14" t="n"/>
      <c r="AI155" s="14" t="n"/>
      <c r="AJ155" s="14" t="n">
        <v>0.2576563912621455</v>
      </c>
      <c r="AK155" s="14" t="n"/>
      <c r="AL155" s="14" t="n"/>
      <c r="AM155" s="14" t="n"/>
      <c r="AN155" s="14" t="inlineStr">
        <is>
          <t>EVALUATED</t>
        </is>
      </c>
      <c r="AO155" s="14" t="inlineStr">
        <is>
          <t>GIVING_VALIDATED_EDGE;BUCKET_PRIOR_ONLY;INTENT_INTERPRETATION_ONLY;EXPERT_MARKET</t>
        </is>
      </c>
      <c r="AP155" s="14" t="inlineStr">
        <is>
          <t>7b80bd62956a142eeae3</t>
        </is>
      </c>
      <c r="AQ155" s="14" t="n">
        <v>-1.5</v>
      </c>
      <c r="AR155" s="14" t="n">
        <v>0.9</v>
      </c>
      <c r="AS155" s="14" t="n">
        <v>-1.5</v>
      </c>
      <c r="AT155" s="14" t="n">
        <v>1.5</v>
      </c>
      <c r="AU155" s="14" t="n">
        <v>0.9</v>
      </c>
      <c r="AV155" s="14" t="n">
        <v>0.92</v>
      </c>
      <c r="AW155" s="14" t="inlineStr">
        <is>
          <t>2026-10-03T09:27:07.620845+08:00</t>
        </is>
      </c>
      <c r="AX155" s="14" t="inlineStr">
        <is>
          <t>Titan007 Next</t>
        </is>
      </c>
      <c r="AY155" s="14" t="inlineStr">
        <is>
          <t>V4 Shadow Only；real_money=false；新增冻结记录</t>
        </is>
      </c>
    </row>
    <row r="156" ht="22" customHeight="1" s="39">
      <c r="A156" s="14" t="inlineStr">
        <is>
          <t>2026-10-03</t>
        </is>
      </c>
      <c r="B156" s="14" t="inlineStr">
        <is>
          <t>2026-10-04 09:00:00</t>
        </is>
      </c>
      <c r="C156" s="14" t="inlineStr">
        <is>
          <t>CLUB_LEAGUE</t>
        </is>
      </c>
      <c r="D156" s="14" t="inlineStr">
        <is>
          <t>联赛</t>
        </is>
      </c>
      <c r="E156" s="14" t="inlineStr">
        <is>
          <t>墨西女超春</t>
        </is>
      </c>
      <c r="F156" s="14" t="inlineStr">
        <is>
          <t>蒂华纳女足 vs 亚特兰特女足</t>
        </is>
      </c>
      <c r="G156" s="26" t="n">
        <v>0.97</v>
      </c>
      <c r="H156" s="26" t="n">
        <v>-1</v>
      </c>
      <c r="I156" s="26" t="n">
        <v>0.79</v>
      </c>
      <c r="J156" s="26" t="inlineStr">
        <is>
          <t>0.97/-1.0/0.79</t>
        </is>
      </c>
      <c r="K156" s="14" t="inlineStr">
        <is>
          <t>V4-B｜EV 0.07514728992316216</t>
        </is>
      </c>
      <c r="L156" s="14" t="inlineStr">
        <is>
          <t>蒂华纳女足</t>
        </is>
      </c>
      <c r="M156" s="47" t="n">
        <v>0.4158246930857992</v>
      </c>
      <c r="N156" s="14" t="inlineStr">
        <is>
          <t>V4纸面入选-B</t>
        </is>
      </c>
      <c r="O156" s="14" t="inlineStr">
        <is>
          <t>1-0</t>
        </is>
      </c>
      <c r="P156" s="14" t="inlineStr">
        <is>
          <t>已结算</t>
        </is>
      </c>
      <c r="Q156" s="14" t="inlineStr">
        <is>
          <t>红半</t>
        </is>
      </c>
      <c r="R156" s="48" t="n">
        <v>0.97</v>
      </c>
      <c r="S156" s="48" t="n">
        <v>0.485</v>
      </c>
      <c r="T156" s="14" t="inlineStr">
        <is>
          <t>D:\codex\v3_legacy\outputs\football_odds_trader\raw\titan007\20261004\20261004_135431_titan007_odds_snapshot.csv</t>
        </is>
      </c>
      <c r="U156" s="14">
        <f>IF(Q156="","",IF(Q156="待结算","待结算",IF(Q156="红","黑",IF(Q156="半红","半黑",IF(Q156="走","走",IF(Q156="半黑","半红","红"))))))</f>
        <v/>
      </c>
      <c r="V156" s="48">
        <f>IF(OR(U156="",U156="待结算"),"",IF(L156=LEFT(F156,FIND(" vs ",F156)-1),I156,G156))</f>
        <v/>
      </c>
      <c r="W156" s="48">
        <f>IF(OR(U156="",U156="待结算"),"",IF(U156="红",V156,IF(U156="半红",V156*0.5,IF(U156="走",0,IF(U156="半黑",-0.5,-1)))))</f>
        <v/>
      </c>
      <c r="X156" s="14" t="inlineStr">
        <is>
          <t>3046049</t>
        </is>
      </c>
      <c r="Y156" s="14" t="inlineStr">
        <is>
          <t>V4</t>
        </is>
      </c>
      <c r="Z156" s="14" t="inlineStr">
        <is>
          <t>prior-2026-10-03-v1</t>
        </is>
      </c>
      <c r="AA156" s="14" t="inlineStr">
        <is>
          <t>B</t>
        </is>
      </c>
      <c r="AB156" s="14" t="n">
        <v>0.4158246930857992</v>
      </c>
      <c r="AC156" s="14" t="n">
        <v>0</v>
      </c>
      <c r="AD156" s="14" t="n">
        <v>0.2559726445441378</v>
      </c>
      <c r="AE156" s="14" t="n">
        <v>0</v>
      </c>
      <c r="AF156" s="14" t="n">
        <v>0.328202662370063</v>
      </c>
      <c r="AG156" s="14" t="n">
        <v>0.07514728992316216</v>
      </c>
      <c r="AH156" s="14" t="n"/>
      <c r="AI156" s="14" t="n"/>
      <c r="AJ156" s="14" t="n">
        <v>0.07514728992316216</v>
      </c>
      <c r="AK156" s="14" t="n"/>
      <c r="AL156" s="14" t="n"/>
      <c r="AM156" s="14" t="n"/>
      <c r="AN156" s="14" t="inlineStr">
        <is>
          <t>EVALUATED</t>
        </is>
      </c>
      <c r="AO156" s="14" t="inlineStr">
        <is>
          <t>GIVING_VALIDATED_EDGE;BUCKET_PRIOR_ONLY;INTENT_INTERPRETATION_ONLY;EXPERT_MARKET</t>
        </is>
      </c>
      <c r="AP156" s="14" t="inlineStr">
        <is>
          <t>5908a10d18c4f7e7ad03</t>
        </is>
      </c>
      <c r="AQ156" s="14" t="n">
        <v>-1</v>
      </c>
      <c r="AR156" s="14" t="n">
        <v>0.97</v>
      </c>
      <c r="AS156" s="14" t="n">
        <v>-1</v>
      </c>
      <c r="AT156" s="14" t="n">
        <v>1</v>
      </c>
      <c r="AU156" s="14" t="n">
        <v>0.97</v>
      </c>
      <c r="AV156" s="14" t="n">
        <v>0.79</v>
      </c>
      <c r="AW156" s="14" t="inlineStr">
        <is>
          <t>2026-10-03T09:27:07.620845+08:00</t>
        </is>
      </c>
      <c r="AX156" s="14" t="inlineStr">
        <is>
          <t>Titan007 Next</t>
        </is>
      </c>
      <c r="AY156" s="14" t="inlineStr">
        <is>
          <t>V4 Shadow Only；real_money=false；新增冻结记录</t>
        </is>
      </c>
    </row>
    <row r="157" ht="22" customHeight="1" s="39">
      <c r="A157" s="14" t="inlineStr">
        <is>
          <t>2026-10-03</t>
        </is>
      </c>
      <c r="B157" s="14" t="inlineStr">
        <is>
          <t>2026-10-04 09:20:00</t>
        </is>
      </c>
      <c r="C157" s="14" t="inlineStr">
        <is>
          <t>CLUB_LEAGUE</t>
        </is>
      </c>
      <c r="D157" s="14" t="inlineStr">
        <is>
          <t>联赛</t>
        </is>
      </c>
      <c r="E157" s="14" t="inlineStr">
        <is>
          <t>哥伦乙秋</t>
        </is>
      </c>
      <c r="F157" s="14" t="inlineStr">
        <is>
          <t>卡达根拿 vs 卡利博卡青年</t>
        </is>
      </c>
      <c r="G157" s="26" t="n">
        <v>0.84</v>
      </c>
      <c r="H157" s="26" t="n">
        <v>-1.25</v>
      </c>
      <c r="I157" s="26" t="n">
        <v>0.86</v>
      </c>
      <c r="J157" s="26" t="inlineStr">
        <is>
          <t>0.84/-1.25/0.86</t>
        </is>
      </c>
      <c r="K157" s="14" t="inlineStr">
        <is>
          <t>V4-B｜EV 0.0847176395368339</t>
        </is>
      </c>
      <c r="L157" s="14" t="inlineStr">
        <is>
          <t>卡达根拿</t>
        </is>
      </c>
      <c r="M157" s="47" t="n">
        <v>0.5224548536827445</v>
      </c>
      <c r="N157" s="14" t="inlineStr">
        <is>
          <t>V4纸面入选-B</t>
        </is>
      </c>
      <c r="O157" s="14" t="inlineStr">
        <is>
          <t>2-3</t>
        </is>
      </c>
      <c r="P157" s="14" t="inlineStr">
        <is>
          <t>已结算</t>
        </is>
      </c>
      <c r="Q157" s="14" t="inlineStr">
        <is>
          <t>走</t>
        </is>
      </c>
      <c r="R157" s="48" t="n">
        <v>0.84</v>
      </c>
      <c r="S157" s="48" t="n">
        <v>0</v>
      </c>
      <c r="T157" s="14" t="inlineStr">
        <is>
          <t>D:\codex\v3_legacy\outputs\football_odds_trader\raw\titan007\20261004\20261004_135431_titan007_odds_snapshot.csv</t>
        </is>
      </c>
      <c r="U157" s="14">
        <f>IF(Q157="","",IF(Q157="待结算","待结算",IF(Q157="红","黑",IF(Q157="半红","半黑",IF(Q157="走","走",IF(Q157="半黑","半红","红"))))))</f>
        <v/>
      </c>
      <c r="V157" s="48">
        <f>IF(OR(U157="",U157="待结算"),"",IF(L157=LEFT(F157,FIND(" vs ",F157)-1),I157,G157))</f>
        <v/>
      </c>
      <c r="W157" s="48">
        <f>IF(OR(U157="",U157="待结算"),"",IF(U157="红",V157,IF(U157="半红",V157*0.5,IF(U157="走",0,IF(U157="半黑",-0.5,-1)))))</f>
        <v/>
      </c>
      <c r="X157" s="14" t="inlineStr">
        <is>
          <t>3012208</t>
        </is>
      </c>
      <c r="Y157" s="14" t="inlineStr">
        <is>
          <t>V4</t>
        </is>
      </c>
      <c r="Z157" s="14" t="inlineStr">
        <is>
          <t>prior-2026-10-03-v1</t>
        </is>
      </c>
      <c r="AA157" s="14" t="inlineStr">
        <is>
          <t>B</t>
        </is>
      </c>
      <c r="AB157" s="14" t="n">
        <v>0.5224548536827445</v>
      </c>
      <c r="AC157" s="14" t="n">
        <v>0</v>
      </c>
      <c r="AD157" s="14" t="n">
        <v>0</v>
      </c>
      <c r="AE157" s="14" t="n">
        <v>0.2468014175211683</v>
      </c>
      <c r="AF157" s="14" t="n">
        <v>0.2307437287960873</v>
      </c>
      <c r="AG157" s="14" t="n">
        <v>0.08471763953683389</v>
      </c>
      <c r="AH157" s="14" t="n"/>
      <c r="AI157" s="14" t="n"/>
      <c r="AJ157" s="14" t="n">
        <v>0.08471763953683389</v>
      </c>
      <c r="AK157" s="14" t="n"/>
      <c r="AL157" s="14" t="n"/>
      <c r="AM157" s="14" t="n"/>
      <c r="AN157" s="14" t="inlineStr">
        <is>
          <t>EVALUATED</t>
        </is>
      </c>
      <c r="AO157" s="14" t="inlineStr">
        <is>
          <t>GIVING_VALIDATED_EDGE;BUCKET_PRIOR_ONLY;INTENT_INTERPRETATION_ONLY;EXPERT_MARKET</t>
        </is>
      </c>
      <c r="AP157" s="14" t="inlineStr">
        <is>
          <t>c1e5193ce29981948d5b</t>
        </is>
      </c>
      <c r="AQ157" s="14" t="n">
        <v>-1.25</v>
      </c>
      <c r="AR157" s="14" t="n">
        <v>0.84</v>
      </c>
      <c r="AS157" s="14" t="n">
        <v>-1.25</v>
      </c>
      <c r="AT157" s="14" t="n">
        <v>1.25</v>
      </c>
      <c r="AU157" s="14" t="n">
        <v>0.84</v>
      </c>
      <c r="AV157" s="14" t="n">
        <v>0.86</v>
      </c>
      <c r="AW157" s="14" t="inlineStr">
        <is>
          <t>2026-10-03T09:27:07.620845+08:00</t>
        </is>
      </c>
      <c r="AX157" s="14" t="inlineStr">
        <is>
          <t>Titan007 Next</t>
        </is>
      </c>
      <c r="AY157" s="14" t="inlineStr">
        <is>
          <t>V4 Shadow Only；real_money=false；新增冻结记录</t>
        </is>
      </c>
    </row>
    <row r="158" ht="22" customHeight="1" s="39">
      <c r="A158" s="14" t="inlineStr">
        <is>
          <t>2026-10-03</t>
        </is>
      </c>
      <c r="B158" s="14" t="inlineStr">
        <is>
          <t>2026-10-04 10:00:00</t>
        </is>
      </c>
      <c r="C158" s="14" t="inlineStr">
        <is>
          <t>CLUB_LEAGUE</t>
        </is>
      </c>
      <c r="D158" s="14" t="inlineStr">
        <is>
          <t>联赛</t>
        </is>
      </c>
      <c r="E158" s="14" t="inlineStr">
        <is>
          <t>危地甲春</t>
        </is>
      </c>
      <c r="F158" s="14" t="inlineStr">
        <is>
          <t>夏拉祖 vs 圣佩德罗体育</t>
        </is>
      </c>
      <c r="G158" s="26" t="n">
        <v>0.76</v>
      </c>
      <c r="H158" s="26" t="n">
        <v>-1</v>
      </c>
      <c r="I158" s="26" t="n">
        <v>0.9399999999999999</v>
      </c>
      <c r="J158" s="26" t="inlineStr">
        <is>
          <t>0.76/-1.0/0.94</t>
        </is>
      </c>
      <c r="K158" s="14" t="inlineStr">
        <is>
          <t>V4-B｜EV 0.11926677572849864</t>
        </is>
      </c>
      <c r="L158" s="14" t="inlineStr">
        <is>
          <t>夏拉祖</t>
        </is>
      </c>
      <c r="M158" s="47" t="n">
        <v>0.4930145047005871</v>
      </c>
      <c r="N158" s="14" t="inlineStr">
        <is>
          <t>V4纸面入选-B</t>
        </is>
      </c>
      <c r="O158" s="14" t="inlineStr">
        <is>
          <t>2-0</t>
        </is>
      </c>
      <c r="P158" s="14" t="inlineStr">
        <is>
          <t>已结算</t>
        </is>
      </c>
      <c r="Q158" s="14" t="inlineStr">
        <is>
          <t>红半</t>
        </is>
      </c>
      <c r="R158" s="48" t="n">
        <v>0.76</v>
      </c>
      <c r="S158" s="48" t="n">
        <v>0.38</v>
      </c>
      <c r="T158" s="14" t="inlineStr">
        <is>
          <t>D:\codex\v3_legacy\outputs\football_odds_trader\raw\titan007\20261004\20261004_135431_titan007_odds_snapshot.csv</t>
        </is>
      </c>
      <c r="U158" s="14">
        <f>IF(Q158="","",IF(Q158="待结算","待结算",IF(Q158="红","黑",IF(Q158="半红","半黑",IF(Q158="走","走",IF(Q158="半黑","半红","红"))))))</f>
        <v/>
      </c>
      <c r="V158" s="48">
        <f>IF(OR(U158="",U158="待结算"),"",IF(L158=LEFT(F158,FIND(" vs ",F158)-1),I158,G158))</f>
        <v/>
      </c>
      <c r="W158" s="48">
        <f>IF(OR(U158="",U158="待结算"),"",IF(U158="红",V158,IF(U158="半红",V158*0.5,IF(U158="走",0,IF(U158="半黑",-0.5,-1)))))</f>
        <v/>
      </c>
      <c r="X158" s="14" t="inlineStr">
        <is>
          <t>3011298</t>
        </is>
      </c>
      <c r="Y158" s="14" t="inlineStr">
        <is>
          <t>V4</t>
        </is>
      </c>
      <c r="Z158" s="14" t="inlineStr">
        <is>
          <t>prior-2026-10-03-v1</t>
        </is>
      </c>
      <c r="AA158" s="14" t="inlineStr">
        <is>
          <t>B</t>
        </is>
      </c>
      <c r="AB158" s="14" t="n">
        <v>0.4930145047005871</v>
      </c>
      <c r="AC158" s="14" t="n">
        <v>0</v>
      </c>
      <c r="AD158" s="14" t="n">
        <v>0.2515612474554653</v>
      </c>
      <c r="AE158" s="14" t="n">
        <v>0</v>
      </c>
      <c r="AF158" s="14" t="n">
        <v>0.2554242478439476</v>
      </c>
      <c r="AG158" s="14" t="n">
        <v>0.1192667757284986</v>
      </c>
      <c r="AH158" s="14" t="n"/>
      <c r="AI158" s="14" t="n"/>
      <c r="AJ158" s="14" t="n">
        <v>0.1192667757284986</v>
      </c>
      <c r="AK158" s="14" t="n"/>
      <c r="AL158" s="14" t="n"/>
      <c r="AM158" s="14" t="n"/>
      <c r="AN158" s="14" t="inlineStr">
        <is>
          <t>EVALUATED</t>
        </is>
      </c>
      <c r="AO158" s="14" t="inlineStr">
        <is>
          <t>GIVING_VALIDATED_EDGE;BUCKET_PRIOR_ONLY;INTENT_INTERPRETATION_ONLY;EXPERT_MARKET</t>
        </is>
      </c>
      <c r="AP158" s="14" t="inlineStr">
        <is>
          <t>4c42e6630fa7eaa69958</t>
        </is>
      </c>
      <c r="AQ158" s="14" t="n">
        <v>-1</v>
      </c>
      <c r="AR158" s="14" t="n">
        <v>0.76</v>
      </c>
      <c r="AS158" s="14" t="n">
        <v>-1</v>
      </c>
      <c r="AT158" s="14" t="n">
        <v>1</v>
      </c>
      <c r="AU158" s="14" t="n">
        <v>0.76</v>
      </c>
      <c r="AV158" s="14" t="n">
        <v>0.9399999999999999</v>
      </c>
      <c r="AW158" s="14" t="inlineStr">
        <is>
          <t>2026-10-03T09:27:07.620845+08:00</t>
        </is>
      </c>
      <c r="AX158" s="14" t="inlineStr">
        <is>
          <t>Titan007 Next</t>
        </is>
      </c>
      <c r="AY158" s="14" t="inlineStr">
        <is>
          <t>V4 Shadow Only；real_money=false；新增冻结记录</t>
        </is>
      </c>
    </row>
    <row r="159" ht="22" customHeight="1" s="39">
      <c r="A159" s="14" t="inlineStr">
        <is>
          <t>2026-10-04</t>
        </is>
      </c>
      <c r="B159" s="14" t="inlineStr">
        <is>
          <t>2026-10-04 11:10:00</t>
        </is>
      </c>
      <c r="C159" s="14" t="inlineStr">
        <is>
          <t>CLUB_LEAGUE</t>
        </is>
      </c>
      <c r="D159" s="14" t="inlineStr">
        <is>
          <t>联赛</t>
        </is>
      </c>
      <c r="E159" s="14" t="inlineStr">
        <is>
          <t>墨西女超春</t>
        </is>
      </c>
      <c r="F159" s="14" t="inlineStr">
        <is>
          <t>尼卡沙女足 vs 克鲁兹女足</t>
        </is>
      </c>
      <c r="G159" s="26" t="n">
        <v>0.9399999999999999</v>
      </c>
      <c r="H159" s="26" t="n">
        <v>2.75</v>
      </c>
      <c r="I159" s="26" t="n">
        <v>0.82</v>
      </c>
      <c r="J159" s="26" t="inlineStr">
        <is>
          <t>0.94/2.75/0.82</t>
        </is>
      </c>
      <c r="K159" s="14" t="inlineStr">
        <is>
          <t>V4-B｜EV 0.9399938623745515</t>
        </is>
      </c>
      <c r="L159" s="14" t="inlineStr">
        <is>
          <t>尼卡沙女足</t>
        </is>
      </c>
      <c r="M159" s="47" t="n">
        <v>0.9999957666978819</v>
      </c>
      <c r="N159" s="14" t="inlineStr">
        <is>
          <t>V4纸面入选-B</t>
        </is>
      </c>
      <c r="O159" s="14" t="inlineStr">
        <is>
          <t>0-2</t>
        </is>
      </c>
      <c r="P159" s="14" t="inlineStr">
        <is>
          <t>已结算</t>
        </is>
      </c>
      <c r="Q159" s="14" t="inlineStr">
        <is>
          <t>红</t>
        </is>
      </c>
      <c r="R159" s="48" t="n">
        <v>0.9399999999999999</v>
      </c>
      <c r="S159" s="48" t="n">
        <v>0.47</v>
      </c>
      <c r="T159" s="14" t="inlineStr">
        <is>
          <t>D:\codex\v3_legacy\outputs\football_odds_trader\raw\titan007\20261004\20261004_135431_titan007_odds_snapshot.csv</t>
        </is>
      </c>
      <c r="U159" s="14">
        <f>IF(Q159="","",IF(Q159="待结算","待结算",IF(Q159="红","黑",IF(Q159="半红","半黑",IF(Q159="走","走",IF(Q159="半黑","半红","红"))))))</f>
        <v/>
      </c>
      <c r="V159" s="48">
        <f>IF(OR(U159="",U159="待结算"),"",IF(L159=LEFT(F159,FIND(" vs ",F159)-1),I159,G159))</f>
        <v/>
      </c>
      <c r="W159" s="48">
        <f>IF(OR(U159="",U159="待结算"),"",IF(U159="红",V159,IF(U159="半红",V159*0.5,IF(U159="走",0,IF(U159="半黑",-0.5,-1)))))</f>
        <v/>
      </c>
      <c r="X159" s="14" t="inlineStr">
        <is>
          <t>3046050</t>
        </is>
      </c>
      <c r="Y159" s="14" t="inlineStr">
        <is>
          <t>V4</t>
        </is>
      </c>
      <c r="Z159" s="14" t="inlineStr">
        <is>
          <t>prior-2026-10-04-v1</t>
        </is>
      </c>
      <c r="AA159" s="14" t="inlineStr">
        <is>
          <t>B</t>
        </is>
      </c>
      <c r="AB159" s="14" t="n">
        <v>0.9999957666978819</v>
      </c>
      <c r="AC159" s="14" t="n">
        <v>0</v>
      </c>
      <c r="AD159" s="14" t="n">
        <v>0</v>
      </c>
      <c r="AE159" s="14" t="n">
        <v>4.149961321374211e-06</v>
      </c>
      <c r="AF159" s="14" t="n">
        <v>8.334079674169699e-08</v>
      </c>
      <c r="AG159" s="14" t="n">
        <v>0.9399938623745515</v>
      </c>
      <c r="AH159" s="14" t="n"/>
      <c r="AI159" s="14" t="n"/>
      <c r="AJ159" s="14" t="n">
        <v>0.9399938623745515</v>
      </c>
      <c r="AK159" s="14" t="n"/>
      <c r="AL159" s="14" t="n"/>
      <c r="AM159" s="14" t="n"/>
      <c r="AN159" s="14" t="inlineStr">
        <is>
          <t>FROZEN_PREMATCH_DECISION</t>
        </is>
      </c>
      <c r="AO159" s="14" t="inlineStr">
        <is>
          <t>STARTED_DECISION_LOCKED</t>
        </is>
      </c>
      <c r="AP159" s="14" t="inlineStr">
        <is>
          <t>25b9f66c03f64fb140a9</t>
        </is>
      </c>
      <c r="AQ159" s="14" t="n">
        <v>2.75</v>
      </c>
      <c r="AR159" s="14" t="n">
        <v>0.9399999999999999</v>
      </c>
      <c r="AS159" s="14" t="n">
        <v>-2.75</v>
      </c>
      <c r="AT159" s="14" t="n">
        <v>2.75</v>
      </c>
      <c r="AU159" s="14" t="n">
        <v>0.82</v>
      </c>
      <c r="AV159" s="14" t="n">
        <v>0.9399999999999999</v>
      </c>
      <c r="AW159" s="14" t="inlineStr">
        <is>
          <t>2026-10-04T09:58:08.993953+08:00</t>
        </is>
      </c>
      <c r="AX159" s="14" t="inlineStr">
        <is>
          <t>Titan007 snapshot</t>
        </is>
      </c>
      <c r="AY159" s="14" t="inlineStr">
        <is>
          <t>V4 Shadow Only；real_money=false；新增冻结记录</t>
        </is>
      </c>
    </row>
    <row r="160" ht="22" customHeight="1" s="39">
      <c r="A160" s="14" t="inlineStr">
        <is>
          <t>2026-10-04</t>
        </is>
      </c>
      <c r="B160" s="14" t="inlineStr">
        <is>
          <t>2026-10-04 12:00:00</t>
        </is>
      </c>
      <c r="C160" s="14" t="inlineStr">
        <is>
          <t>CLUB_LEAGUE</t>
        </is>
      </c>
      <c r="D160" s="14" t="inlineStr">
        <is>
          <t>联赛</t>
        </is>
      </c>
      <c r="E160" s="14" t="inlineStr">
        <is>
          <t>日职乙</t>
        </is>
      </c>
      <c r="F160" s="14" t="inlineStr">
        <is>
          <t>八户云罗里 vs 横滨FC</t>
        </is>
      </c>
      <c r="G160" s="26" t="n">
        <v>1.04</v>
      </c>
      <c r="H160" s="26" t="n">
        <v>0.5</v>
      </c>
      <c r="I160" s="26" t="n">
        <v>0.84</v>
      </c>
      <c r="J160" s="26" t="inlineStr">
        <is>
          <t>1.04/0.5/0.84</t>
        </is>
      </c>
      <c r="K160" s="14" t="inlineStr">
        <is>
          <t>V4-B｜EV 0.7233933131874315</t>
        </is>
      </c>
      <c r="L160" s="14" t="inlineStr">
        <is>
          <t>八户云罗里</t>
        </is>
      </c>
      <c r="M160" s="47" t="n">
        <v>0.8448006437193292</v>
      </c>
      <c r="N160" s="14" t="inlineStr">
        <is>
          <t>V4纸面入选-B</t>
        </is>
      </c>
      <c r="O160" s="14" t="inlineStr">
        <is>
          <t>0-2</t>
        </is>
      </c>
      <c r="P160" s="14" t="inlineStr">
        <is>
          <t>已结算</t>
        </is>
      </c>
      <c r="Q160" s="14" t="inlineStr">
        <is>
          <t>黑</t>
        </is>
      </c>
      <c r="R160" s="48" t="n">
        <v>1.04</v>
      </c>
      <c r="S160" s="48" t="n">
        <v>-0.5</v>
      </c>
      <c r="T160" s="14" t="inlineStr">
        <is>
          <t>D:\codex\v3_legacy\outputs\football_odds_trader\raw\titan007\20261004\20261004_135431_titan007_odds_snapshot.csv</t>
        </is>
      </c>
      <c r="U160" s="14">
        <f>IF(Q160="","",IF(Q160="待结算","待结算",IF(Q160="红","黑",IF(Q160="半红","半黑",IF(Q160="走","走",IF(Q160="半黑","半红","红"))))))</f>
        <v/>
      </c>
      <c r="V160" s="48">
        <f>IF(OR(U160="",U160="待结算"),"",IF(L160=LEFT(F160,FIND(" vs ",F160)-1),I160,G160))</f>
        <v/>
      </c>
      <c r="W160" s="48">
        <f>IF(OR(U160="",U160="待结算"),"",IF(U160="红",V160,IF(U160="半红",V160*0.5,IF(U160="走",0,IF(U160="半黑",-0.5,-1)))))</f>
        <v/>
      </c>
      <c r="X160" s="14" t="inlineStr">
        <is>
          <t>3000101</t>
        </is>
      </c>
      <c r="Y160" s="14" t="inlineStr">
        <is>
          <t>V4</t>
        </is>
      </c>
      <c r="Z160" s="14" t="inlineStr">
        <is>
          <t>prior-2026-10-04-v1</t>
        </is>
      </c>
      <c r="AA160" s="14" t="inlineStr">
        <is>
          <t>B</t>
        </is>
      </c>
      <c r="AB160" s="14" t="n">
        <v>0.8448006437193292</v>
      </c>
      <c r="AC160" s="14" t="n">
        <v>0</v>
      </c>
      <c r="AD160" s="14" t="n">
        <v>0</v>
      </c>
      <c r="AE160" s="14" t="n">
        <v>0</v>
      </c>
      <c r="AF160" s="14" t="n">
        <v>0.1551993562806709</v>
      </c>
      <c r="AG160" s="14" t="n">
        <v>0.7233933131874315</v>
      </c>
      <c r="AH160" s="14" t="n"/>
      <c r="AI160" s="14" t="n"/>
      <c r="AJ160" s="14" t="n">
        <v>0.7233933131874315</v>
      </c>
      <c r="AK160" s="14" t="n"/>
      <c r="AL160" s="14" t="n"/>
      <c r="AM160" s="14" t="n"/>
      <c r="AN160" s="14" t="inlineStr">
        <is>
          <t>FROZEN_PREMATCH_DECISION</t>
        </is>
      </c>
      <c r="AO160" s="14" t="inlineStr">
        <is>
          <t>STARTED_DECISION_LOCKED</t>
        </is>
      </c>
      <c r="AP160" s="14" t="inlineStr">
        <is>
          <t>7229e29acd11a473d64a</t>
        </is>
      </c>
      <c r="AQ160" s="14" t="n">
        <v>0.5</v>
      </c>
      <c r="AR160" s="14" t="n">
        <v>1.04</v>
      </c>
      <c r="AS160" s="14" t="n">
        <v>-0.5</v>
      </c>
      <c r="AT160" s="14" t="n">
        <v>0.5</v>
      </c>
      <c r="AU160" s="14" t="n">
        <v>0.84</v>
      </c>
      <c r="AV160" s="14" t="n">
        <v>1.04</v>
      </c>
      <c r="AW160" s="14" t="inlineStr">
        <is>
          <t>2026-10-04T09:58:08.993953+08:00</t>
        </is>
      </c>
      <c r="AX160" s="14" t="inlineStr">
        <is>
          <t>Titan007 snapshot</t>
        </is>
      </c>
      <c r="AY160" s="14" t="inlineStr">
        <is>
          <t>V4 Shadow Only；real_money=false；新增冻结记录</t>
        </is>
      </c>
    </row>
    <row r="161" ht="22" customHeight="1" s="39">
      <c r="A161" s="14" t="inlineStr">
        <is>
          <t>2026-10-04</t>
        </is>
      </c>
      <c r="B161" s="14" t="inlineStr">
        <is>
          <t>2026-10-04 12:00:00</t>
        </is>
      </c>
      <c r="C161" s="14" t="inlineStr">
        <is>
          <t>CLUB_LEAGUE</t>
        </is>
      </c>
      <c r="D161" s="14" t="inlineStr">
        <is>
          <t>联赛</t>
        </is>
      </c>
      <c r="E161" s="14" t="inlineStr">
        <is>
          <t>日职女甲</t>
        </is>
      </c>
      <c r="F161" s="14" t="inlineStr">
        <is>
          <t>FC爱媛女足 vs 维亚马特拉斯宫崎女足</t>
        </is>
      </c>
      <c r="G161" s="26" t="n">
        <v>0.95</v>
      </c>
      <c r="H161" s="26" t="n">
        <v>0.5</v>
      </c>
      <c r="I161" s="26" t="n">
        <v>0.8100000000000001</v>
      </c>
      <c r="J161" s="26" t="inlineStr">
        <is>
          <t>0.95/0.5/0.81</t>
        </is>
      </c>
      <c r="K161" s="14" t="inlineStr">
        <is>
          <t>V4-A｜EV 0.60107554796527</t>
        </is>
      </c>
      <c r="L161" s="14" t="inlineStr">
        <is>
          <t>FC爱媛女足</t>
        </is>
      </c>
      <c r="M161" s="47" t="n">
        <v>0.8210643835719333</v>
      </c>
      <c r="N161" s="14" t="inlineStr">
        <is>
          <t>V4纸面入选-A</t>
        </is>
      </c>
      <c r="O161" s="14" t="inlineStr">
        <is>
          <t>0-3</t>
        </is>
      </c>
      <c r="P161" s="14" t="inlineStr">
        <is>
          <t>已结算</t>
        </is>
      </c>
      <c r="Q161" s="14" t="inlineStr">
        <is>
          <t>黑</t>
        </is>
      </c>
      <c r="R161" s="48" t="n">
        <v>0.95</v>
      </c>
      <c r="S161" s="48" t="n">
        <v>-0.5</v>
      </c>
      <c r="T161" s="14" t="inlineStr">
        <is>
          <t>D:\codex\v3_legacy\outputs\football_odds_trader\raw\titan007\20261004\20261004_135431_titan007_odds_snapshot.csv</t>
        </is>
      </c>
      <c r="U161" s="14">
        <f>IF(Q161="","",IF(Q161="待结算","待结算",IF(Q161="红","黑",IF(Q161="半红","半黑",IF(Q161="走","走",IF(Q161="半黑","半红","红"))))))</f>
        <v/>
      </c>
      <c r="V161" s="48">
        <f>IF(OR(U161="",U161="待结算"),"",IF(L161=LEFT(F161,FIND(" vs ",F161)-1),I161,G161))</f>
        <v/>
      </c>
      <c r="W161" s="48">
        <f>IF(OR(U161="",U161="待结算"),"",IF(U161="红",V161,IF(U161="半红",V161*0.5,IF(U161="走",0,IF(U161="半黑",-0.5,-1)))))</f>
        <v/>
      </c>
      <c r="X161" s="14" t="inlineStr">
        <is>
          <t>2956839</t>
        </is>
      </c>
      <c r="Y161" s="14" t="inlineStr">
        <is>
          <t>V4</t>
        </is>
      </c>
      <c r="Z161" s="14" t="inlineStr">
        <is>
          <t>prior-2026-10-04-v1</t>
        </is>
      </c>
      <c r="AA161" s="14" t="inlineStr">
        <is>
          <t>A</t>
        </is>
      </c>
      <c r="AB161" s="14" t="n">
        <v>0.8210643835719333</v>
      </c>
      <c r="AC161" s="14" t="n">
        <v>0</v>
      </c>
      <c r="AD161" s="14" t="n">
        <v>0</v>
      </c>
      <c r="AE161" s="14" t="n">
        <v>0</v>
      </c>
      <c r="AF161" s="14" t="n">
        <v>0.1789356164280666</v>
      </c>
      <c r="AG161" s="14" t="n">
        <v>0.60107554796527</v>
      </c>
      <c r="AH161" s="14" t="n"/>
      <c r="AI161" s="14" t="n"/>
      <c r="AJ161" s="14" t="n">
        <v>0.60107554796527</v>
      </c>
      <c r="AK161" s="14" t="n"/>
      <c r="AL161" s="14" t="n"/>
      <c r="AM161" s="14" t="n"/>
      <c r="AN161" s="14" t="inlineStr">
        <is>
          <t>FROZEN_PREMATCH_DECISION</t>
        </is>
      </c>
      <c r="AO161" s="14" t="inlineStr">
        <is>
          <t>STARTED_DECISION_LOCKED</t>
        </is>
      </c>
      <c r="AP161" s="14" t="inlineStr">
        <is>
          <t>fcf79bd2c82cda049270</t>
        </is>
      </c>
      <c r="AQ161" s="14" t="n">
        <v>0.5</v>
      </c>
      <c r="AR161" s="14" t="n">
        <v>0.95</v>
      </c>
      <c r="AS161" s="14" t="n">
        <v>-0.5</v>
      </c>
      <c r="AT161" s="14" t="n">
        <v>0.5</v>
      </c>
      <c r="AU161" s="14" t="n">
        <v>0.8100000000000001</v>
      </c>
      <c r="AV161" s="14" t="n">
        <v>0.95</v>
      </c>
      <c r="AW161" s="14" t="inlineStr">
        <is>
          <t>2026-10-04T09:58:08.993953+08:00</t>
        </is>
      </c>
      <c r="AX161" s="14" t="inlineStr">
        <is>
          <t>Titan007 snapshot</t>
        </is>
      </c>
      <c r="AY161" s="14" t="inlineStr">
        <is>
          <t>V4 Shadow Only；real_money=false；新增冻结记录</t>
        </is>
      </c>
    </row>
    <row r="162" ht="22" customHeight="1" s="39">
      <c r="A162" s="14" t="inlineStr">
        <is>
          <t>2026-10-04</t>
        </is>
      </c>
      <c r="B162" s="14" t="inlineStr">
        <is>
          <t>2026-10-04 12:00:00</t>
        </is>
      </c>
      <c r="C162" s="14" t="inlineStr">
        <is>
          <t>CLUB_LEAGUE</t>
        </is>
      </c>
      <c r="D162" s="14" t="inlineStr">
        <is>
          <t>联赛</t>
        </is>
      </c>
      <c r="E162" s="14" t="inlineStr">
        <is>
          <t>日职女甲</t>
        </is>
      </c>
      <c r="F162" s="14" t="inlineStr">
        <is>
          <t>伊贺FC女足 vs 播磨阿尔比恩女足</t>
        </is>
      </c>
      <c r="G162" s="26" t="n">
        <v>0.82</v>
      </c>
      <c r="H162" s="26" t="n">
        <v>-0.75</v>
      </c>
      <c r="I162" s="26" t="n">
        <v>0.9399999999999999</v>
      </c>
      <c r="J162" s="26" t="inlineStr">
        <is>
          <t>0.82/-0.75/0.94</t>
        </is>
      </c>
      <c r="K162" s="14" t="inlineStr">
        <is>
          <t>V4-C｜EV 0.06530016782886633</t>
        </is>
      </c>
      <c r="L162" s="14" t="inlineStr">
        <is>
          <t>伊贺FC女足</t>
        </is>
      </c>
      <c r="M162" s="47" t="n">
        <v>0.5147440028265376</v>
      </c>
      <c r="N162" s="14" t="inlineStr">
        <is>
          <t>V4纸面入选-C</t>
        </is>
      </c>
      <c r="O162" s="14" t="inlineStr">
        <is>
          <t>3-1</t>
        </is>
      </c>
      <c r="P162" s="14" t="inlineStr">
        <is>
          <t>已结算</t>
        </is>
      </c>
      <c r="Q162" s="14" t="inlineStr">
        <is>
          <t>红</t>
        </is>
      </c>
      <c r="R162" s="48" t="n">
        <v>0.82</v>
      </c>
      <c r="S162" s="48" t="n">
        <v>0.41</v>
      </c>
      <c r="T162" s="14" t="inlineStr">
        <is>
          <t>D:\codex\v3_legacy\outputs\football_odds_trader\raw\titan007\20261004\20261004_135431_titan007_odds_snapshot.csv</t>
        </is>
      </c>
      <c r="U162" s="14">
        <f>IF(Q162="","",IF(Q162="待结算","待结算",IF(Q162="红","黑",IF(Q162="半红","半黑",IF(Q162="走","走",IF(Q162="半黑","半红","红"))))))</f>
        <v/>
      </c>
      <c r="V162" s="48">
        <f>IF(OR(U162="",U162="待结算"),"",IF(L162=LEFT(F162,FIND(" vs ",F162)-1),I162,G162))</f>
        <v/>
      </c>
      <c r="W162" s="48">
        <f>IF(OR(U162="",U162="待结算"),"",IF(U162="红",V162,IF(U162="半红",V162*0.5,IF(U162="走",0,IF(U162="半黑",-0.5,-1)))))</f>
        <v/>
      </c>
      <c r="X162" s="14" t="inlineStr">
        <is>
          <t>2956840</t>
        </is>
      </c>
      <c r="Y162" s="14" t="inlineStr">
        <is>
          <t>V4</t>
        </is>
      </c>
      <c r="Z162" s="14" t="inlineStr">
        <is>
          <t>prior-2026-10-04-v1</t>
        </is>
      </c>
      <c r="AA162" s="14" t="inlineStr">
        <is>
          <t>C</t>
        </is>
      </c>
      <c r="AB162" s="14" t="n">
        <v>0.3862779201419697</v>
      </c>
      <c r="AC162" s="14" t="n">
        <v>0.2569321653691358</v>
      </c>
      <c r="AD162" s="14" t="n">
        <v>0</v>
      </c>
      <c r="AE162" s="14" t="n">
        <v>0</v>
      </c>
      <c r="AF162" s="14" t="n">
        <v>0.3567899144888945</v>
      </c>
      <c r="AG162" s="14" t="n">
        <v>0.06530016782886633</v>
      </c>
      <c r="AH162" s="14" t="n"/>
      <c r="AI162" s="14" t="n"/>
      <c r="AJ162" s="14" t="n">
        <v>0.06530016782886633</v>
      </c>
      <c r="AK162" s="14" t="n"/>
      <c r="AL162" s="14" t="n"/>
      <c r="AM162" s="14" t="n"/>
      <c r="AN162" s="14" t="inlineStr">
        <is>
          <t>FROZEN_PREMATCH_DECISION</t>
        </is>
      </c>
      <c r="AO162" s="14" t="inlineStr">
        <is>
          <t>STARTED_DECISION_LOCKED</t>
        </is>
      </c>
      <c r="AP162" s="14" t="inlineStr">
        <is>
          <t>e11016d77b727b5054f9</t>
        </is>
      </c>
      <c r="AQ162" s="14" t="n">
        <v>-0.75</v>
      </c>
      <c r="AR162" s="14" t="n">
        <v>0.82</v>
      </c>
      <c r="AS162" s="14" t="n">
        <v>-0.75</v>
      </c>
      <c r="AT162" s="14" t="n">
        <v>0.75</v>
      </c>
      <c r="AU162" s="14" t="n">
        <v>0.82</v>
      </c>
      <c r="AV162" s="14" t="n">
        <v>0.9399999999999999</v>
      </c>
      <c r="AW162" s="14" t="inlineStr">
        <is>
          <t>2026-10-04T09:58:08.993953+08:00</t>
        </is>
      </c>
      <c r="AX162" s="14" t="inlineStr">
        <is>
          <t>Titan007 snapshot</t>
        </is>
      </c>
      <c r="AY162" s="14" t="inlineStr">
        <is>
          <t>V4 Shadow Only；real_money=false；新增冻结记录</t>
        </is>
      </c>
    </row>
    <row r="163" ht="22" customHeight="1" s="39">
      <c r="A163" s="14" t="inlineStr">
        <is>
          <t>2026-10-04</t>
        </is>
      </c>
      <c r="B163" s="14" t="inlineStr">
        <is>
          <t>2026-10-04 12:00:00</t>
        </is>
      </c>
      <c r="C163" s="14" t="inlineStr">
        <is>
          <t>CLUB_LEAGUE</t>
        </is>
      </c>
      <c r="D163" s="14" t="inlineStr">
        <is>
          <t>联赛</t>
        </is>
      </c>
      <c r="E163" s="14" t="inlineStr">
        <is>
          <t>日职女甲</t>
        </is>
      </c>
      <c r="F163" s="14" t="inlineStr">
        <is>
          <t>汤乡贝勒女足 vs 静冈产大女足</t>
        </is>
      </c>
      <c r="G163" s="26" t="n">
        <v>0.92</v>
      </c>
      <c r="H163" s="26" t="n">
        <v>1</v>
      </c>
      <c r="I163" s="26" t="n">
        <v>0.84</v>
      </c>
      <c r="J163" s="26" t="inlineStr">
        <is>
          <t>0.92/1.0/0.84</t>
        </is>
      </c>
      <c r="K163" s="14" t="inlineStr">
        <is>
          <t>V4-A｜EV 0.8283161854012254</t>
        </is>
      </c>
      <c r="L163" s="14" t="inlineStr">
        <is>
          <t>汤乡贝勒女足</t>
        </is>
      </c>
      <c r="M163" s="47" t="n">
        <v>0.9191118337695514</v>
      </c>
      <c r="N163" s="14" t="inlineStr">
        <is>
          <t>V4纸面入选-A</t>
        </is>
      </c>
      <c r="O163" s="14" t="inlineStr">
        <is>
          <t>1-1</t>
        </is>
      </c>
      <c r="P163" s="14" t="inlineStr">
        <is>
          <t>已结算</t>
        </is>
      </c>
      <c r="Q163" s="14" t="inlineStr">
        <is>
          <t>红</t>
        </is>
      </c>
      <c r="R163" s="48" t="n">
        <v>0.92</v>
      </c>
      <c r="S163" s="48" t="n">
        <v>0.46</v>
      </c>
      <c r="T163" s="14" t="inlineStr">
        <is>
          <t>D:\codex\v3_legacy\outputs\football_odds_trader\raw\titan007\20261004\20261004_135431_titan007_odds_snapshot.csv</t>
        </is>
      </c>
      <c r="U163" s="14">
        <f>IF(Q163="","",IF(Q163="待结算","待结算",IF(Q163="红","黑",IF(Q163="半红","半黑",IF(Q163="走","走",IF(Q163="半黑","半红","红"))))))</f>
        <v/>
      </c>
      <c r="V163" s="48">
        <f>IF(OR(U163="",U163="待结算"),"",IF(L163=LEFT(F163,FIND(" vs ",F163)-1),I163,G163))</f>
        <v/>
      </c>
      <c r="W163" s="48">
        <f>IF(OR(U163="",U163="待结算"),"",IF(U163="红",V163,IF(U163="半红",V163*0.5,IF(U163="走",0,IF(U163="半黑",-0.5,-1)))))</f>
        <v/>
      </c>
      <c r="X163" s="14" t="inlineStr">
        <is>
          <t>2956841</t>
        </is>
      </c>
      <c r="Y163" s="14" t="inlineStr">
        <is>
          <t>V4</t>
        </is>
      </c>
      <c r="Z163" s="14" t="inlineStr">
        <is>
          <t>prior-2026-10-04-v1</t>
        </is>
      </c>
      <c r="AA163" s="14" t="inlineStr">
        <is>
          <t>A</t>
        </is>
      </c>
      <c r="AB163" s="14" t="n">
        <v>0.9191118337695514</v>
      </c>
      <c r="AC163" s="14" t="n">
        <v>0</v>
      </c>
      <c r="AD163" s="14" t="n">
        <v>0.06362146456368671</v>
      </c>
      <c r="AE163" s="14" t="n">
        <v>0</v>
      </c>
      <c r="AF163" s="14" t="n">
        <v>0.01726670166676189</v>
      </c>
      <c r="AG163" s="14" t="n">
        <v>0.8283161854012254</v>
      </c>
      <c r="AH163" s="14" t="n"/>
      <c r="AI163" s="14" t="n"/>
      <c r="AJ163" s="14" t="n">
        <v>0.8283161854012254</v>
      </c>
      <c r="AK163" s="14" t="n"/>
      <c r="AL163" s="14" t="n"/>
      <c r="AM163" s="14" t="n"/>
      <c r="AN163" s="14" t="inlineStr">
        <is>
          <t>FROZEN_PREMATCH_DECISION</t>
        </is>
      </c>
      <c r="AO163" s="14" t="inlineStr">
        <is>
          <t>STARTED_DECISION_LOCKED</t>
        </is>
      </c>
      <c r="AP163" s="14" t="inlineStr">
        <is>
          <t>38edc63a731aa06729dc</t>
        </is>
      </c>
      <c r="AQ163" s="14" t="n">
        <v>1</v>
      </c>
      <c r="AR163" s="14" t="n">
        <v>0.92</v>
      </c>
      <c r="AS163" s="14" t="n">
        <v>-1</v>
      </c>
      <c r="AT163" s="14" t="n">
        <v>1</v>
      </c>
      <c r="AU163" s="14" t="n">
        <v>0.84</v>
      </c>
      <c r="AV163" s="14" t="n">
        <v>0.92</v>
      </c>
      <c r="AW163" s="14" t="inlineStr">
        <is>
          <t>2026-10-04T09:58:08.993953+08:00</t>
        </is>
      </c>
      <c r="AX163" s="14" t="inlineStr">
        <is>
          <t>Titan007 snapshot</t>
        </is>
      </c>
      <c r="AY163" s="14" t="inlineStr">
        <is>
          <t>V4 Shadow Only；real_money=false；新增冻结记录</t>
        </is>
      </c>
    </row>
    <row r="164" ht="22" customHeight="1" s="39">
      <c r="A164" s="14" t="inlineStr">
        <is>
          <t>2026-10-04</t>
        </is>
      </c>
      <c r="B164" s="14" t="inlineStr">
        <is>
          <t>2026-10-04 12:00:00</t>
        </is>
      </c>
      <c r="C164" s="14" t="inlineStr">
        <is>
          <t>CLUB_LEAGUE</t>
        </is>
      </c>
      <c r="D164" s="14" t="inlineStr">
        <is>
          <t>联赛</t>
        </is>
      </c>
      <c r="E164" s="14" t="inlineStr">
        <is>
          <t>日职女乙</t>
        </is>
      </c>
      <c r="F164" s="14" t="inlineStr">
        <is>
          <t>威蒂恩三重女足 vs 冈马白星女足</t>
        </is>
      </c>
      <c r="G164" s="26" t="n">
        <v>0.76</v>
      </c>
      <c r="H164" s="26" t="n">
        <v>0.25</v>
      </c>
      <c r="I164" s="26" t="n">
        <v>0.9399999999999999</v>
      </c>
      <c r="J164" s="26" t="inlineStr">
        <is>
          <t>0.76/0.25/0.94</t>
        </is>
      </c>
      <c r="K164" s="14" t="inlineStr">
        <is>
          <t>V4-A｜EV 0.12857161395754102</t>
        </is>
      </c>
      <c r="L164" s="14" t="inlineStr">
        <is>
          <t>威蒂恩三重女足</t>
        </is>
      </c>
      <c r="M164" s="47" t="n">
        <v>0.5667306172007269</v>
      </c>
      <c r="N164" s="14" t="inlineStr">
        <is>
          <t>V4纸面入选-A</t>
        </is>
      </c>
      <c r="O164" s="14" t="inlineStr">
        <is>
          <t>2-1</t>
        </is>
      </c>
      <c r="P164" s="14" t="inlineStr">
        <is>
          <t>已结算</t>
        </is>
      </c>
      <c r="Q164" s="14" t="inlineStr">
        <is>
          <t>红</t>
        </is>
      </c>
      <c r="R164" s="48" t="n">
        <v>0.76</v>
      </c>
      <c r="S164" s="48" t="n">
        <v>0.38</v>
      </c>
      <c r="T164" s="14" t="inlineStr">
        <is>
          <t>D:\codex\v3_legacy\outputs\football_odds_trader\raw\titan007\20261004\20261004_135431_titan007_odds_snapshot.csv</t>
        </is>
      </c>
      <c r="U164" s="14">
        <f>IF(Q164="","",IF(Q164="待结算","待结算",IF(Q164="红","黑",IF(Q164="半红","半黑",IF(Q164="走","走",IF(Q164="半黑","半红","红"))))))</f>
        <v/>
      </c>
      <c r="V164" s="48">
        <f>IF(OR(U164="",U164="待结算"),"",IF(L164=LEFT(F164,FIND(" vs ",F164)-1),I164,G164))</f>
        <v/>
      </c>
      <c r="W164" s="48">
        <f>IF(OR(U164="",U164="待结算"),"",IF(U164="红",V164,IF(U164="半红",V164*0.5,IF(U164="走",0,IF(U164="半黑",-0.5,-1)))))</f>
        <v/>
      </c>
      <c r="X164" s="14" t="inlineStr">
        <is>
          <t>2990283</t>
        </is>
      </c>
      <c r="Y164" s="14" t="inlineStr">
        <is>
          <t>V4</t>
        </is>
      </c>
      <c r="Z164" s="14" t="inlineStr">
        <is>
          <t>prior-2026-10-04-v1</t>
        </is>
      </c>
      <c r="AA164" s="14" t="inlineStr">
        <is>
          <t>A</t>
        </is>
      </c>
      <c r="AB164" s="14" t="n">
        <v>0.4356048895164652</v>
      </c>
      <c r="AC164" s="14" t="n">
        <v>0.2622514553685234</v>
      </c>
      <c r="AD164" s="14" t="n">
        <v>0</v>
      </c>
      <c r="AE164" s="14" t="n">
        <v>0</v>
      </c>
      <c r="AF164" s="14" t="n">
        <v>0.3021436551150114</v>
      </c>
      <c r="AG164" s="14" t="n">
        <v>0.128571613957541</v>
      </c>
      <c r="AH164" s="14" t="n"/>
      <c r="AI164" s="14" t="n"/>
      <c r="AJ164" s="14" t="n">
        <v>0.128571613957541</v>
      </c>
      <c r="AK164" s="14" t="n"/>
      <c r="AL164" s="14" t="n"/>
      <c r="AM164" s="14" t="n"/>
      <c r="AN164" s="14" t="inlineStr">
        <is>
          <t>FROZEN_PREMATCH_DECISION</t>
        </is>
      </c>
      <c r="AO164" s="14" t="inlineStr">
        <is>
          <t>STARTED_DECISION_LOCKED</t>
        </is>
      </c>
      <c r="AP164" s="14" t="inlineStr">
        <is>
          <t>461fcf4fec191f8d9407</t>
        </is>
      </c>
      <c r="AQ164" s="14" t="n">
        <v>0.25</v>
      </c>
      <c r="AR164" s="14" t="n">
        <v>0.76</v>
      </c>
      <c r="AS164" s="14" t="n">
        <v>-0.25</v>
      </c>
      <c r="AT164" s="14" t="n">
        <v>0.25</v>
      </c>
      <c r="AU164" s="14" t="n">
        <v>0.9399999999999999</v>
      </c>
      <c r="AV164" s="14" t="n">
        <v>0.76</v>
      </c>
      <c r="AW164" s="14" t="inlineStr">
        <is>
          <t>2026-10-04T09:58:08.993953+08:00</t>
        </is>
      </c>
      <c r="AX164" s="14" t="inlineStr">
        <is>
          <t>Titan007 snapshot</t>
        </is>
      </c>
      <c r="AY164" s="14" t="inlineStr">
        <is>
          <t>V4 Shadow Only；real_money=false；新增冻结记录</t>
        </is>
      </c>
    </row>
    <row r="165" ht="22" customHeight="1" s="39">
      <c r="A165" s="14" t="inlineStr">
        <is>
          <t>2026-10-04</t>
        </is>
      </c>
      <c r="B165" s="14" t="inlineStr">
        <is>
          <t>2026-10-04 12:00:00</t>
        </is>
      </c>
      <c r="C165" s="14" t="inlineStr">
        <is>
          <t>CLUB_LEAGUE</t>
        </is>
      </c>
      <c r="D165" s="14" t="inlineStr">
        <is>
          <t>联赛</t>
        </is>
      </c>
      <c r="E165" s="14" t="inlineStr">
        <is>
          <t>日职女乙</t>
        </is>
      </c>
      <c r="F165" s="14" t="inlineStr">
        <is>
          <t>吉备国际大学女足 vs 大和西芙德女足</t>
        </is>
      </c>
      <c r="G165" s="26" t="n">
        <v>0.71</v>
      </c>
      <c r="H165" s="26" t="n">
        <v>-1</v>
      </c>
      <c r="I165" s="26" t="n">
        <v>0.99</v>
      </c>
      <c r="J165" s="26" t="inlineStr">
        <is>
          <t>0.71/-1.0/0.99</t>
        </is>
      </c>
      <c r="K165" s="14" t="inlineStr">
        <is>
          <t>V4-A｜EV 0.1555955402058228</t>
        </is>
      </c>
      <c r="L165" s="14" t="inlineStr">
        <is>
          <t>吉备国际大学女足</t>
        </is>
      </c>
      <c r="M165" s="47" t="n">
        <v>0.5316635863789182</v>
      </c>
      <c r="N165" s="14" t="inlineStr">
        <is>
          <t>V4纸面入选-A</t>
        </is>
      </c>
      <c r="O165" s="14" t="inlineStr">
        <is>
          <t>2-0</t>
        </is>
      </c>
      <c r="P165" s="14" t="inlineStr">
        <is>
          <t>已结算</t>
        </is>
      </c>
      <c r="Q165" s="14" t="inlineStr">
        <is>
          <t>红</t>
        </is>
      </c>
      <c r="R165" s="48" t="n">
        <v>0.71</v>
      </c>
      <c r="S165" s="48" t="n">
        <v>0.355</v>
      </c>
      <c r="T165" s="14" t="inlineStr">
        <is>
          <t>D:\codex\v3_legacy\outputs\football_odds_trader\raw\titan007\20261004\20261004_135431_titan007_odds_snapshot.csv</t>
        </is>
      </c>
      <c r="U165" s="14">
        <f>IF(Q165="","",IF(Q165="待结算","待结算",IF(Q165="红","黑",IF(Q165="半红","半黑",IF(Q165="走","走",IF(Q165="半黑","半红","红"))))))</f>
        <v/>
      </c>
      <c r="V165" s="48">
        <f>IF(OR(U165="",U165="待结算"),"",IF(L165=LEFT(F165,FIND(" vs ",F165)-1),I165,G165))</f>
        <v/>
      </c>
      <c r="W165" s="48">
        <f>IF(OR(U165="",U165="待结算"),"",IF(U165="红",V165,IF(U165="半红",V165*0.5,IF(U165="走",0,IF(U165="半黑",-0.5,-1)))))</f>
        <v/>
      </c>
      <c r="X165" s="14" t="inlineStr">
        <is>
          <t>2990284</t>
        </is>
      </c>
      <c r="Y165" s="14" t="inlineStr">
        <is>
          <t>V4</t>
        </is>
      </c>
      <c r="Z165" s="14" t="inlineStr">
        <is>
          <t>prior-2026-10-04-v1</t>
        </is>
      </c>
      <c r="AA165" s="14" t="inlineStr">
        <is>
          <t>A</t>
        </is>
      </c>
      <c r="AB165" s="14" t="n">
        <v>0.5316635863789182</v>
      </c>
      <c r="AC165" s="14" t="n">
        <v>0</v>
      </c>
      <c r="AD165" s="14" t="n">
        <v>0.2464508074978727</v>
      </c>
      <c r="AE165" s="14" t="n">
        <v>0</v>
      </c>
      <c r="AF165" s="14" t="n">
        <v>0.2218856061232091</v>
      </c>
      <c r="AG165" s="14" t="n">
        <v>0.1555955402058228</v>
      </c>
      <c r="AH165" s="14" t="n"/>
      <c r="AI165" s="14" t="n"/>
      <c r="AJ165" s="14" t="n">
        <v>0.1555955402058228</v>
      </c>
      <c r="AK165" s="14" t="n"/>
      <c r="AL165" s="14" t="n"/>
      <c r="AM165" s="14" t="n"/>
      <c r="AN165" s="14" t="inlineStr">
        <is>
          <t>FROZEN_PREMATCH_DECISION</t>
        </is>
      </c>
      <c r="AO165" s="14" t="inlineStr">
        <is>
          <t>STARTED_DECISION_LOCKED</t>
        </is>
      </c>
      <c r="AP165" s="14" t="inlineStr">
        <is>
          <t>68dbabc74d6fc1922984</t>
        </is>
      </c>
      <c r="AQ165" s="14" t="n">
        <v>-1</v>
      </c>
      <c r="AR165" s="14" t="n">
        <v>0.71</v>
      </c>
      <c r="AS165" s="14" t="n">
        <v>-1</v>
      </c>
      <c r="AT165" s="14" t="n">
        <v>1</v>
      </c>
      <c r="AU165" s="14" t="n">
        <v>0.71</v>
      </c>
      <c r="AV165" s="14" t="n">
        <v>0.99</v>
      </c>
      <c r="AW165" s="14" t="inlineStr">
        <is>
          <t>2026-10-04T09:58:08.993953+08:00</t>
        </is>
      </c>
      <c r="AX165" s="14" t="inlineStr">
        <is>
          <t>Titan007 snapshot</t>
        </is>
      </c>
      <c r="AY165" s="14" t="inlineStr">
        <is>
          <t>V4 Shadow Only；real_money=false；新增冻结记录</t>
        </is>
      </c>
    </row>
    <row r="166" ht="22" customHeight="1" s="39">
      <c r="A166" s="14" t="inlineStr">
        <is>
          <t>2026-10-04</t>
        </is>
      </c>
      <c r="B166" s="14" t="inlineStr">
        <is>
          <t>2026-10-04 12:00:00</t>
        </is>
      </c>
      <c r="C166" s="14" t="inlineStr">
        <is>
          <t>CLUB_CUP</t>
        </is>
      </c>
      <c r="D166" s="14" t="inlineStr">
        <is>
          <t>杯赛</t>
        </is>
      </c>
      <c r="E166" s="14" t="inlineStr">
        <is>
          <t>女日联杯</t>
        </is>
      </c>
      <c r="F166" s="14" t="inlineStr">
        <is>
          <t>伊分埼玉女足 vs 千叶市原女足</t>
        </is>
      </c>
      <c r="G166" s="26" t="n">
        <v>0.8</v>
      </c>
      <c r="H166" s="26" t="n">
        <v>0.25</v>
      </c>
      <c r="I166" s="26" t="n">
        <v>0.9</v>
      </c>
      <c r="J166" s="26" t="inlineStr">
        <is>
          <t>0.8/0.25/0.9</t>
        </is>
      </c>
      <c r="K166" s="14" t="inlineStr">
        <is>
          <t>V4-C｜EV 0.06407459908468849</t>
        </is>
      </c>
      <c r="L166" s="14" t="inlineStr">
        <is>
          <t>伊分埼玉女足</t>
        </is>
      </c>
      <c r="M166" s="47" t="n">
        <v>0.517607441717892</v>
      </c>
      <c r="N166" s="14" t="inlineStr">
        <is>
          <t>V4纸面入选-C</t>
        </is>
      </c>
      <c r="O166" s="14" t="inlineStr">
        <is>
          <t>2-1</t>
        </is>
      </c>
      <c r="P166" s="14" t="inlineStr">
        <is>
          <t>已结算</t>
        </is>
      </c>
      <c r="Q166" s="14" t="inlineStr">
        <is>
          <t>红</t>
        </is>
      </c>
      <c r="R166" s="48" t="n">
        <v>0.8</v>
      </c>
      <c r="S166" s="48" t="n">
        <v>0.4</v>
      </c>
      <c r="T166" s="14" t="inlineStr">
        <is>
          <t>D:\codex\v3_legacy\outputs\football_odds_trader\raw\titan007\20261004\20261004_135431_titan007_odds_snapshot.csv</t>
        </is>
      </c>
      <c r="U166" s="14">
        <f>IF(Q166="","",IF(Q166="待结算","待结算",IF(Q166="红","黑",IF(Q166="半红","半黑",IF(Q166="走","走",IF(Q166="半黑","半红","红"))))))</f>
        <v/>
      </c>
      <c r="V166" s="48">
        <f>IF(OR(U166="",U166="待结算"),"",IF(L166=LEFT(F166,FIND(" vs ",F166)-1),I166,G166))</f>
        <v/>
      </c>
      <c r="W166" s="48">
        <f>IF(OR(U166="",U166="待结算"),"",IF(U166="红",V166,IF(U166="半红",V166*0.5,IF(U166="走",0,IF(U166="半黑",-0.5,-1)))))</f>
        <v/>
      </c>
      <c r="X166" s="14" t="inlineStr">
        <is>
          <t>3086985</t>
        </is>
      </c>
      <c r="Y166" s="14" t="inlineStr">
        <is>
          <t>V4</t>
        </is>
      </c>
      <c r="Z166" s="14" t="inlineStr">
        <is>
          <t>prior-2026-10-04-v1</t>
        </is>
      </c>
      <c r="AA166" s="14" t="inlineStr">
        <is>
          <t>C</t>
        </is>
      </c>
      <c r="AB166" s="14" t="n">
        <v>0.3852262377254092</v>
      </c>
      <c r="AC166" s="14" t="n">
        <v>0.2647624079849656</v>
      </c>
      <c r="AD166" s="14" t="n">
        <v>0</v>
      </c>
      <c r="AE166" s="14" t="n">
        <v>0</v>
      </c>
      <c r="AF166" s="14" t="n">
        <v>0.3500113542896252</v>
      </c>
      <c r="AG166" s="14" t="n">
        <v>0.06407459908468849</v>
      </c>
      <c r="AH166" s="14" t="n"/>
      <c r="AI166" s="14" t="n"/>
      <c r="AJ166" s="14" t="n">
        <v>0.06407459908468849</v>
      </c>
      <c r="AK166" s="14" t="n"/>
      <c r="AL166" s="14" t="n"/>
      <c r="AM166" s="14" t="n"/>
      <c r="AN166" s="14" t="inlineStr">
        <is>
          <t>FROZEN_PREMATCH_DECISION</t>
        </is>
      </c>
      <c r="AO166" s="14" t="inlineStr">
        <is>
          <t>STARTED_DECISION_LOCKED</t>
        </is>
      </c>
      <c r="AP166" s="14" t="inlineStr">
        <is>
          <t>47c1b9e32a678c25c772</t>
        </is>
      </c>
      <c r="AQ166" s="14" t="n">
        <v>0.25</v>
      </c>
      <c r="AR166" s="14" t="n">
        <v>0.8</v>
      </c>
      <c r="AS166" s="14" t="n">
        <v>-0.25</v>
      </c>
      <c r="AT166" s="14" t="n">
        <v>0.25</v>
      </c>
      <c r="AU166" s="14" t="n">
        <v>0.9</v>
      </c>
      <c r="AV166" s="14" t="n">
        <v>0.8</v>
      </c>
      <c r="AW166" s="14" t="inlineStr">
        <is>
          <t>2026-10-04T09:58:08.993953+08:00</t>
        </is>
      </c>
      <c r="AX166" s="14" t="inlineStr">
        <is>
          <t>Titan007 snapshot</t>
        </is>
      </c>
      <c r="AY166" s="14" t="inlineStr">
        <is>
          <t>V4 Shadow Only；real_money=false；新增冻结记录</t>
        </is>
      </c>
    </row>
    <row r="167" ht="22" customHeight="1" s="39">
      <c r="A167" s="14" t="inlineStr">
        <is>
          <t>2026-10-04</t>
        </is>
      </c>
      <c r="B167" s="14" t="inlineStr">
        <is>
          <t>2026-10-04 13:00:00</t>
        </is>
      </c>
      <c r="C167" s="14" t="inlineStr">
        <is>
          <t>CLUB_LEAGUE</t>
        </is>
      </c>
      <c r="D167" s="14" t="inlineStr">
        <is>
          <t>联赛</t>
        </is>
      </c>
      <c r="E167" s="14" t="inlineStr">
        <is>
          <t>日职乙</t>
        </is>
      </c>
      <c r="F167" s="14" t="inlineStr">
        <is>
          <t>秋田蓝色闪电 vs 鸟栖沙岩</t>
        </is>
      </c>
      <c r="G167" s="26" t="n">
        <v>0.88</v>
      </c>
      <c r="H167" s="26" t="n">
        <v>0.25</v>
      </c>
      <c r="I167" s="26" t="n">
        <v>1</v>
      </c>
      <c r="J167" s="26" t="inlineStr">
        <is>
          <t>0.88/0.25/1.0</t>
        </is>
      </c>
      <c r="K167" s="14" t="inlineStr">
        <is>
          <t>V4-B｜EV 0.233736377049991</t>
        </is>
      </c>
      <c r="L167" s="14" t="inlineStr">
        <is>
          <t>秋田蓝色闪电</t>
        </is>
      </c>
      <c r="M167" s="47" t="n">
        <v>0.5870490242908344</v>
      </c>
      <c r="N167" s="14" t="inlineStr">
        <is>
          <t>V4纸面入选-B</t>
        </is>
      </c>
      <c r="O167" s="14" t="inlineStr">
        <is>
          <t>1-0</t>
        </is>
      </c>
      <c r="P167" s="14" t="inlineStr">
        <is>
          <t>已结算</t>
        </is>
      </c>
      <c r="Q167" s="14" t="inlineStr">
        <is>
          <t>红</t>
        </is>
      </c>
      <c r="R167" s="48" t="n">
        <v>0.88</v>
      </c>
      <c r="S167" s="48" t="n">
        <v>0</v>
      </c>
      <c r="T167" s="14" t="inlineStr">
        <is>
          <t>D:\codex\v3_legacy\outputs\football_odds_trader\raw\titan007\20261004\20261004_135431_titan007_odds_snapshot.csv</t>
        </is>
      </c>
      <c r="U167" s="14">
        <f>IF(Q167="","",IF(Q167="待结算","待结算",IF(Q167="红","黑",IF(Q167="半红","半黑",IF(Q167="走","走",IF(Q167="半黑","半红","红"))))))</f>
        <v/>
      </c>
      <c r="V167" s="48">
        <f>IF(OR(U167="",U167="待结算"),"",IF(L167=LEFT(F167,FIND(" vs ",F167)-1),I167,G167))</f>
        <v/>
      </c>
      <c r="W167" s="48">
        <f>IF(OR(U167="",U167="待结算"),"",IF(U167="红",V167,IF(U167="半红",V167*0.5,IF(U167="走",0,IF(U167="半黑",-0.5,-1)))))</f>
        <v/>
      </c>
      <c r="X167" s="14" t="inlineStr">
        <is>
          <t>3000094</t>
        </is>
      </c>
      <c r="Y167" s="14" t="inlineStr">
        <is>
          <t>V4</t>
        </is>
      </c>
      <c r="Z167" s="14" t="inlineStr">
        <is>
          <t>prior-2026-10-04-v1</t>
        </is>
      </c>
      <c r="AA167" s="14" t="inlineStr">
        <is>
          <t>B</t>
        </is>
      </c>
      <c r="AB167" s="14" t="n">
        <v>0.4569648129076119</v>
      </c>
      <c r="AC167" s="14" t="n">
        <v>0.2601684227664449</v>
      </c>
      <c r="AD167" s="14" t="n">
        <v>0</v>
      </c>
      <c r="AE167" s="14" t="n">
        <v>0</v>
      </c>
      <c r="AF167" s="14" t="n">
        <v>0.2828667643259432</v>
      </c>
      <c r="AG167" s="14" t="n">
        <v>0.233736377049991</v>
      </c>
      <c r="AH167" s="14" t="n"/>
      <c r="AI167" s="14" t="n"/>
      <c r="AJ167" s="14" t="n">
        <v>0.233736377049991</v>
      </c>
      <c r="AK167" s="14" t="n"/>
      <c r="AL167" s="14" t="n"/>
      <c r="AM167" s="14" t="n"/>
      <c r="AN167" s="14" t="inlineStr">
        <is>
          <t>EVALUATED</t>
        </is>
      </c>
      <c r="AO167" s="14" t="inlineStr">
        <is>
          <t>RECEIVING_VALIDATED_EDGE;BUCKET_PRIOR_ONLY;INTENT_INTERPRETATION_ONLY;FFL_OPTIONAL;EXPERT_MARKET</t>
        </is>
      </c>
      <c r="AP167" s="14" t="inlineStr">
        <is>
          <t>8af93d15dff2c944689b</t>
        </is>
      </c>
      <c r="AQ167" s="14" t="n">
        <v>0.25</v>
      </c>
      <c r="AR167" s="14" t="n">
        <v>0.88</v>
      </c>
      <c r="AS167" s="14" t="n">
        <v>-0.25</v>
      </c>
      <c r="AT167" s="14" t="n">
        <v>0.25</v>
      </c>
      <c r="AU167" s="14" t="n">
        <v>1</v>
      </c>
      <c r="AV167" s="14" t="n">
        <v>0.88</v>
      </c>
      <c r="AW167" s="14" t="inlineStr">
        <is>
          <t>2026-10-04T09:58:08.993953+08:00</t>
        </is>
      </c>
      <c r="AX167" s="14" t="inlineStr">
        <is>
          <t>Titan007 snapshot</t>
        </is>
      </c>
      <c r="AY167" s="14" t="inlineStr">
        <is>
          <t>V4 Shadow Only；real_money=false；新增冻结记录</t>
        </is>
      </c>
    </row>
    <row r="168" ht="22" customHeight="1" s="39">
      <c r="A168" s="14" t="inlineStr">
        <is>
          <t>2026-10-04</t>
        </is>
      </c>
      <c r="B168" s="14" t="inlineStr">
        <is>
          <t>2026-10-04 13:00:00</t>
        </is>
      </c>
      <c r="C168" s="14" t="inlineStr">
        <is>
          <t>CLUB_LEAGUE</t>
        </is>
      </c>
      <c r="D168" s="14" t="inlineStr">
        <is>
          <t>联赛</t>
        </is>
      </c>
      <c r="E168" s="14" t="inlineStr">
        <is>
          <t>日职丙</t>
        </is>
      </c>
      <c r="F168" s="14" t="inlineStr">
        <is>
          <t>赞岐 vs 枥木SC</t>
        </is>
      </c>
      <c r="G168" s="26" t="n">
        <v>0.84</v>
      </c>
      <c r="H168" s="26" t="n">
        <v>0.5</v>
      </c>
      <c r="I168" s="26" t="n">
        <v>0.92</v>
      </c>
      <c r="J168" s="26" t="inlineStr">
        <is>
          <t>0.84/0.5/0.92</t>
        </is>
      </c>
      <c r="K168" s="14" t="inlineStr">
        <is>
          <t>V4-A｜EV 0.350286426194996</t>
        </is>
      </c>
      <c r="L168" s="14" t="inlineStr">
        <is>
          <t>赞岐</t>
        </is>
      </c>
      <c r="M168" s="47" t="n">
        <v>0.7338513185842369</v>
      </c>
      <c r="N168" s="14" t="inlineStr">
        <is>
          <t>V4纸面入选-A</t>
        </is>
      </c>
      <c r="O168" s="14" t="inlineStr">
        <is>
          <t>0-0</t>
        </is>
      </c>
      <c r="P168" s="14" t="inlineStr">
        <is>
          <t>已结算</t>
        </is>
      </c>
      <c r="Q168" s="14" t="inlineStr">
        <is>
          <t>红</t>
        </is>
      </c>
      <c r="R168" s="48" t="n">
        <v>0.84</v>
      </c>
      <c r="S168" s="48" t="n">
        <v>0.42</v>
      </c>
      <c r="T168" s="14" t="inlineStr">
        <is>
          <t>D:\codex\v3_legacy\outputs\football_odds_trader\raw\titan007\20261004\20261004_135431_titan007_odds_snapshot.csv</t>
        </is>
      </c>
      <c r="U168" s="14">
        <f>IF(Q168="","",IF(Q168="待结算","待结算",IF(Q168="红","黑",IF(Q168="半红","半黑",IF(Q168="走","走",IF(Q168="半黑","半红","红"))))))</f>
        <v/>
      </c>
      <c r="V168" s="48">
        <f>IF(OR(U168="",U168="待结算"),"",IF(L168=LEFT(F168,FIND(" vs ",F168)-1),I168,G168))</f>
        <v/>
      </c>
      <c r="W168" s="48">
        <f>IF(OR(U168="",U168="待结算"),"",IF(U168="红",V168,IF(U168="半红",V168*0.5,IF(U168="走",0,IF(U168="半黑",-0.5,-1)))))</f>
        <v/>
      </c>
      <c r="X168" s="14" t="inlineStr">
        <is>
          <t>3001205</t>
        </is>
      </c>
      <c r="Y168" s="14" t="inlineStr">
        <is>
          <t>V4</t>
        </is>
      </c>
      <c r="Z168" s="14" t="inlineStr">
        <is>
          <t>prior-2026-10-04-v1</t>
        </is>
      </c>
      <c r="AA168" s="14" t="inlineStr">
        <is>
          <t>A</t>
        </is>
      </c>
      <c r="AB168" s="14" t="n">
        <v>0.7338513185842369</v>
      </c>
      <c r="AC168" s="14" t="n">
        <v>0</v>
      </c>
      <c r="AD168" s="14" t="n">
        <v>0</v>
      </c>
      <c r="AE168" s="14" t="n">
        <v>0</v>
      </c>
      <c r="AF168" s="14" t="n">
        <v>0.266148681415763</v>
      </c>
      <c r="AG168" s="14" t="n">
        <v>0.350286426194996</v>
      </c>
      <c r="AH168" s="14" t="n"/>
      <c r="AI168" s="14" t="n"/>
      <c r="AJ168" s="14" t="n">
        <v>0.350286426194996</v>
      </c>
      <c r="AK168" s="14" t="n"/>
      <c r="AL168" s="14" t="n"/>
      <c r="AM168" s="14" t="n"/>
      <c r="AN168" s="14" t="inlineStr">
        <is>
          <t>EVALUATED</t>
        </is>
      </c>
      <c r="AO168" s="14" t="inlineStr">
        <is>
          <t>RECEIVING_VALIDATED_EDGE;BUCKET_PRIOR_ONLY;INTENT_INTERPRETATION_ONLY;FFL_OPTIONAL;EXPERT_MARKET</t>
        </is>
      </c>
      <c r="AP168" s="14" t="inlineStr">
        <is>
          <t>3c49dc763958e590a9e9</t>
        </is>
      </c>
      <c r="AQ168" s="14" t="n">
        <v>0.5</v>
      </c>
      <c r="AR168" s="14" t="n">
        <v>0.84</v>
      </c>
      <c r="AS168" s="14" t="n">
        <v>-0.5</v>
      </c>
      <c r="AT168" s="14" t="n">
        <v>0.5</v>
      </c>
      <c r="AU168" s="14" t="n">
        <v>0.92</v>
      </c>
      <c r="AV168" s="14" t="n">
        <v>0.84</v>
      </c>
      <c r="AW168" s="14" t="inlineStr">
        <is>
          <t>2026-10-04T09:58:08.993953+08:00</t>
        </is>
      </c>
      <c r="AX168" s="14" t="inlineStr">
        <is>
          <t>Titan007 snapshot</t>
        </is>
      </c>
      <c r="AY168" s="14" t="inlineStr">
        <is>
          <t>V4 Shadow Only；real_money=false；新增冻结记录</t>
        </is>
      </c>
    </row>
    <row r="169" ht="22" customHeight="1" s="39">
      <c r="A169" s="14" t="inlineStr">
        <is>
          <t>2026-10-04</t>
        </is>
      </c>
      <c r="B169" s="14" t="inlineStr">
        <is>
          <t>2026-10-04 13:00:00</t>
        </is>
      </c>
      <c r="C169" s="14" t="inlineStr">
        <is>
          <t>UNKNOWN</t>
        </is>
      </c>
      <c r="D169" s="14" t="inlineStr">
        <is>
          <t>联赛</t>
        </is>
      </c>
      <c r="E169" s="14" t="inlineStr">
        <is>
          <t>韩K3联</t>
        </is>
      </c>
      <c r="F169" s="14" t="inlineStr">
        <is>
          <t>唐津市民 vs 庆州水利</t>
        </is>
      </c>
      <c r="G169" s="26" t="n">
        <v>0.83</v>
      </c>
      <c r="H169" s="26" t="n">
        <v>0.25</v>
      </c>
      <c r="I169" s="26" t="n">
        <v>0.93</v>
      </c>
      <c r="J169" s="26" t="inlineStr">
        <is>
          <t>0.83/0.25/0.93</t>
        </is>
      </c>
      <c r="K169" s="14" t="inlineStr">
        <is>
          <t>V4-C｜EV 0.22599066739385903</t>
        </is>
      </c>
      <c r="L169" s="14" t="inlineStr">
        <is>
          <t>唐津市民</t>
        </is>
      </c>
      <c r="M169" s="47" t="n">
        <v>0.5999237503839697</v>
      </c>
      <c r="N169" s="14" t="inlineStr">
        <is>
          <t>V4纸面入选-C</t>
        </is>
      </c>
      <c r="O169" s="14" t="inlineStr">
        <is>
          <t>2-3</t>
        </is>
      </c>
      <c r="P169" s="14" t="inlineStr">
        <is>
          <t>已结算</t>
        </is>
      </c>
      <c r="Q169" s="14" t="inlineStr">
        <is>
          <t>黑</t>
        </is>
      </c>
      <c r="R169" s="48" t="n">
        <v>0.83</v>
      </c>
      <c r="S169" s="48" t="n">
        <v>-0.5</v>
      </c>
      <c r="T169" s="14" t="inlineStr">
        <is>
          <t>D:\codex\v3_legacy\outputs\football_odds_trader\raw\titan007\20261004\20261004_135431_titan007_odds_snapshot.csv</t>
        </is>
      </c>
      <c r="U169" s="14">
        <f>IF(Q169="","",IF(Q169="待结算","待结算",IF(Q169="红","黑",IF(Q169="半红","半黑",IF(Q169="走","走",IF(Q169="半黑","半红","红"))))))</f>
        <v/>
      </c>
      <c r="V169" s="48">
        <f>IF(OR(U169="",U169="待结算"),"",IF(L169=LEFT(F169,FIND(" vs ",F169)-1),I169,G169))</f>
        <v/>
      </c>
      <c r="W169" s="48">
        <f>IF(OR(U169="",U169="待结算"),"",IF(U169="红",V169,IF(U169="半红",V169*0.5,IF(U169="走",0,IF(U169="半黑",-0.5,-1)))))</f>
        <v/>
      </c>
      <c r="X169" s="14" t="inlineStr">
        <is>
          <t>2940444</t>
        </is>
      </c>
      <c r="Y169" s="14" t="inlineStr">
        <is>
          <t>V4</t>
        </is>
      </c>
      <c r="Z169" s="14" t="inlineStr">
        <is>
          <t>prior-2026-10-04-v1</t>
        </is>
      </c>
      <c r="AA169" s="14" t="inlineStr">
        <is>
          <t>C</t>
        </is>
      </c>
      <c r="AB169" s="14" t="n">
        <v>0.4717935461927752</v>
      </c>
      <c r="AC169" s="14" t="n">
        <v>0.2562604083823891</v>
      </c>
      <c r="AD169" s="14" t="n">
        <v>0</v>
      </c>
      <c r="AE169" s="14" t="n">
        <v>0</v>
      </c>
      <c r="AF169" s="14" t="n">
        <v>0.2719460454248358</v>
      </c>
      <c r="AG169" s="14" t="n">
        <v>0.225990667393859</v>
      </c>
      <c r="AH169" s="14" t="n"/>
      <c r="AI169" s="14" t="n"/>
      <c r="AJ169" s="14" t="n">
        <v>0.225990667393859</v>
      </c>
      <c r="AK169" s="14" t="n"/>
      <c r="AL169" s="14" t="n"/>
      <c r="AM169" s="14" t="n"/>
      <c r="AN169" s="14" t="inlineStr">
        <is>
          <t>EVALUATED</t>
        </is>
      </c>
      <c r="AO169" s="14" t="inlineStr">
        <is>
          <t>RECEIVING_VALIDATED_EDGE;BUCKET_PRIOR_ONLY;INTENT_INTERPRETATION_ONLY;FFL_OPTIONAL;EXPERT_MARKET</t>
        </is>
      </c>
      <c r="AP169" s="14" t="inlineStr">
        <is>
          <t>8823a111025bc524db9b</t>
        </is>
      </c>
      <c r="AQ169" s="14" t="n">
        <v>0.25</v>
      </c>
      <c r="AR169" s="14" t="n">
        <v>0.83</v>
      </c>
      <c r="AS169" s="14" t="n">
        <v>-0.25</v>
      </c>
      <c r="AT169" s="14" t="n">
        <v>0.25</v>
      </c>
      <c r="AU169" s="14" t="n">
        <v>0.93</v>
      </c>
      <c r="AV169" s="14" t="n">
        <v>0.83</v>
      </c>
      <c r="AW169" s="14" t="inlineStr">
        <is>
          <t>2026-10-04T09:58:08.993953+08:00</t>
        </is>
      </c>
      <c r="AX169" s="14" t="inlineStr">
        <is>
          <t>Titan007 snapshot</t>
        </is>
      </c>
      <c r="AY169" s="14" t="inlineStr">
        <is>
          <t>V4 Shadow Only；real_money=false；新增冻结记录</t>
        </is>
      </c>
    </row>
    <row r="170" ht="22" customHeight="1" s="39">
      <c r="A170" s="14" t="inlineStr">
        <is>
          <t>2026-10-04</t>
        </is>
      </c>
      <c r="B170" s="14" t="inlineStr">
        <is>
          <t>2026-10-04 13:00:00</t>
        </is>
      </c>
      <c r="C170" s="14" t="inlineStr">
        <is>
          <t>UNKNOWN</t>
        </is>
      </c>
      <c r="D170" s="14" t="inlineStr">
        <is>
          <t>联赛</t>
        </is>
      </c>
      <c r="E170" s="14" t="inlineStr">
        <is>
          <t>韩K3联</t>
        </is>
      </c>
      <c r="F170" s="14" t="inlineStr">
        <is>
          <t>木浦市 vs 釜山运输</t>
        </is>
      </c>
      <c r="G170" s="26" t="n">
        <v>0.98</v>
      </c>
      <c r="H170" s="26" t="n">
        <v>0.25</v>
      </c>
      <c r="I170" s="26" t="n">
        <v>0.78</v>
      </c>
      <c r="J170" s="26" t="inlineStr">
        <is>
          <t>0.98/0.25/0.78</t>
        </is>
      </c>
      <c r="K170" s="14" t="inlineStr">
        <is>
          <t>V4-C｜EV 0.32191846189516327</t>
        </is>
      </c>
      <c r="L170" s="14" t="inlineStr">
        <is>
          <t>木浦市</t>
        </is>
      </c>
      <c r="M170" s="47" t="n">
        <v>0.6028677522053572</v>
      </c>
      <c r="N170" s="14" t="inlineStr">
        <is>
          <t>V4纸面入选-C</t>
        </is>
      </c>
      <c r="O170" s="14" t="inlineStr">
        <is>
          <t>3-1</t>
        </is>
      </c>
      <c r="P170" s="14" t="inlineStr">
        <is>
          <t>已结算</t>
        </is>
      </c>
      <c r="Q170" s="14" t="inlineStr">
        <is>
          <t>红</t>
        </is>
      </c>
      <c r="R170" s="48" t="n">
        <v>0.98</v>
      </c>
      <c r="S170" s="48" t="n">
        <v>0.49</v>
      </c>
      <c r="T170" s="14" t="inlineStr">
        <is>
          <t>D:\codex\v3_legacy\outputs\football_odds_trader\raw\titan007\20261004\20261004_135431_titan007_odds_snapshot.csv</t>
        </is>
      </c>
      <c r="U170" s="14">
        <f>IF(Q170="","",IF(Q170="待结算","待结算",IF(Q170="红","黑",IF(Q170="半红","半黑",IF(Q170="走","走",IF(Q170="半黑","半红","红"))))))</f>
        <v/>
      </c>
      <c r="V170" s="48">
        <f>IF(OR(U170="",U170="待结算"),"",IF(L170=LEFT(F170,FIND(" vs ",F170)-1),I170,G170))</f>
        <v/>
      </c>
      <c r="W170" s="48">
        <f>IF(OR(U170="",U170="待结算"),"",IF(U170="红",V170,IF(U170="半红",V170*0.5,IF(U170="走",0,IF(U170="半黑",-0.5,-1)))))</f>
        <v/>
      </c>
      <c r="X170" s="14" t="inlineStr">
        <is>
          <t>2940445</t>
        </is>
      </c>
      <c r="Y170" s="14" t="inlineStr">
        <is>
          <t>V4</t>
        </is>
      </c>
      <c r="Z170" s="14" t="inlineStr">
        <is>
          <t>prior-2026-10-04-v1</t>
        </is>
      </c>
      <c r="AA170" s="14" t="inlineStr">
        <is>
          <t>C</t>
        </is>
      </c>
      <c r="AB170" s="14" t="n">
        <v>0.4746274396768012</v>
      </c>
      <c r="AC170" s="14" t="n">
        <v>0.256480625057112</v>
      </c>
      <c r="AD170" s="14" t="n">
        <v>0</v>
      </c>
      <c r="AE170" s="14" t="n">
        <v>0</v>
      </c>
      <c r="AF170" s="14" t="n">
        <v>0.2688919352660868</v>
      </c>
      <c r="AG170" s="14" t="n">
        <v>0.3219184618951633</v>
      </c>
      <c r="AH170" s="14" t="n"/>
      <c r="AI170" s="14" t="n"/>
      <c r="AJ170" s="14" t="n">
        <v>0.3219184618951633</v>
      </c>
      <c r="AK170" s="14" t="n"/>
      <c r="AL170" s="14" t="n"/>
      <c r="AM170" s="14" t="n"/>
      <c r="AN170" s="14" t="inlineStr">
        <is>
          <t>EVALUATED</t>
        </is>
      </c>
      <c r="AO170" s="14" t="inlineStr">
        <is>
          <t>RECEIVING_VALIDATED_EDGE;BUCKET_PRIOR_ONLY;INTENT_INTERPRETATION_ONLY;FFL_OPTIONAL;EXPERT_MARKET</t>
        </is>
      </c>
      <c r="AP170" s="14" t="inlineStr">
        <is>
          <t>9090ad9139987e3f9974</t>
        </is>
      </c>
      <c r="AQ170" s="14" t="n">
        <v>0.25</v>
      </c>
      <c r="AR170" s="14" t="n">
        <v>0.98</v>
      </c>
      <c r="AS170" s="14" t="n">
        <v>-0.25</v>
      </c>
      <c r="AT170" s="14" t="n">
        <v>0.25</v>
      </c>
      <c r="AU170" s="14" t="n">
        <v>0.78</v>
      </c>
      <c r="AV170" s="14" t="n">
        <v>0.98</v>
      </c>
      <c r="AW170" s="14" t="inlineStr">
        <is>
          <t>2026-10-04T09:58:08.993953+08:00</t>
        </is>
      </c>
      <c r="AX170" s="14" t="inlineStr">
        <is>
          <t>Titan007 snapshot</t>
        </is>
      </c>
      <c r="AY170" s="14" t="inlineStr">
        <is>
          <t>V4 Shadow Only；real_money=false；新增冻结记录</t>
        </is>
      </c>
    </row>
    <row r="171" ht="22" customHeight="1" s="39">
      <c r="A171" s="14" t="inlineStr">
        <is>
          <t>2026-10-04</t>
        </is>
      </c>
      <c r="B171" s="14" t="inlineStr">
        <is>
          <t>2026-10-04 13:00:00</t>
        </is>
      </c>
      <c r="C171" s="14" t="inlineStr">
        <is>
          <t>CLUB_LEAGUE</t>
        </is>
      </c>
      <c r="D171" s="14" t="inlineStr">
        <is>
          <t>联赛</t>
        </is>
      </c>
      <c r="E171" s="14" t="inlineStr">
        <is>
          <t>日职女甲</t>
        </is>
      </c>
      <c r="F171" s="14" t="inlineStr">
        <is>
          <t>世田谷女足 vs 虎鲸鸭川女足</t>
        </is>
      </c>
      <c r="G171" s="26" t="n">
        <v>0.73</v>
      </c>
      <c r="H171" s="26" t="n">
        <v>0.25</v>
      </c>
      <c r="I171" s="26" t="n">
        <v>1.03</v>
      </c>
      <c r="J171" s="26" t="inlineStr">
        <is>
          <t>0.73/0.25/1.03</t>
        </is>
      </c>
      <c r="K171" s="14" t="inlineStr">
        <is>
          <t>V4-B｜EV 0.07940296691272658</t>
        </is>
      </c>
      <c r="L171" s="14" t="inlineStr">
        <is>
          <t>世田谷女足</t>
        </is>
      </c>
      <c r="M171" s="47" t="n">
        <v>0.5478621404155618</v>
      </c>
      <c r="N171" s="14" t="inlineStr">
        <is>
          <t>V4纸面入选-B</t>
        </is>
      </c>
      <c r="O171" s="14" t="inlineStr">
        <is>
          <t>1-1</t>
        </is>
      </c>
      <c r="P171" s="14" t="inlineStr">
        <is>
          <t>已结算</t>
        </is>
      </c>
      <c r="Q171" s="14" t="inlineStr">
        <is>
          <t>半红</t>
        </is>
      </c>
      <c r="R171" s="48" t="n">
        <v>0.73</v>
      </c>
      <c r="S171" s="48" t="n">
        <v>0</v>
      </c>
      <c r="T171" s="14" t="inlineStr">
        <is>
          <t>D:\codex\v3_legacy\outputs\football_odds_trader\raw\titan007\20261004\20261004_135431_titan007_odds_snapshot.csv</t>
        </is>
      </c>
      <c r="U171" s="14">
        <f>IF(Q171="","",IF(Q171="待结算","待结算",IF(Q171="红","黑",IF(Q171="半红","半黑",IF(Q171="走","走",IF(Q171="半黑","半红","红"))))))</f>
        <v/>
      </c>
      <c r="V171" s="48">
        <f>IF(OR(U171="",U171="待结算"),"",IF(L171=LEFT(F171,FIND(" vs ",F171)-1),I171,G171))</f>
        <v/>
      </c>
      <c r="W171" s="48">
        <f>IF(OR(U171="",U171="待结算"),"",IF(U171="红",V171,IF(U171="半红",V171*0.5,IF(U171="走",0,IF(U171="半黑",-0.5,-1)))))</f>
        <v/>
      </c>
      <c r="X171" s="14" t="inlineStr">
        <is>
          <t>2956842</t>
        </is>
      </c>
      <c r="Y171" s="14" t="inlineStr">
        <is>
          <t>V4</t>
        </is>
      </c>
      <c r="Z171" s="14" t="inlineStr">
        <is>
          <t>prior-2026-10-04-v1</t>
        </is>
      </c>
      <c r="AA171" s="14" t="inlineStr">
        <is>
          <t>B</t>
        </is>
      </c>
      <c r="AB171" s="14" t="n">
        <v>0.4162606764217571</v>
      </c>
      <c r="AC171" s="14" t="n">
        <v>0.2632029279876094</v>
      </c>
      <c r="AD171" s="14" t="n">
        <v>0</v>
      </c>
      <c r="AE171" s="14" t="n">
        <v>0</v>
      </c>
      <c r="AF171" s="14" t="n">
        <v>0.3205363955906336</v>
      </c>
      <c r="AG171" s="14" t="n">
        <v>0.07940296691272658</v>
      </c>
      <c r="AH171" s="14" t="n"/>
      <c r="AI171" s="14" t="n"/>
      <c r="AJ171" s="14" t="n">
        <v>0.07940296691272658</v>
      </c>
      <c r="AK171" s="14" t="n"/>
      <c r="AL171" s="14" t="n"/>
      <c r="AM171" s="14" t="n"/>
      <c r="AN171" s="14" t="inlineStr">
        <is>
          <t>EVALUATED</t>
        </is>
      </c>
      <c r="AO171" s="14" t="inlineStr">
        <is>
          <t>RECEIVING_VALIDATED_EDGE;BUCKET_PRIOR_ONLY;INTENT_INTERPRETATION_ONLY;FFL_OPTIONAL;EXPERT_MARKET</t>
        </is>
      </c>
      <c r="AP171" s="14" t="inlineStr">
        <is>
          <t>1055f4a0d6895972c4f8</t>
        </is>
      </c>
      <c r="AQ171" s="14" t="n">
        <v>0.25</v>
      </c>
      <c r="AR171" s="14" t="n">
        <v>0.73</v>
      </c>
      <c r="AS171" s="14" t="n">
        <v>-0.25</v>
      </c>
      <c r="AT171" s="14" t="n">
        <v>0.25</v>
      </c>
      <c r="AU171" s="14" t="n">
        <v>1.03</v>
      </c>
      <c r="AV171" s="14" t="n">
        <v>0.73</v>
      </c>
      <c r="AW171" s="14" t="inlineStr">
        <is>
          <t>2026-10-04T09:58:08.993953+08:00</t>
        </is>
      </c>
      <c r="AX171" s="14" t="inlineStr">
        <is>
          <t>Titan007 snapshot</t>
        </is>
      </c>
      <c r="AY171" s="14" t="inlineStr">
        <is>
          <t>V4 Shadow Only；real_money=false；新增冻结记录</t>
        </is>
      </c>
    </row>
    <row r="172" ht="22" customHeight="1" s="39">
      <c r="A172" s="14" t="inlineStr">
        <is>
          <t>2026-10-04</t>
        </is>
      </c>
      <c r="B172" s="14" t="inlineStr">
        <is>
          <t>2026-10-04 13:00:00</t>
        </is>
      </c>
      <c r="C172" s="14" t="inlineStr">
        <is>
          <t>CLUB_LEAGUE</t>
        </is>
      </c>
      <c r="D172" s="14" t="inlineStr">
        <is>
          <t>联赛</t>
        </is>
      </c>
      <c r="E172" s="14" t="inlineStr">
        <is>
          <t>日职女甲</t>
        </is>
      </c>
      <c r="F172" s="14" t="inlineStr">
        <is>
          <t>横滨海鸥女足 vs VONDS市原女足</t>
        </is>
      </c>
      <c r="G172" s="26" t="n">
        <v>0.86</v>
      </c>
      <c r="H172" s="26" t="n">
        <v>-0.75</v>
      </c>
      <c r="I172" s="26" t="n">
        <v>0.9</v>
      </c>
      <c r="J172" s="26" t="inlineStr">
        <is>
          <t>0.86/-0.75/0.9</t>
        </is>
      </c>
      <c r="K172" s="14" t="inlineStr">
        <is>
          <t>V4-A｜EV 0.14582846210125816</t>
        </is>
      </c>
      <c r="L172" s="14" t="inlineStr">
        <is>
          <t>横滨海鸥女足</t>
        </is>
      </c>
      <c r="M172" s="47" t="n">
        <v>0.5469810826701393</v>
      </c>
      <c r="N172" s="14" t="inlineStr">
        <is>
          <t>V4纸面入选-A</t>
        </is>
      </c>
      <c r="O172" s="14" t="inlineStr">
        <is>
          <t>1-1</t>
        </is>
      </c>
      <c r="P172" s="14" t="inlineStr">
        <is>
          <t>已结算</t>
        </is>
      </c>
      <c r="Q172" s="14" t="inlineStr">
        <is>
          <t>黑</t>
        </is>
      </c>
      <c r="R172" s="48" t="n">
        <v>0.86</v>
      </c>
      <c r="S172" s="48" t="n">
        <v>-0.5</v>
      </c>
      <c r="T172" s="14" t="inlineStr">
        <is>
          <t>D:\codex\v3_legacy\outputs\football_odds_trader\raw\titan007\20261004\20261004_135431_titan007_odds_snapshot.csv</t>
        </is>
      </c>
      <c r="U172" s="14">
        <f>IF(Q172="","",IF(Q172="待结算","待结算",IF(Q172="红","黑",IF(Q172="半红","半黑",IF(Q172="走","走",IF(Q172="半黑","半红","红"))))))</f>
        <v/>
      </c>
      <c r="V172" s="48">
        <f>IF(OR(U172="",U172="待结算"),"",IF(L172=LEFT(F172,FIND(" vs ",F172)-1),I172,G172))</f>
        <v/>
      </c>
      <c r="W172" s="48">
        <f>IF(OR(U172="",U172="待结算"),"",IF(U172="红",V172,IF(U172="半红",V172*0.5,IF(U172="走",0,IF(U172="半黑",-0.5,-1)))))</f>
        <v/>
      </c>
      <c r="X172" s="14" t="inlineStr">
        <is>
          <t>2956843</t>
        </is>
      </c>
      <c r="Y172" s="14" t="inlineStr">
        <is>
          <t>V4</t>
        </is>
      </c>
      <c r="Z172" s="14" t="inlineStr">
        <is>
          <t>prior-2026-10-04-v1</t>
        </is>
      </c>
      <c r="AA172" s="14" t="inlineStr">
        <is>
          <t>A</t>
        </is>
      </c>
      <c r="AB172" s="14" t="n">
        <v>0.4185374343353406</v>
      </c>
      <c r="AC172" s="14" t="n">
        <v>0.2568872966695976</v>
      </c>
      <c r="AD172" s="14" t="n">
        <v>0</v>
      </c>
      <c r="AE172" s="14" t="n">
        <v>0</v>
      </c>
      <c r="AF172" s="14" t="n">
        <v>0.3245752689950617</v>
      </c>
      <c r="AG172" s="14" t="n">
        <v>0.1458284621012582</v>
      </c>
      <c r="AH172" s="14" t="n"/>
      <c r="AI172" s="14" t="n"/>
      <c r="AJ172" s="14" t="n">
        <v>0.1458284621012582</v>
      </c>
      <c r="AK172" s="14" t="n"/>
      <c r="AL172" s="14" t="n"/>
      <c r="AM172" s="14" t="n"/>
      <c r="AN172" s="14" t="inlineStr">
        <is>
          <t>EVALUATED</t>
        </is>
      </c>
      <c r="AO172" s="14" t="inlineStr">
        <is>
          <t>GIVING_VALIDATED_EDGE;BUCKET_PRIOR_ONLY;INTENT_INTERPRETATION_ONLY;FFL_OPTIONAL;EXPERT_MARKET</t>
        </is>
      </c>
      <c r="AP172" s="14" t="inlineStr">
        <is>
          <t>66531d085a1720939bb3</t>
        </is>
      </c>
      <c r="AQ172" s="14" t="n">
        <v>-0.75</v>
      </c>
      <c r="AR172" s="14" t="n">
        <v>0.86</v>
      </c>
      <c r="AS172" s="14" t="n">
        <v>-0.75</v>
      </c>
      <c r="AT172" s="14" t="n">
        <v>0.75</v>
      </c>
      <c r="AU172" s="14" t="n">
        <v>0.86</v>
      </c>
      <c r="AV172" s="14" t="n">
        <v>0.9</v>
      </c>
      <c r="AW172" s="14" t="inlineStr">
        <is>
          <t>2026-10-04T09:58:08.993953+08:00</t>
        </is>
      </c>
      <c r="AX172" s="14" t="inlineStr">
        <is>
          <t>Titan007 snapshot</t>
        </is>
      </c>
      <c r="AY172" s="14" t="inlineStr">
        <is>
          <t>V4 Shadow Only；real_money=false；新增冻结记录</t>
        </is>
      </c>
    </row>
    <row r="173" ht="22" customHeight="1" s="39">
      <c r="A173" s="14" t="inlineStr">
        <is>
          <t>2026-10-04</t>
        </is>
      </c>
      <c r="B173" s="14" t="inlineStr">
        <is>
          <t>2026-10-04 16:00:00</t>
        </is>
      </c>
      <c r="C173" s="14" t="inlineStr">
        <is>
          <t>CLUB_CUP</t>
        </is>
      </c>
      <c r="D173" s="14" t="inlineStr">
        <is>
          <t>杯赛</t>
        </is>
      </c>
      <c r="E173" s="14" t="inlineStr">
        <is>
          <t>港联杯</t>
        </is>
      </c>
      <c r="F173" s="14" t="inlineStr">
        <is>
          <t>九龙城 vs 东区</t>
        </is>
      </c>
      <c r="G173" s="26" t="n">
        <v>0.86</v>
      </c>
      <c r="H173" s="26" t="n">
        <v>0.25</v>
      </c>
      <c r="I173" s="26" t="n">
        <v>0.84</v>
      </c>
      <c r="J173" s="26" t="inlineStr">
        <is>
          <t>0.86/0.25/0.84</t>
        </is>
      </c>
      <c r="K173" s="14" t="inlineStr">
        <is>
          <t>V4-B｜EV 0.09696112911773652</t>
        </is>
      </c>
      <c r="L173" s="14" t="inlineStr">
        <is>
          <t>九龙城</t>
        </is>
      </c>
      <c r="M173" s="47" t="n">
        <v>0.5193652440203154</v>
      </c>
      <c r="N173" s="14" t="inlineStr">
        <is>
          <t>V4纸面入选-B</t>
        </is>
      </c>
      <c r="O173" s="14" t="inlineStr">
        <is>
          <t>1-2</t>
        </is>
      </c>
      <c r="P173" s="14" t="inlineStr">
        <is>
          <t>已结算</t>
        </is>
      </c>
      <c r="Q173" s="14" t="inlineStr">
        <is>
          <t>黑</t>
        </is>
      </c>
      <c r="R173" s="48" t="n">
        <v>0.86</v>
      </c>
      <c r="S173" s="48" t="n">
        <v>0</v>
      </c>
      <c r="T173" s="14" t="inlineStr">
        <is>
          <t>D:\codex\v3_legacy\outputs\football_odds_trader\raw\titan007\20261004\20261004_135431_titan007_odds_snapshot.csv</t>
        </is>
      </c>
      <c r="U173" s="14">
        <f>IF(Q173="","",IF(Q173="待结算","待结算",IF(Q173="红","黑",IF(Q173="半红","半黑",IF(Q173="走","走",IF(Q173="半黑","半红","红"))))))</f>
        <v/>
      </c>
      <c r="V173" s="48">
        <f>IF(OR(U173="",U173="待结算"),"",IF(L173=LEFT(F173,FIND(" vs ",F173)-1),I173,G173))</f>
        <v/>
      </c>
      <c r="W173" s="48">
        <f>IF(OR(U173="",U173="待结算"),"",IF(U173="红",V173,IF(U173="半红",V173*0.5,IF(U173="走",0,IF(U173="半黑",-0.5,-1)))))</f>
        <v/>
      </c>
      <c r="X173" s="14" t="inlineStr">
        <is>
          <t>3084341</t>
        </is>
      </c>
      <c r="Y173" s="14" t="inlineStr">
        <is>
          <t>V4</t>
        </is>
      </c>
      <c r="Z173" s="14" t="inlineStr">
        <is>
          <t>prior-2026-10-04-v1</t>
        </is>
      </c>
      <c r="AA173" s="14" t="inlineStr">
        <is>
          <t>B</t>
        </is>
      </c>
      <c r="AB173" s="14" t="n">
        <v>0.3884234687803654</v>
      </c>
      <c r="AC173" s="14" t="n">
        <v>0.2618835504798999</v>
      </c>
      <c r="AD173" s="14" t="n">
        <v>0</v>
      </c>
      <c r="AE173" s="14" t="n">
        <v>0</v>
      </c>
      <c r="AF173" s="14" t="n">
        <v>0.3496929807397347</v>
      </c>
      <c r="AG173" s="14" t="n">
        <v>0.09696112911773652</v>
      </c>
      <c r="AH173" s="14" t="n"/>
      <c r="AI173" s="14" t="n"/>
      <c r="AJ173" s="14" t="n">
        <v>0.09696112911773652</v>
      </c>
      <c r="AK173" s="14" t="n"/>
      <c r="AL173" s="14" t="n"/>
      <c r="AM173" s="14" t="n"/>
      <c r="AN173" s="14" t="inlineStr">
        <is>
          <t>EVALUATED</t>
        </is>
      </c>
      <c r="AO173" s="14" t="inlineStr">
        <is>
          <t>RECEIVING_VALIDATED_EDGE;BUCKET_PRIOR_ONLY;INTENT_INTERPRETATION_ONLY;FFL_OPTIONAL;EXPERT_MARKET</t>
        </is>
      </c>
      <c r="AP173" s="14" t="inlineStr">
        <is>
          <t>f25e8b1c94ac35222d1d</t>
        </is>
      </c>
      <c r="AQ173" s="14" t="n">
        <v>0.25</v>
      </c>
      <c r="AR173" s="14" t="n">
        <v>0.86</v>
      </c>
      <c r="AS173" s="14" t="n">
        <v>-0.25</v>
      </c>
      <c r="AT173" s="14" t="n">
        <v>0.25</v>
      </c>
      <c r="AU173" s="14" t="n">
        <v>0.84</v>
      </c>
      <c r="AV173" s="14" t="n">
        <v>0.86</v>
      </c>
      <c r="AW173" s="14" t="inlineStr">
        <is>
          <t>2026-10-04T09:58:08.993953+08:00</t>
        </is>
      </c>
      <c r="AX173" s="14" t="inlineStr">
        <is>
          <t>Titan007 Next</t>
        </is>
      </c>
      <c r="AY173" s="14" t="inlineStr">
        <is>
          <t>V4 Shadow Only；real_money=false；新增冻结记录</t>
        </is>
      </c>
    </row>
    <row r="174" ht="22" customHeight="1" s="39">
      <c r="A174" s="14" t="inlineStr">
        <is>
          <t>2026-10-04</t>
        </is>
      </c>
      <c r="B174" s="14" t="inlineStr">
        <is>
          <t>2026-10-04 16:00:00</t>
        </is>
      </c>
      <c r="C174" s="14" t="inlineStr">
        <is>
          <t>CLUB_CUP</t>
        </is>
      </c>
      <c r="D174" s="14" t="inlineStr">
        <is>
          <t>杯赛</t>
        </is>
      </c>
      <c r="E174" s="14" t="inlineStr">
        <is>
          <t>港联杯</t>
        </is>
      </c>
      <c r="F174" s="14" t="inlineStr">
        <is>
          <t>标准流浪 vs 和富大埔</t>
        </is>
      </c>
      <c r="G174" s="26" t="n">
        <v>0.9399999999999999</v>
      </c>
      <c r="H174" s="26" t="n">
        <v>0.75</v>
      </c>
      <c r="I174" s="26" t="n">
        <v>0.76</v>
      </c>
      <c r="J174" s="26" t="inlineStr">
        <is>
          <t>0.94/0.75/0.76</t>
        </is>
      </c>
      <c r="K174" s="14" t="inlineStr">
        <is>
          <t>V4-B｜EV 0.7517024709153736</t>
        </is>
      </c>
      <c r="L174" s="14" t="inlineStr">
        <is>
          <t>标准流浪</t>
        </is>
      </c>
      <c r="M174" s="47" t="n">
        <v>0.8801296127244246</v>
      </c>
      <c r="N174" s="14" t="inlineStr">
        <is>
          <t>V4纸面入选-B</t>
        </is>
      </c>
      <c r="O174" s="14" t="inlineStr">
        <is>
          <t>1-3</t>
        </is>
      </c>
      <c r="P174" s="14" t="inlineStr">
        <is>
          <t>已结算</t>
        </is>
      </c>
      <c r="Q174" s="14" t="inlineStr">
        <is>
          <t>黑</t>
        </is>
      </c>
      <c r="R174" s="48" t="n">
        <v>0.9399999999999999</v>
      </c>
      <c r="S174" s="48" t="n">
        <v>0.47</v>
      </c>
      <c r="T174" s="14" t="inlineStr">
        <is>
          <t>D:\codex\v3_legacy\outputs\football_odds_trader\raw\titan007\20261004\20261004_135431_titan007_odds_snapshot.csv</t>
        </is>
      </c>
      <c r="U174" s="14">
        <f>IF(Q174="","",IF(Q174="待结算","待结算",IF(Q174="红","黑",IF(Q174="半红","半黑",IF(Q174="走","走",IF(Q174="半黑","半红","红"))))))</f>
        <v/>
      </c>
      <c r="V174" s="48">
        <f>IF(OR(U174="",U174="待结算"),"",IF(L174=LEFT(F174,FIND(" vs ",F174)-1),I174,G174))</f>
        <v/>
      </c>
      <c r="W174" s="48">
        <f>IF(OR(U174="",U174="待结算"),"",IF(U174="红",V174,IF(U174="半红",V174*0.5,IF(U174="走",0,IF(U174="半黑",-0.5,-1)))))</f>
        <v/>
      </c>
      <c r="X174" s="14" t="inlineStr">
        <is>
          <t>3084342</t>
        </is>
      </c>
      <c r="Y174" s="14" t="inlineStr">
        <is>
          <t>V4</t>
        </is>
      </c>
      <c r="Z174" s="14" t="inlineStr">
        <is>
          <t>prior-2026-10-04-v1</t>
        </is>
      </c>
      <c r="AA174" s="14" t="inlineStr">
        <is>
          <t>B</t>
        </is>
      </c>
      <c r="AB174" s="14" t="n">
        <v>0.8801296127244246</v>
      </c>
      <c r="AC174" s="14" t="n">
        <v>0</v>
      </c>
      <c r="AD174" s="14" t="n">
        <v>0</v>
      </c>
      <c r="AE174" s="14" t="n">
        <v>0.08850204445998015</v>
      </c>
      <c r="AF174" s="14" t="n">
        <v>0.03136834281559538</v>
      </c>
      <c r="AG174" s="14" t="n">
        <v>0.7517024709153736</v>
      </c>
      <c r="AH174" s="14" t="n"/>
      <c r="AI174" s="14" t="n"/>
      <c r="AJ174" s="14" t="n">
        <v>0.7517024709153736</v>
      </c>
      <c r="AK174" s="14" t="n"/>
      <c r="AL174" s="14" t="n"/>
      <c r="AM174" s="14" t="n"/>
      <c r="AN174" s="14" t="inlineStr">
        <is>
          <t>EVALUATED</t>
        </is>
      </c>
      <c r="AO174" s="14" t="inlineStr">
        <is>
          <t>RECEIVING_VALIDATED_EDGE;BUCKET_PRIOR_ONLY;INTENT_INTERPRETATION_ONLY;FFL_OPTIONAL;EXPERT_MARKET</t>
        </is>
      </c>
      <c r="AP174" s="14" t="inlineStr">
        <is>
          <t>c4ed77dad009d2bb8eb3</t>
        </is>
      </c>
      <c r="AQ174" s="14" t="n">
        <v>0.75</v>
      </c>
      <c r="AR174" s="14" t="n">
        <v>0.9399999999999999</v>
      </c>
      <c r="AS174" s="14" t="n">
        <v>-0.75</v>
      </c>
      <c r="AT174" s="14" t="n">
        <v>0.75</v>
      </c>
      <c r="AU174" s="14" t="n">
        <v>0.76</v>
      </c>
      <c r="AV174" s="14" t="n">
        <v>0.9399999999999999</v>
      </c>
      <c r="AW174" s="14" t="inlineStr">
        <is>
          <t>2026-10-04T09:58:08.993953+08:00</t>
        </is>
      </c>
      <c r="AX174" s="14" t="inlineStr">
        <is>
          <t>Titan007 Next</t>
        </is>
      </c>
      <c r="AY174" s="14" t="inlineStr">
        <is>
          <t>V4 Shadow Only；real_money=false；新增冻结记录</t>
        </is>
      </c>
    </row>
    <row r="175" ht="22" customHeight="1" s="39">
      <c r="A175" s="14" t="inlineStr">
        <is>
          <t>2026-10-04</t>
        </is>
      </c>
      <c r="B175" s="14" t="inlineStr">
        <is>
          <t>2026-10-04 16:15:00</t>
        </is>
      </c>
      <c r="C175" s="14" t="inlineStr">
        <is>
          <t>CLUB_LEAGUE</t>
        </is>
      </c>
      <c r="D175" s="14" t="inlineStr">
        <is>
          <t>联赛</t>
        </is>
      </c>
      <c r="E175" s="14" t="inlineStr">
        <is>
          <t>捷丙</t>
        </is>
      </c>
      <c r="F175" s="14" t="inlineStr">
        <is>
          <t>艾德米拉布拉格 vs 多马日利采</t>
        </is>
      </c>
      <c r="G175" s="26" t="n">
        <v>0.9399999999999999</v>
      </c>
      <c r="H175" s="26" t="n">
        <v>0.75</v>
      </c>
      <c r="I175" s="26" t="n">
        <v>0.76</v>
      </c>
      <c r="J175" s="26" t="inlineStr">
        <is>
          <t>0.94/0.75/0.76</t>
        </is>
      </c>
      <c r="K175" s="14" t="inlineStr">
        <is>
          <t>V4-B｜EV 0.687036013157555</t>
        </is>
      </c>
      <c r="L175" s="14" t="inlineStr">
        <is>
          <t>艾德米拉布拉格</t>
        </is>
      </c>
      <c r="M175" s="47" t="n">
        <v>0.840910203609575</v>
      </c>
      <c r="N175" s="14" t="inlineStr">
        <is>
          <t>V4纸面入选-B</t>
        </is>
      </c>
      <c r="O175" s="14" t="inlineStr">
        <is>
          <t>4-4</t>
        </is>
      </c>
      <c r="P175" s="14" t="inlineStr">
        <is>
          <t>已结算</t>
        </is>
      </c>
      <c r="Q175" s="14" t="inlineStr">
        <is>
          <t>红</t>
        </is>
      </c>
      <c r="R175" s="48" t="n">
        <v>0.9399999999999999</v>
      </c>
      <c r="S175" s="48" t="n">
        <v>0.47</v>
      </c>
      <c r="T175" s="14" t="inlineStr">
        <is>
          <t>D:\codex\v3_legacy\outputs\football_odds_trader\raw\titan007\20261004\20261004_135431_titan007_odds_snapshot.csv</t>
        </is>
      </c>
      <c r="U175" s="14">
        <f>IF(Q175="","",IF(Q175="待结算","待结算",IF(Q175="红","黑",IF(Q175="半红","半黑",IF(Q175="走","走",IF(Q175="半黑","半红","红"))))))</f>
        <v/>
      </c>
      <c r="V175" s="48">
        <f>IF(OR(U175="",U175="待结算"),"",IF(L175=LEFT(F175,FIND(" vs ",F175)-1),I175,G175))</f>
        <v/>
      </c>
      <c r="W175" s="48">
        <f>IF(OR(U175="",U175="待结算"),"",IF(U175="红",V175,IF(U175="半红",V175*0.5,IF(U175="走",0,IF(U175="半黑",-0.5,-1)))))</f>
        <v/>
      </c>
      <c r="X175" s="14" t="inlineStr">
        <is>
          <t>3009390</t>
        </is>
      </c>
      <c r="Y175" s="14" t="inlineStr">
        <is>
          <t>V4</t>
        </is>
      </c>
      <c r="Z175" s="14" t="inlineStr">
        <is>
          <t>prior-2026-10-04-v1</t>
        </is>
      </c>
      <c r="AA175" s="14" t="inlineStr">
        <is>
          <t>B</t>
        </is>
      </c>
      <c r="AB175" s="14" t="n">
        <v>0.840910203609575</v>
      </c>
      <c r="AC175" s="14" t="n">
        <v>0</v>
      </c>
      <c r="AD175" s="14" t="n">
        <v>0</v>
      </c>
      <c r="AE175" s="14" t="n">
        <v>0.1113404363099593</v>
      </c>
      <c r="AF175" s="14" t="n">
        <v>0.04774936008046576</v>
      </c>
      <c r="AG175" s="14" t="n">
        <v>0.687036013157555</v>
      </c>
      <c r="AH175" s="14" t="n"/>
      <c r="AI175" s="14" t="n"/>
      <c r="AJ175" s="14" t="n">
        <v>0.687036013157555</v>
      </c>
      <c r="AK175" s="14" t="n"/>
      <c r="AL175" s="14" t="n"/>
      <c r="AM175" s="14" t="n"/>
      <c r="AN175" s="14" t="inlineStr">
        <is>
          <t>EVALUATED</t>
        </is>
      </c>
      <c r="AO175" s="14" t="inlineStr">
        <is>
          <t>RECEIVING_VALIDATED_EDGE;BUCKET_PRIOR_ONLY;INTENT_INTERPRETATION_ONLY;FFL_OPTIONAL;EXPERT_MARKET</t>
        </is>
      </c>
      <c r="AP175" s="14" t="inlineStr">
        <is>
          <t>c009c6e3b012edc64457</t>
        </is>
      </c>
      <c r="AQ175" s="14" t="n">
        <v>0.75</v>
      </c>
      <c r="AR175" s="14" t="n">
        <v>0.9399999999999999</v>
      </c>
      <c r="AS175" s="14" t="n">
        <v>-0.75</v>
      </c>
      <c r="AT175" s="14" t="n">
        <v>0.75</v>
      </c>
      <c r="AU175" s="14" t="n">
        <v>0.76</v>
      </c>
      <c r="AV175" s="14" t="n">
        <v>0.9399999999999999</v>
      </c>
      <c r="AW175" s="14" t="inlineStr">
        <is>
          <t>2026-10-04T09:58:08.993953+08:00</t>
        </is>
      </c>
      <c r="AX175" s="14" t="inlineStr">
        <is>
          <t>Titan007 Next</t>
        </is>
      </c>
      <c r="AY175" s="14" t="inlineStr">
        <is>
          <t>V4 Shadow Only；real_money=false；新增冻结记录</t>
        </is>
      </c>
    </row>
    <row r="176" ht="22" customHeight="1" s="39">
      <c r="A176" s="14" t="inlineStr">
        <is>
          <t>2026-10-04</t>
        </is>
      </c>
      <c r="B176" s="14" t="inlineStr">
        <is>
          <t>2026-10-04 16:15:00</t>
        </is>
      </c>
      <c r="C176" s="14" t="inlineStr">
        <is>
          <t>CLUB_LEAGUE</t>
        </is>
      </c>
      <c r="D176" s="14" t="inlineStr">
        <is>
          <t>联赛</t>
        </is>
      </c>
      <c r="E176" s="14" t="inlineStr">
        <is>
          <t>捷丙</t>
        </is>
      </c>
      <c r="F176" s="14" t="inlineStr">
        <is>
          <t>布尔诺B队 vs 布兰斯科</t>
        </is>
      </c>
      <c r="G176" s="26" t="n">
        <v>0.87</v>
      </c>
      <c r="H176" s="26" t="n">
        <v>-1.75</v>
      </c>
      <c r="I176" s="26" t="n">
        <v>0.83</v>
      </c>
      <c r="J176" s="26" t="inlineStr">
        <is>
          <t>0.87/-1.75/0.83</t>
        </is>
      </c>
      <c r="K176" s="14" t="inlineStr">
        <is>
          <t>V4-B｜EV 0.1938093855647074</t>
        </is>
      </c>
      <c r="L176" s="14" t="inlineStr">
        <is>
          <t>布尔诺B队</t>
        </is>
      </c>
      <c r="M176" s="47" t="n">
        <v>0.5724849425028476</v>
      </c>
      <c r="N176" s="14" t="inlineStr">
        <is>
          <t>V4纸面入选-B</t>
        </is>
      </c>
      <c r="O176" s="14" t="inlineStr">
        <is>
          <t>1-1</t>
        </is>
      </c>
      <c r="P176" s="14" t="inlineStr">
        <is>
          <t>已结算</t>
        </is>
      </c>
      <c r="Q176" s="14" t="inlineStr">
        <is>
          <t>黑</t>
        </is>
      </c>
      <c r="R176" s="48" t="n">
        <v>0.87</v>
      </c>
      <c r="S176" s="48" t="n">
        <v>0.435</v>
      </c>
      <c r="T176" s="14" t="inlineStr">
        <is>
          <t>D:\codex\v3_legacy\outputs\football_odds_trader\raw\titan007\20261004\20261004_135431_titan007_odds_snapshot.csv</t>
        </is>
      </c>
      <c r="U176" s="14">
        <f>IF(Q176="","",IF(Q176="待结算","待结算",IF(Q176="红","黑",IF(Q176="半红","半黑",IF(Q176="走","走",IF(Q176="半黑","半红","红"))))))</f>
        <v/>
      </c>
      <c r="V176" s="48">
        <f>IF(OR(U176="",U176="待结算"),"",IF(L176=LEFT(F176,FIND(" vs ",F176)-1),I176,G176))</f>
        <v/>
      </c>
      <c r="W176" s="48">
        <f>IF(OR(U176="",U176="待结算"),"",IF(U176="红",V176,IF(U176="半红",V176*0.5,IF(U176="走",0,IF(U176="半黑",-0.5,-1)))))</f>
        <v/>
      </c>
      <c r="X176" s="14" t="inlineStr">
        <is>
          <t>3043231</t>
        </is>
      </c>
      <c r="Y176" s="14" t="inlineStr">
        <is>
          <t>V4</t>
        </is>
      </c>
      <c r="Z176" s="14" t="inlineStr">
        <is>
          <t>prior-2026-10-04-v1</t>
        </is>
      </c>
      <c r="AA176" s="14" t="inlineStr">
        <is>
          <t>B</t>
        </is>
      </c>
      <c r="AB176" s="14" t="n">
        <v>0.4492223994184653</v>
      </c>
      <c r="AC176" s="14" t="n">
        <v>0.2465250861687648</v>
      </c>
      <c r="AD176" s="14" t="n">
        <v>0</v>
      </c>
      <c r="AE176" s="14" t="n">
        <v>0</v>
      </c>
      <c r="AF176" s="14" t="n">
        <v>0.30425251441277</v>
      </c>
      <c r="AG176" s="14" t="n">
        <v>0.1938093855647074</v>
      </c>
      <c r="AH176" s="14" t="n"/>
      <c r="AI176" s="14" t="n"/>
      <c r="AJ176" s="14" t="n">
        <v>0.1938093855647074</v>
      </c>
      <c r="AK176" s="14" t="n"/>
      <c r="AL176" s="14" t="n"/>
      <c r="AM176" s="14" t="n"/>
      <c r="AN176" s="14" t="inlineStr">
        <is>
          <t>EVALUATED</t>
        </is>
      </c>
      <c r="AO176" s="14" t="inlineStr">
        <is>
          <t>GIVING_VALIDATED_EDGE;BUCKET_PRIOR_ONLY;INTENT_INTERPRETATION_ONLY;FFL_OPTIONAL;EXPERT_MARKET</t>
        </is>
      </c>
      <c r="AP176" s="14" t="inlineStr">
        <is>
          <t>85becddc99b527bf1a08</t>
        </is>
      </c>
      <c r="AQ176" s="14" t="n">
        <v>-1.75</v>
      </c>
      <c r="AR176" s="14" t="n">
        <v>0.87</v>
      </c>
      <c r="AS176" s="14" t="n">
        <v>-1.75</v>
      </c>
      <c r="AT176" s="14" t="n">
        <v>1.75</v>
      </c>
      <c r="AU176" s="14" t="n">
        <v>0.87</v>
      </c>
      <c r="AV176" s="14" t="n">
        <v>0.83</v>
      </c>
      <c r="AW176" s="14" t="inlineStr">
        <is>
          <t>2026-10-04T09:58:08.993953+08:00</t>
        </is>
      </c>
      <c r="AX176" s="14" t="inlineStr">
        <is>
          <t>Titan007 Next</t>
        </is>
      </c>
      <c r="AY176" s="14" t="inlineStr">
        <is>
          <t>V4 Shadow Only；real_money=false；新增冻结记录</t>
        </is>
      </c>
    </row>
    <row r="177" ht="22" customHeight="1" s="39">
      <c r="A177" s="14" t="inlineStr">
        <is>
          <t>2026-10-04</t>
        </is>
      </c>
      <c r="B177" s="14" t="inlineStr">
        <is>
          <t>2026-10-04 16:15:00</t>
        </is>
      </c>
      <c r="C177" s="14" t="inlineStr">
        <is>
          <t>CLUB_LEAGUE</t>
        </is>
      </c>
      <c r="D177" s="14" t="inlineStr">
        <is>
          <t>联赛</t>
        </is>
      </c>
      <c r="E177" s="14" t="inlineStr">
        <is>
          <t>捷丙</t>
        </is>
      </c>
      <c r="F177" s="14" t="inlineStr">
        <is>
          <t>乌尼邱夫 vs 波兰卡</t>
        </is>
      </c>
      <c r="G177" s="26" t="n">
        <v>0.86</v>
      </c>
      <c r="H177" s="26" t="n">
        <v>-1.25</v>
      </c>
      <c r="I177" s="26" t="n">
        <v>0.84</v>
      </c>
      <c r="J177" s="26" t="inlineStr">
        <is>
          <t>0.86/-1.25/0.84</t>
        </is>
      </c>
      <c r="K177" s="14" t="inlineStr">
        <is>
          <t>V4-B｜EV 0.16610750663905538</t>
        </is>
      </c>
      <c r="L177" s="14" t="inlineStr">
        <is>
          <t>乌尼邱夫</t>
        </is>
      </c>
      <c r="M177" s="47" t="n">
        <v>0.5626833544579627</v>
      </c>
      <c r="N177" s="14" t="inlineStr">
        <is>
          <t>V4纸面入选-B</t>
        </is>
      </c>
      <c r="O177" s="14" t="inlineStr">
        <is>
          <t>3-1</t>
        </is>
      </c>
      <c r="P177" s="14" t="inlineStr">
        <is>
          <t>已结算</t>
        </is>
      </c>
      <c r="Q177" s="14" t="inlineStr">
        <is>
          <t>红</t>
        </is>
      </c>
      <c r="R177" s="48" t="n">
        <v>0.86</v>
      </c>
      <c r="S177" s="48" t="n">
        <v>0.43</v>
      </c>
      <c r="T177" s="14" t="inlineStr">
        <is>
          <t>D:\codex\v3_legacy\outputs\football_odds_trader\raw\titan007\20261004\20261004_135431_titan007_odds_snapshot.csv</t>
        </is>
      </c>
      <c r="U177" s="14">
        <f>IF(Q177="","",IF(Q177="待结算","待结算",IF(Q177="红","黑",IF(Q177="半红","半黑",IF(Q177="走","走",IF(Q177="半黑","半红","红"))))))</f>
        <v/>
      </c>
      <c r="V177" s="48">
        <f>IF(OR(U177="",U177="待结算"),"",IF(L177=LEFT(F177,FIND(" vs ",F177)-1),I177,G177))</f>
        <v/>
      </c>
      <c r="W177" s="48">
        <f>IF(OR(U177="",U177="待结算"),"",IF(U177="红",V177,IF(U177="半红",V177*0.5,IF(U177="走",0,IF(U177="半黑",-0.5,-1)))))</f>
        <v/>
      </c>
      <c r="X177" s="14" t="inlineStr">
        <is>
          <t>3043233</t>
        </is>
      </c>
      <c r="Y177" s="14" t="inlineStr">
        <is>
          <t>V4</t>
        </is>
      </c>
      <c r="Z177" s="14" t="inlineStr">
        <is>
          <t>prior-2026-10-04-v1</t>
        </is>
      </c>
      <c r="AA177" s="14" t="inlineStr">
        <is>
          <t>B</t>
        </is>
      </c>
      <c r="AB177" s="14" t="n">
        <v>0.5626833544579627</v>
      </c>
      <c r="AC177" s="14" t="n">
        <v>0</v>
      </c>
      <c r="AD177" s="14" t="n">
        <v>0</v>
      </c>
      <c r="AE177" s="14" t="n">
        <v>0.2390329346944897</v>
      </c>
      <c r="AF177" s="14" t="n">
        <v>0.1982837108475476</v>
      </c>
      <c r="AG177" s="14" t="n">
        <v>0.1661075066390554</v>
      </c>
      <c r="AH177" s="14" t="n"/>
      <c r="AI177" s="14" t="n"/>
      <c r="AJ177" s="14" t="n">
        <v>0.1661075066390554</v>
      </c>
      <c r="AK177" s="14" t="n"/>
      <c r="AL177" s="14" t="n"/>
      <c r="AM177" s="14" t="n"/>
      <c r="AN177" s="14" t="inlineStr">
        <is>
          <t>EVALUATED</t>
        </is>
      </c>
      <c r="AO177" s="14" t="inlineStr">
        <is>
          <t>GIVING_VALIDATED_EDGE;BUCKET_PRIOR_ONLY;INTENT_INTERPRETATION_ONLY;FFL_OPTIONAL;EXPERT_MARKET</t>
        </is>
      </c>
      <c r="AP177" s="14" t="inlineStr">
        <is>
          <t>76ff6ea47713f43963a0</t>
        </is>
      </c>
      <c r="AQ177" s="14" t="n">
        <v>-1.25</v>
      </c>
      <c r="AR177" s="14" t="n">
        <v>0.86</v>
      </c>
      <c r="AS177" s="14" t="n">
        <v>-1.25</v>
      </c>
      <c r="AT177" s="14" t="n">
        <v>1.25</v>
      </c>
      <c r="AU177" s="14" t="n">
        <v>0.86</v>
      </c>
      <c r="AV177" s="14" t="n">
        <v>0.84</v>
      </c>
      <c r="AW177" s="14" t="inlineStr">
        <is>
          <t>2026-10-04T09:58:08.993953+08:00</t>
        </is>
      </c>
      <c r="AX177" s="14" t="inlineStr">
        <is>
          <t>Titan007 Next</t>
        </is>
      </c>
      <c r="AY177" s="14" t="inlineStr">
        <is>
          <t>V4 Shadow Only；real_money=false；新增冻结记录</t>
        </is>
      </c>
    </row>
    <row r="178" ht="22" customHeight="1" s="39">
      <c r="A178" s="14" t="inlineStr">
        <is>
          <t>2026-10-04</t>
        </is>
      </c>
      <c r="B178" s="14" t="inlineStr">
        <is>
          <t>2026-10-04 16:30:00</t>
        </is>
      </c>
      <c r="C178" s="14" t="inlineStr">
        <is>
          <t>CLUB_LEAGUE</t>
        </is>
      </c>
      <c r="D178" s="14" t="inlineStr">
        <is>
          <t>联赛</t>
        </is>
      </c>
      <c r="E178" s="14" t="inlineStr">
        <is>
          <t>捷丙</t>
        </is>
      </c>
      <c r="F178" s="14" t="inlineStr">
        <is>
          <t>皮耳森B队 vs 杜卡拉B队</t>
        </is>
      </c>
      <c r="G178" s="26" t="n">
        <v>0.9</v>
      </c>
      <c r="H178" s="26" t="n">
        <v>-1</v>
      </c>
      <c r="I178" s="26" t="n">
        <v>0.8</v>
      </c>
      <c r="J178" s="26" t="inlineStr">
        <is>
          <t>0.9/-1.0/0.8</t>
        </is>
      </c>
      <c r="K178" s="14" t="inlineStr">
        <is>
          <t>V4-B｜EV 0.09047131229350269</t>
        </is>
      </c>
      <c r="L178" s="14" t="inlineStr">
        <is>
          <t>皮耳森B队</t>
        </is>
      </c>
      <c r="M178" s="47" t="n">
        <v>0.4400390090618958</v>
      </c>
      <c r="N178" s="14" t="inlineStr">
        <is>
          <t>V4纸面入选-B</t>
        </is>
      </c>
      <c r="O178" s="14" t="inlineStr">
        <is>
          <t>3-0</t>
        </is>
      </c>
      <c r="P178" s="14" t="inlineStr">
        <is>
          <t>已结算</t>
        </is>
      </c>
      <c r="Q178" s="14" t="inlineStr">
        <is>
          <t>红</t>
        </is>
      </c>
      <c r="R178" s="48" t="n">
        <v>0.9</v>
      </c>
      <c r="S178" s="48" t="n">
        <v>0.45</v>
      </c>
      <c r="T178" s="14" t="inlineStr">
        <is>
          <t>D:\codex\v3_legacy\outputs\football_odds_trader\raw\titan007\20261004\20261004_135431_titan007_odds_snapshot.csv</t>
        </is>
      </c>
      <c r="U178" s="14">
        <f>IF(Q178="","",IF(Q178="待结算","待结算",IF(Q178="红","黑",IF(Q178="半红","半黑",IF(Q178="走","走",IF(Q178="半黑","半红","红"))))))</f>
        <v/>
      </c>
      <c r="V178" s="48">
        <f>IF(OR(U178="",U178="待结算"),"",IF(L178=LEFT(F178,FIND(" vs ",F178)-1),I178,G178))</f>
        <v/>
      </c>
      <c r="W178" s="48">
        <f>IF(OR(U178="",U178="待结算"),"",IF(U178="红",V178,IF(U178="半红",V178*0.5,IF(U178="走",0,IF(U178="半黑",-0.5,-1)))))</f>
        <v/>
      </c>
      <c r="X178" s="14" t="inlineStr">
        <is>
          <t>3009397</t>
        </is>
      </c>
      <c r="Y178" s="14" t="inlineStr">
        <is>
          <t>V4</t>
        </is>
      </c>
      <c r="Z178" s="14" t="inlineStr">
        <is>
          <t>prior-2026-10-04-v1</t>
        </is>
      </c>
      <c r="AA178" s="14" t="inlineStr">
        <is>
          <t>B</t>
        </is>
      </c>
      <c r="AB178" s="14" t="n">
        <v>0.4400390090618958</v>
      </c>
      <c r="AC178" s="14" t="n">
        <v>0</v>
      </c>
      <c r="AD178" s="14" t="n">
        <v>0.2543971950759006</v>
      </c>
      <c r="AE178" s="14" t="n">
        <v>0</v>
      </c>
      <c r="AF178" s="14" t="n">
        <v>0.3055637958622036</v>
      </c>
      <c r="AG178" s="14" t="n">
        <v>0.09047131229350269</v>
      </c>
      <c r="AH178" s="14" t="n"/>
      <c r="AI178" s="14" t="n"/>
      <c r="AJ178" s="14" t="n">
        <v>0.09047131229350269</v>
      </c>
      <c r="AK178" s="14" t="n"/>
      <c r="AL178" s="14" t="n"/>
      <c r="AM178" s="14" t="n"/>
      <c r="AN178" s="14" t="inlineStr">
        <is>
          <t>EVALUATED</t>
        </is>
      </c>
      <c r="AO178" s="14" t="inlineStr">
        <is>
          <t>GIVING_VALIDATED_EDGE;BUCKET_PRIOR_ONLY;INTENT_INTERPRETATION_ONLY;FFL_OPTIONAL;EXPERT_MARKET</t>
        </is>
      </c>
      <c r="AP178" s="14" t="inlineStr">
        <is>
          <t>d10eb7e68bbbdcd31b83</t>
        </is>
      </c>
      <c r="AQ178" s="14" t="n">
        <v>-1</v>
      </c>
      <c r="AR178" s="14" t="n">
        <v>0.9</v>
      </c>
      <c r="AS178" s="14" t="n">
        <v>-1</v>
      </c>
      <c r="AT178" s="14" t="n">
        <v>1</v>
      </c>
      <c r="AU178" s="14" t="n">
        <v>0.9</v>
      </c>
      <c r="AV178" s="14" t="n">
        <v>0.8</v>
      </c>
      <c r="AW178" s="14" t="inlineStr">
        <is>
          <t>2026-10-04T09:58:08.993953+08:00</t>
        </is>
      </c>
      <c r="AX178" s="14" t="inlineStr">
        <is>
          <t>Titan007 Next</t>
        </is>
      </c>
      <c r="AY178" s="14" t="inlineStr">
        <is>
          <t>V4 Shadow Only；real_money=false；新增冻结记录</t>
        </is>
      </c>
    </row>
    <row r="179" ht="22" customHeight="1" s="39">
      <c r="A179" s="14" t="inlineStr">
        <is>
          <t>2026-10-04</t>
        </is>
      </c>
      <c r="B179" s="14" t="inlineStr">
        <is>
          <t>2026-10-04 16:30:00</t>
        </is>
      </c>
      <c r="C179" s="14" t="inlineStr">
        <is>
          <t>CLUB_LEAGUE</t>
        </is>
      </c>
      <c r="D179" s="14" t="inlineStr">
        <is>
          <t>联赛</t>
        </is>
      </c>
      <c r="E179" s="14" t="inlineStr">
        <is>
          <t>印尼甲</t>
        </is>
      </c>
      <c r="F179" s="14" t="inlineStr">
        <is>
          <t>巴日托 vs 帕森拉</t>
        </is>
      </c>
      <c r="G179" s="26" t="n">
        <v>1.11</v>
      </c>
      <c r="H179" s="26" t="n">
        <v>-0.75</v>
      </c>
      <c r="I179" s="26" t="n">
        <v>0.6</v>
      </c>
      <c r="J179" s="26" t="inlineStr">
        <is>
          <t>1.11/-0.75/0.6</t>
        </is>
      </c>
      <c r="K179" s="14" t="inlineStr">
        <is>
          <t>V4-B｜EV 0.17756081795712042</t>
        </is>
      </c>
      <c r="L179" s="14" t="inlineStr">
        <is>
          <t>巴日托</t>
        </is>
      </c>
      <c r="M179" s="47" t="n">
        <v>0.4974621691474941</v>
      </c>
      <c r="N179" s="14" t="inlineStr">
        <is>
          <t>V4纸面入选-B</t>
        </is>
      </c>
      <c r="O179" s="14" t="inlineStr">
        <is>
          <t>0-1</t>
        </is>
      </c>
      <c r="P179" s="14" t="inlineStr">
        <is>
          <t>已结算</t>
        </is>
      </c>
      <c r="Q179" s="14" t="inlineStr">
        <is>
          <t>黑</t>
        </is>
      </c>
      <c r="R179" s="48" t="n">
        <v>1.11</v>
      </c>
      <c r="S179" s="48" t="n">
        <v>0.555</v>
      </c>
      <c r="T179" s="14" t="inlineStr">
        <is>
          <t>D:\codex\v3_legacy\outputs\football_odds_trader\raw\titan007\20261004\20261004_135431_titan007_odds_snapshot.csv</t>
        </is>
      </c>
      <c r="U179" s="14">
        <f>IF(Q179="","",IF(Q179="待结算","待结算",IF(Q179="红","黑",IF(Q179="半红","半黑",IF(Q179="走","走",IF(Q179="半黑","半红","红"))))))</f>
        <v/>
      </c>
      <c r="V179" s="48">
        <f>IF(OR(U179="",U179="待结算"),"",IF(L179=LEFT(F179,FIND(" vs ",F179)-1),I179,G179))</f>
        <v/>
      </c>
      <c r="W179" s="48">
        <f>IF(OR(U179="",U179="待结算"),"",IF(U179="红",V179,IF(U179="半红",V179*0.5,IF(U179="走",0,IF(U179="半黑",-0.5,-1)))))</f>
        <v/>
      </c>
      <c r="X179" s="14" t="inlineStr">
        <is>
          <t>3086197</t>
        </is>
      </c>
      <c r="Y179" s="14" t="inlineStr">
        <is>
          <t>V4</t>
        </is>
      </c>
      <c r="Z179" s="14" t="inlineStr">
        <is>
          <t>prior-2026-10-04-v1</t>
        </is>
      </c>
      <c r="AA179" s="14" t="inlineStr">
        <is>
          <t>B</t>
        </is>
      </c>
      <c r="AB179" s="14" t="n">
        <v>0.3695465280915862</v>
      </c>
      <c r="AC179" s="14" t="n">
        <v>0.2558312821118158</v>
      </c>
      <c r="AD179" s="14" t="n">
        <v>0</v>
      </c>
      <c r="AE179" s="14" t="n">
        <v>0</v>
      </c>
      <c r="AF179" s="14" t="n">
        <v>0.374622189796598</v>
      </c>
      <c r="AG179" s="14" t="n">
        <v>0.1775608179571204</v>
      </c>
      <c r="AH179" s="14" t="n"/>
      <c r="AI179" s="14" t="n"/>
      <c r="AJ179" s="14" t="n">
        <v>0.1775608179571204</v>
      </c>
      <c r="AK179" s="14" t="n"/>
      <c r="AL179" s="14" t="n"/>
      <c r="AM179" s="14" t="n"/>
      <c r="AN179" s="14" t="inlineStr">
        <is>
          <t>EVALUATED</t>
        </is>
      </c>
      <c r="AO179" s="14" t="inlineStr">
        <is>
          <t>GIVING_VALIDATED_EDGE;BUCKET_PRIOR_ONLY;INTENT_INTERPRETATION_ONLY;FFL_OPTIONAL;EXPERT_MARKET</t>
        </is>
      </c>
      <c r="AP179" s="14" t="inlineStr">
        <is>
          <t>7756825bc9892b94b92a</t>
        </is>
      </c>
      <c r="AQ179" s="14" t="n">
        <v>-0.75</v>
      </c>
      <c r="AR179" s="14" t="n">
        <v>1.11</v>
      </c>
      <c r="AS179" s="14" t="n">
        <v>-0.75</v>
      </c>
      <c r="AT179" s="14" t="n">
        <v>0.75</v>
      </c>
      <c r="AU179" s="14" t="n">
        <v>1.11</v>
      </c>
      <c r="AV179" s="14" t="n">
        <v>0.6</v>
      </c>
      <c r="AW179" s="14" t="inlineStr">
        <is>
          <t>2026-10-04T09:58:08.993953+08:00</t>
        </is>
      </c>
      <c r="AX179" s="14" t="inlineStr">
        <is>
          <t>Titan007 Next</t>
        </is>
      </c>
      <c r="AY179" s="14" t="inlineStr">
        <is>
          <t>V4 Shadow Only；real_money=false；新增冻结记录</t>
        </is>
      </c>
    </row>
    <row r="180" ht="22" customHeight="1" s="39">
      <c r="A180" s="14" t="inlineStr">
        <is>
          <t>2026-10-04</t>
        </is>
      </c>
      <c r="B180" s="14" t="inlineStr">
        <is>
          <t>2026-10-04 16:30:00</t>
        </is>
      </c>
      <c r="C180" s="14" t="inlineStr">
        <is>
          <t>CLUB_LEAGUE</t>
        </is>
      </c>
      <c r="D180" s="14" t="inlineStr">
        <is>
          <t>联赛</t>
        </is>
      </c>
      <c r="E180" s="14" t="inlineStr">
        <is>
          <t>印尼甲</t>
        </is>
      </c>
      <c r="F180" s="14" t="inlineStr">
        <is>
          <t>德尔特雷斯 vs 巴厘巴板</t>
        </is>
      </c>
      <c r="G180" s="26" t="n">
        <v>0.77</v>
      </c>
      <c r="H180" s="26" t="n">
        <v>-1.25</v>
      </c>
      <c r="I180" s="26" t="n">
        <v>0.93</v>
      </c>
      <c r="J180" s="26" t="inlineStr">
        <is>
          <t>0.77/-1.25/0.93</t>
        </is>
      </c>
      <c r="K180" s="14" t="inlineStr">
        <is>
          <t>V4-B｜EV 0.13884999926471375</t>
        </is>
      </c>
      <c r="L180" s="14" t="inlineStr">
        <is>
          <t>德尔特雷斯</t>
        </is>
      </c>
      <c r="M180" s="47" t="n">
        <v>0.5763729139771921</v>
      </c>
      <c r="N180" s="14" t="inlineStr">
        <is>
          <t>V4纸面入选-B</t>
        </is>
      </c>
      <c r="O180" s="14" t="inlineStr">
        <is>
          <t>2-0</t>
        </is>
      </c>
      <c r="P180" s="14" t="inlineStr">
        <is>
          <t>已结算</t>
        </is>
      </c>
      <c r="Q180" s="14" t="inlineStr">
        <is>
          <t>红</t>
        </is>
      </c>
      <c r="R180" s="48" t="n">
        <v>0.77</v>
      </c>
      <c r="S180" s="48" t="n">
        <v>0.385</v>
      </c>
      <c r="T180" s="14" t="inlineStr">
        <is>
          <t>D:\codex\v3_legacy\outputs\football_odds_trader\raw\titan007\20261004\20261004_135431_titan007_odds_snapshot.csv</t>
        </is>
      </c>
      <c r="U180" s="14">
        <f>IF(Q180="","",IF(Q180="待结算","待结算",IF(Q180="红","黑",IF(Q180="半红","半黑",IF(Q180="走","走",IF(Q180="半黑","半红","红"))))))</f>
        <v/>
      </c>
      <c r="V180" s="48">
        <f>IF(OR(U180="",U180="待结算"),"",IF(L180=LEFT(F180,FIND(" vs ",F180)-1),I180,G180))</f>
        <v/>
      </c>
      <c r="W180" s="48">
        <f>IF(OR(U180="",U180="待结算"),"",IF(U180="红",V180,IF(U180="半红",V180*0.5,IF(U180="走",0,IF(U180="半黑",-0.5,-1)))))</f>
        <v/>
      </c>
      <c r="X180" s="14" t="inlineStr">
        <is>
          <t>3086198</t>
        </is>
      </c>
      <c r="Y180" s="14" t="inlineStr">
        <is>
          <t>V4</t>
        </is>
      </c>
      <c r="Z180" s="14" t="inlineStr">
        <is>
          <t>prior-2026-10-04-v1</t>
        </is>
      </c>
      <c r="AA180" s="14" t="inlineStr">
        <is>
          <t>B</t>
        </is>
      </c>
      <c r="AB180" s="14" t="n">
        <v>0.5763729139771921</v>
      </c>
      <c r="AC180" s="14" t="n">
        <v>0</v>
      </c>
      <c r="AD180" s="14" t="n">
        <v>0</v>
      </c>
      <c r="AE180" s="14" t="n">
        <v>0.2373398830501674</v>
      </c>
      <c r="AF180" s="14" t="n">
        <v>0.1862872029726405</v>
      </c>
      <c r="AG180" s="14" t="n">
        <v>0.1388499992647138</v>
      </c>
      <c r="AH180" s="14" t="n"/>
      <c r="AI180" s="14" t="n"/>
      <c r="AJ180" s="14" t="n">
        <v>0.1388499992647138</v>
      </c>
      <c r="AK180" s="14" t="n"/>
      <c r="AL180" s="14" t="n"/>
      <c r="AM180" s="14" t="n"/>
      <c r="AN180" s="14" t="inlineStr">
        <is>
          <t>EVALUATED</t>
        </is>
      </c>
      <c r="AO180" s="14" t="inlineStr">
        <is>
          <t>GIVING_VALIDATED_EDGE;BUCKET_PRIOR_ONLY;INTENT_INTERPRETATION_ONLY;FFL_OPTIONAL;EXPERT_MARKET</t>
        </is>
      </c>
      <c r="AP180" s="14" t="inlineStr">
        <is>
          <t>e27ef159f59e3073281a</t>
        </is>
      </c>
      <c r="AQ180" s="14" t="n">
        <v>-1.25</v>
      </c>
      <c r="AR180" s="14" t="n">
        <v>0.77</v>
      </c>
      <c r="AS180" s="14" t="n">
        <v>-1.25</v>
      </c>
      <c r="AT180" s="14" t="n">
        <v>1.25</v>
      </c>
      <c r="AU180" s="14" t="n">
        <v>0.77</v>
      </c>
      <c r="AV180" s="14" t="n">
        <v>0.93</v>
      </c>
      <c r="AW180" s="14" t="inlineStr">
        <is>
          <t>2026-10-04T09:58:08.993953+08:00</t>
        </is>
      </c>
      <c r="AX180" s="14" t="inlineStr">
        <is>
          <t>Titan007 Next</t>
        </is>
      </c>
      <c r="AY180" s="14" t="inlineStr">
        <is>
          <t>V4 Shadow Only；real_money=false；新增冻结记录</t>
        </is>
      </c>
    </row>
    <row r="181" ht="22" customHeight="1" s="39">
      <c r="A181" s="14" t="inlineStr">
        <is>
          <t>2026-10-04</t>
        </is>
      </c>
      <c r="B181" s="14" t="inlineStr">
        <is>
          <t>2026-10-04 17:00:00</t>
        </is>
      </c>
      <c r="C181" s="14" t="inlineStr">
        <is>
          <t>CLUB_LEAGUE</t>
        </is>
      </c>
      <c r="D181" s="14" t="inlineStr">
        <is>
          <t>联赛</t>
        </is>
      </c>
      <c r="E181" s="14" t="inlineStr">
        <is>
          <t>捷丙</t>
        </is>
      </c>
      <c r="F181" s="14" t="inlineStr">
        <is>
          <t>塔比历斯B队 vs 内拉托维斯</t>
        </is>
      </c>
      <c r="G181" s="26" t="n">
        <v>0.95</v>
      </c>
      <c r="H181" s="26" t="n">
        <v>-1</v>
      </c>
      <c r="I181" s="26" t="n">
        <v>0.75</v>
      </c>
      <c r="J181" s="26" t="inlineStr">
        <is>
          <t>0.95/-1.0/0.75</t>
        </is>
      </c>
      <c r="K181" s="14" t="inlineStr">
        <is>
          <t>V4-B｜EV 0.16570374635689594</t>
        </is>
      </c>
      <c r="L181" s="14" t="inlineStr">
        <is>
          <t>塔比历斯B队</t>
        </is>
      </c>
      <c r="M181" s="47" t="n">
        <v>0.4681013236305909</v>
      </c>
      <c r="N181" s="14" t="inlineStr">
        <is>
          <t>V4纸面入选-B</t>
        </is>
      </c>
      <c r="O181" s="14" t="inlineStr">
        <is>
          <t>0-2</t>
        </is>
      </c>
      <c r="P181" s="14" t="inlineStr">
        <is>
          <t>已结算</t>
        </is>
      </c>
      <c r="Q181" s="14" t="inlineStr">
        <is>
          <t>黑</t>
        </is>
      </c>
      <c r="R181" s="48" t="n">
        <v>0.95</v>
      </c>
      <c r="S181" s="48" t="n">
        <v>0.475</v>
      </c>
      <c r="T181" s="14" t="inlineStr">
        <is>
          <t>D:\codex\v3_legacy\outputs\football_odds_trader\raw\titan007\20261004\20261004_135431_titan007_odds_snapshot.csv</t>
        </is>
      </c>
      <c r="U181" s="14">
        <f>IF(Q181="","",IF(Q181="待结算","待结算",IF(Q181="红","黑",IF(Q181="半红","半黑",IF(Q181="走","走",IF(Q181="半黑","半红","红"))))))</f>
        <v/>
      </c>
      <c r="V181" s="48">
        <f>IF(OR(U181="",U181="待结算"),"",IF(L181=LEFT(F181,FIND(" vs ",F181)-1),I181,G181))</f>
        <v/>
      </c>
      <c r="W181" s="48">
        <f>IF(OR(U181="",U181="待结算"),"",IF(U181="红",V181,IF(U181="半红",V181*0.5,IF(U181="走",0,IF(U181="半黑",-0.5,-1)))))</f>
        <v/>
      </c>
      <c r="X181" s="14" t="inlineStr">
        <is>
          <t>3009516</t>
        </is>
      </c>
      <c r="Y181" s="14" t="inlineStr">
        <is>
          <t>V4</t>
        </is>
      </c>
      <c r="Z181" s="14" t="inlineStr">
        <is>
          <t>prior-2026-10-04-v1</t>
        </is>
      </c>
      <c r="AA181" s="14" t="inlineStr">
        <is>
          <t>B</t>
        </is>
      </c>
      <c r="AB181" s="14" t="n">
        <v>0.4681013236305909</v>
      </c>
      <c r="AC181" s="14" t="n">
        <v>0</v>
      </c>
      <c r="AD181" s="14" t="n">
        <v>0.2529061652772437</v>
      </c>
      <c r="AE181" s="14" t="n">
        <v>0</v>
      </c>
      <c r="AF181" s="14" t="n">
        <v>0.2789925110921654</v>
      </c>
      <c r="AG181" s="14" t="n">
        <v>0.1657037463568959</v>
      </c>
      <c r="AH181" s="14" t="n"/>
      <c r="AI181" s="14" t="n"/>
      <c r="AJ181" s="14" t="n">
        <v>0.1657037463568959</v>
      </c>
      <c r="AK181" s="14" t="n"/>
      <c r="AL181" s="14" t="n"/>
      <c r="AM181" s="14" t="n"/>
      <c r="AN181" s="14" t="inlineStr">
        <is>
          <t>EVALUATED</t>
        </is>
      </c>
      <c r="AO181" s="14" t="inlineStr">
        <is>
          <t>GIVING_VALIDATED_EDGE;BUCKET_PRIOR_ONLY;INTENT_INTERPRETATION_ONLY;FFL_OPTIONAL;EXPERT_MARKET</t>
        </is>
      </c>
      <c r="AP181" s="14" t="inlineStr">
        <is>
          <t>d716ecb475ca06236a23</t>
        </is>
      </c>
      <c r="AQ181" s="14" t="n">
        <v>-1</v>
      </c>
      <c r="AR181" s="14" t="n">
        <v>0.95</v>
      </c>
      <c r="AS181" s="14" t="n">
        <v>-1</v>
      </c>
      <c r="AT181" s="14" t="n">
        <v>1</v>
      </c>
      <c r="AU181" s="14" t="n">
        <v>0.95</v>
      </c>
      <c r="AV181" s="14" t="n">
        <v>0.75</v>
      </c>
      <c r="AW181" s="14" t="inlineStr">
        <is>
          <t>2026-10-04T09:58:08.993953+08:00</t>
        </is>
      </c>
      <c r="AX181" s="14" t="inlineStr">
        <is>
          <t>Titan007 Next</t>
        </is>
      </c>
      <c r="AY181" s="14" t="inlineStr">
        <is>
          <t>V4 Shadow Only；real_money=false；新增冻结记录</t>
        </is>
      </c>
    </row>
    <row r="182" ht="22" customHeight="1" s="39">
      <c r="A182" s="14" t="inlineStr">
        <is>
          <t>2026-10-04</t>
        </is>
      </c>
      <c r="B182" s="14" t="inlineStr">
        <is>
          <t>2026-10-04 17:00:00</t>
        </is>
      </c>
      <c r="C182" s="14" t="inlineStr">
        <is>
          <t>UNKNOWN</t>
        </is>
      </c>
      <c r="D182" s="14" t="inlineStr">
        <is>
          <t>联赛</t>
        </is>
      </c>
      <c r="E182" s="14" t="inlineStr">
        <is>
          <t>西丁</t>
        </is>
      </c>
      <c r="F182" s="14" t="inlineStr">
        <is>
          <t>卡泰真拿B队 vs CD阿尔嘉德</t>
        </is>
      </c>
      <c r="G182" s="26" t="n">
        <v>0.88</v>
      </c>
      <c r="H182" s="26" t="n">
        <v>-1.25</v>
      </c>
      <c r="I182" s="26" t="n">
        <v>0.82</v>
      </c>
      <c r="J182" s="26" t="inlineStr">
        <is>
          <t>0.88/-1.25/0.82</t>
        </is>
      </c>
      <c r="K182" s="14" t="inlineStr">
        <is>
          <t>V4-C｜EV 0.17137559540438843</t>
        </is>
      </c>
      <c r="L182" s="14" t="inlineStr">
        <is>
          <t>卡泰真拿B队</t>
        </is>
      </c>
      <c r="M182" s="47" t="n">
        <v>0.5588393187730756</v>
      </c>
      <c r="N182" s="14" t="inlineStr">
        <is>
          <t>V4纸面入选-C</t>
        </is>
      </c>
      <c r="O182" s="14" t="inlineStr">
        <is>
          <t>1-2</t>
        </is>
      </c>
      <c r="P182" s="14" t="inlineStr">
        <is>
          <t>已结算</t>
        </is>
      </c>
      <c r="Q182" s="14" t="inlineStr">
        <is>
          <t>黑</t>
        </is>
      </c>
      <c r="R182" s="48" t="n">
        <v>0.88</v>
      </c>
      <c r="S182" s="48" t="n">
        <v>0.44</v>
      </c>
      <c r="T182" s="14" t="inlineStr">
        <is>
          <t>D:\codex\v3_legacy\outputs\football_odds_trader\raw\titan007\20261004\20261004_135431_titan007_odds_snapshot.csv</t>
        </is>
      </c>
      <c r="U182" s="14">
        <f>IF(Q182="","",IF(Q182="待结算","待结算",IF(Q182="红","黑",IF(Q182="半红","半黑",IF(Q182="走","走",IF(Q182="半黑","半红","红"))))))</f>
        <v/>
      </c>
      <c r="V182" s="48">
        <f>IF(OR(U182="",U182="待结算"),"",IF(L182=LEFT(F182,FIND(" vs ",F182)-1),I182,G182))</f>
        <v/>
      </c>
      <c r="W182" s="48">
        <f>IF(OR(U182="",U182="待结算"),"",IF(U182="红",V182,IF(U182="半红",V182*0.5,IF(U182="走",0,IF(U182="半黑",-0.5,-1)))))</f>
        <v/>
      </c>
      <c r="X182" s="14" t="inlineStr">
        <is>
          <t>3060617</t>
        </is>
      </c>
      <c r="Y182" s="14" t="inlineStr">
        <is>
          <t>V4</t>
        </is>
      </c>
      <c r="Z182" s="14" t="inlineStr">
        <is>
          <t>prior-2026-10-04-v1</t>
        </is>
      </c>
      <c r="AA182" s="14" t="inlineStr">
        <is>
          <t>C</t>
        </is>
      </c>
      <c r="AB182" s="14" t="n">
        <v>0.5588393187730756</v>
      </c>
      <c r="AC182" s="14" t="n">
        <v>0</v>
      </c>
      <c r="AD182" s="14" t="n">
        <v>0</v>
      </c>
      <c r="AE182" s="14" t="n">
        <v>0.2415153522220126</v>
      </c>
      <c r="AF182" s="14" t="n">
        <v>0.1996453290049118</v>
      </c>
      <c r="AG182" s="14" t="n">
        <v>0.1713755954043884</v>
      </c>
      <c r="AH182" s="14" t="n"/>
      <c r="AI182" s="14" t="n"/>
      <c r="AJ182" s="14" t="n">
        <v>0.1713755954043884</v>
      </c>
      <c r="AK182" s="14" t="n"/>
      <c r="AL182" s="14" t="n"/>
      <c r="AM182" s="14" t="n"/>
      <c r="AN182" s="14" t="inlineStr">
        <is>
          <t>EVALUATED</t>
        </is>
      </c>
      <c r="AO182" s="14" t="inlineStr">
        <is>
          <t>GIVING_VALIDATED_EDGE;BUCKET_PRIOR_ONLY;INTENT_INTERPRETATION_ONLY;FFL_OPTIONAL;EXPERT_MARKET</t>
        </is>
      </c>
      <c r="AP182" s="14" t="inlineStr">
        <is>
          <t>86e67aa6d37b6505ca7e</t>
        </is>
      </c>
      <c r="AQ182" s="14" t="n">
        <v>-1.25</v>
      </c>
      <c r="AR182" s="14" t="n">
        <v>0.88</v>
      </c>
      <c r="AS182" s="14" t="n">
        <v>-1.25</v>
      </c>
      <c r="AT182" s="14" t="n">
        <v>1.25</v>
      </c>
      <c r="AU182" s="14" t="n">
        <v>0.88</v>
      </c>
      <c r="AV182" s="14" t="n">
        <v>0.82</v>
      </c>
      <c r="AW182" s="14" t="inlineStr">
        <is>
          <t>2026-10-04T09:58:08.993953+08:00</t>
        </is>
      </c>
      <c r="AX182" s="14" t="inlineStr">
        <is>
          <t>Titan007 Next</t>
        </is>
      </c>
      <c r="AY182" s="14" t="inlineStr">
        <is>
          <t>V4 Shadow Only；real_money=false；新增冻结记录</t>
        </is>
      </c>
    </row>
    <row r="183" ht="22" customHeight="1" s="39">
      <c r="A183" s="14" t="inlineStr">
        <is>
          <t>2026-10-04</t>
        </is>
      </c>
      <c r="B183" s="14" t="inlineStr">
        <is>
          <t>2026-10-04 17:00:00</t>
        </is>
      </c>
      <c r="C183" s="14" t="inlineStr">
        <is>
          <t>INTERNATIONAL_FRIENDLY</t>
        </is>
      </c>
      <c r="D183" s="14" t="inlineStr">
        <is>
          <t>联赛</t>
        </is>
      </c>
      <c r="E183" s="14" t="inlineStr">
        <is>
          <t>国际友谊</t>
        </is>
      </c>
      <c r="F183" s="14" t="inlineStr">
        <is>
          <t>巴西U20 vs 墨西哥U20</t>
        </is>
      </c>
      <c r="G183" s="26" t="n">
        <v>0.98</v>
      </c>
      <c r="H183" s="26" t="n">
        <v>-0.5</v>
      </c>
      <c r="I183" s="26" t="n">
        <v>0.84</v>
      </c>
      <c r="J183" s="26" t="inlineStr">
        <is>
          <t>0.98/-0.5/0.84</t>
        </is>
      </c>
      <c r="K183" s="14" t="inlineStr">
        <is>
          <t>V4-C｜EV 0.16300512385717636</t>
        </is>
      </c>
      <c r="L183" s="14" t="inlineStr">
        <is>
          <t>巴西U20</t>
        </is>
      </c>
      <c r="M183" s="47" t="n">
        <v>0.5873763251803922</v>
      </c>
      <c r="N183" s="14" t="inlineStr">
        <is>
          <t>V4纸面入选-C</t>
        </is>
      </c>
      <c r="O183" s="14" t="inlineStr">
        <is>
          <t>4-0</t>
        </is>
      </c>
      <c r="P183" s="14" t="inlineStr">
        <is>
          <t>已结算</t>
        </is>
      </c>
      <c r="Q183" s="14" t="inlineStr">
        <is>
          <t>红</t>
        </is>
      </c>
      <c r="R183" s="48" t="n">
        <v>0.98</v>
      </c>
      <c r="S183" s="48" t="n">
        <v>0.49</v>
      </c>
      <c r="T183" s="14" t="inlineStr">
        <is>
          <t>D:\codex\v3_legacy\outputs\football_odds_trader\raw\titan007\20261004\20261004_135431_titan007_odds_snapshot.csv</t>
        </is>
      </c>
      <c r="U183" s="14">
        <f>IF(Q183="","",IF(Q183="待结算","待结算",IF(Q183="红","黑",IF(Q183="半红","半黑",IF(Q183="走","走",IF(Q183="半黑","半红","红"))))))</f>
        <v/>
      </c>
      <c r="V183" s="48">
        <f>IF(OR(U183="",U183="待结算"),"",IF(L183=LEFT(F183,FIND(" vs ",F183)-1),I183,G183))</f>
        <v/>
      </c>
      <c r="W183" s="48">
        <f>IF(OR(U183="",U183="待结算"),"",IF(U183="红",V183,IF(U183="半红",V183*0.5,IF(U183="走",0,IF(U183="半黑",-0.5,-1)))))</f>
        <v/>
      </c>
      <c r="X183" s="14" t="inlineStr">
        <is>
          <t>3096443</t>
        </is>
      </c>
      <c r="Y183" s="14" t="inlineStr">
        <is>
          <t>V4</t>
        </is>
      </c>
      <c r="Z183" s="14" t="inlineStr">
        <is>
          <t>prior-2026-10-04-v1</t>
        </is>
      </c>
      <c r="AA183" s="14" t="inlineStr">
        <is>
          <t>C</t>
        </is>
      </c>
      <c r="AB183" s="14" t="n">
        <v>0.5873763251803922</v>
      </c>
      <c r="AC183" s="14" t="n">
        <v>0</v>
      </c>
      <c r="AD183" s="14" t="n">
        <v>0</v>
      </c>
      <c r="AE183" s="14" t="n">
        <v>0</v>
      </c>
      <c r="AF183" s="14" t="n">
        <v>0.4126236748196079</v>
      </c>
      <c r="AG183" s="14" t="n">
        <v>0.1630051238571764</v>
      </c>
      <c r="AH183" s="14" t="n"/>
      <c r="AI183" s="14" t="n"/>
      <c r="AJ183" s="14" t="n">
        <v>0.1630051238571764</v>
      </c>
      <c r="AK183" s="14" t="n"/>
      <c r="AL183" s="14" t="n"/>
      <c r="AM183" s="14" t="n"/>
      <c r="AN183" s="14" t="inlineStr">
        <is>
          <t>EVALUATED</t>
        </is>
      </c>
      <c r="AO183" s="14" t="inlineStr">
        <is>
          <t>GIVING_VALIDATED_EDGE;BUCKET_PRIOR_ONLY;INTENT_INTERPRETATION_ONLY;FFL_OPTIONAL;EXPERT_MARKET</t>
        </is>
      </c>
      <c r="AP183" s="14" t="inlineStr">
        <is>
          <t>3afdabbdb17433b06f0e</t>
        </is>
      </c>
      <c r="AQ183" s="14" t="n">
        <v>-0.5</v>
      </c>
      <c r="AR183" s="14" t="n">
        <v>0.98</v>
      </c>
      <c r="AS183" s="14" t="n">
        <v>-0.5</v>
      </c>
      <c r="AT183" s="14" t="n">
        <v>0.5</v>
      </c>
      <c r="AU183" s="14" t="n">
        <v>0.98</v>
      </c>
      <c r="AV183" s="14" t="n">
        <v>0.84</v>
      </c>
      <c r="AW183" s="14" t="inlineStr">
        <is>
          <t>2026-10-04T09:58:08.993953+08:00</t>
        </is>
      </c>
      <c r="AX183" s="14" t="inlineStr">
        <is>
          <t>Titan007 Next</t>
        </is>
      </c>
      <c r="AY183" s="14" t="inlineStr">
        <is>
          <t>V4 Shadow Only；real_money=false；新增冻结记录</t>
        </is>
      </c>
    </row>
    <row r="184" ht="22" customHeight="1" s="39">
      <c r="A184" s="14" t="inlineStr">
        <is>
          <t>2026-10-04</t>
        </is>
      </c>
      <c r="B184" s="14" t="inlineStr">
        <is>
          <t>2026-10-04 17:15:00</t>
        </is>
      </c>
      <c r="C184" s="14" t="inlineStr">
        <is>
          <t>UNKNOWN</t>
        </is>
      </c>
      <c r="D184" s="14" t="inlineStr">
        <is>
          <t>联赛</t>
        </is>
      </c>
      <c r="E184" s="14" t="inlineStr">
        <is>
          <t>奥丁</t>
        </is>
      </c>
      <c r="F184" s="14" t="inlineStr">
        <is>
          <t>维瓦宾特 vs 赫福特</t>
        </is>
      </c>
      <c r="G184" s="26" t="n">
        <v>0.9399999999999999</v>
      </c>
      <c r="H184" s="26" t="n">
        <v>1</v>
      </c>
      <c r="I184" s="26" t="n">
        <v>0.76</v>
      </c>
      <c r="J184" s="26" t="inlineStr">
        <is>
          <t>0.94/1.0/0.76</t>
        </is>
      </c>
      <c r="K184" s="14" t="inlineStr">
        <is>
          <t>V4-C｜EV 0.7184034322843527</t>
        </is>
      </c>
      <c r="L184" s="14" t="inlineStr">
        <is>
          <t>维瓦宾特</t>
        </is>
      </c>
      <c r="M184" s="47" t="n">
        <v>0.8234459028380318</v>
      </c>
      <c r="N184" s="14" t="inlineStr">
        <is>
          <t>V4纸面入选-C</t>
        </is>
      </c>
      <c r="O184" s="14" t="inlineStr">
        <is>
          <t>0-1</t>
        </is>
      </c>
      <c r="P184" s="14" t="inlineStr">
        <is>
          <t>已结算</t>
        </is>
      </c>
      <c r="Q184" s="14" t="inlineStr">
        <is>
          <t>走</t>
        </is>
      </c>
      <c r="R184" s="48" t="n">
        <v>0.9399999999999999</v>
      </c>
      <c r="S184" s="48" t="n">
        <v>0.47</v>
      </c>
      <c r="T184" s="14" t="inlineStr">
        <is>
          <t>D:\codex\v3_legacy\outputs\football_odds_trader\raw\titan007\20261004\20261004_135431_titan007_odds_snapshot.csv</t>
        </is>
      </c>
      <c r="U184" s="14">
        <f>IF(Q184="","",IF(Q184="待结算","待结算",IF(Q184="红","黑",IF(Q184="半红","半黑",IF(Q184="走","走",IF(Q184="半黑","半红","红"))))))</f>
        <v/>
      </c>
      <c r="V184" s="48">
        <f>IF(OR(U184="",U184="待结算"),"",IF(L184=LEFT(F184,FIND(" vs ",F184)-1),I184,G184))</f>
        <v/>
      </c>
      <c r="W184" s="48">
        <f>IF(OR(U184="",U184="待结算"),"",IF(U184="红",V184,IF(U184="半红",V184*0.5,IF(U184="走",0,IF(U184="半黑",-0.5,-1)))))</f>
        <v/>
      </c>
      <c r="X184" s="14" t="inlineStr">
        <is>
          <t>3097573</t>
        </is>
      </c>
      <c r="Y184" s="14" t="inlineStr">
        <is>
          <t>V4</t>
        </is>
      </c>
      <c r="Z184" s="14" t="inlineStr">
        <is>
          <t>prior-2026-10-04-v1</t>
        </is>
      </c>
      <c r="AA184" s="14" t="inlineStr">
        <is>
          <t>C</t>
        </is>
      </c>
      <c r="AB184" s="14" t="n">
        <v>0.8234459028380318</v>
      </c>
      <c r="AC184" s="14" t="n">
        <v>0</v>
      </c>
      <c r="AD184" s="14" t="n">
        <v>0.1209183807785711</v>
      </c>
      <c r="AE184" s="14" t="n">
        <v>0</v>
      </c>
      <c r="AF184" s="14" t="n">
        <v>0.05563571638339718</v>
      </c>
      <c r="AG184" s="14" t="n">
        <v>0.7184034322843527</v>
      </c>
      <c r="AH184" s="14" t="n"/>
      <c r="AI184" s="14" t="n"/>
      <c r="AJ184" s="14" t="n">
        <v>0.7184034322843527</v>
      </c>
      <c r="AK184" s="14" t="n"/>
      <c r="AL184" s="14" t="n"/>
      <c r="AM184" s="14" t="n"/>
      <c r="AN184" s="14" t="inlineStr">
        <is>
          <t>EVALUATED</t>
        </is>
      </c>
      <c r="AO184" s="14" t="inlineStr">
        <is>
          <t>RECEIVING_VALIDATED_EDGE;BUCKET_PRIOR_ONLY;INTENT_INTERPRETATION_ONLY;FFL_OPTIONAL;EXPERT_MARKET</t>
        </is>
      </c>
      <c r="AP184" s="14" t="inlineStr">
        <is>
          <t>3c8572cbe7d51d47a6c1</t>
        </is>
      </c>
      <c r="AQ184" s="14" t="n">
        <v>1</v>
      </c>
      <c r="AR184" s="14" t="n">
        <v>0.9399999999999999</v>
      </c>
      <c r="AS184" s="14" t="n">
        <v>-1</v>
      </c>
      <c r="AT184" s="14" t="n">
        <v>1</v>
      </c>
      <c r="AU184" s="14" t="n">
        <v>0.76</v>
      </c>
      <c r="AV184" s="14" t="n">
        <v>0.9399999999999999</v>
      </c>
      <c r="AW184" s="14" t="inlineStr">
        <is>
          <t>2026-10-04T09:58:08.993953+08:00</t>
        </is>
      </c>
      <c r="AX184" s="14" t="inlineStr">
        <is>
          <t>Titan007 Next</t>
        </is>
      </c>
      <c r="AY184" s="14" t="inlineStr">
        <is>
          <t>V4 Shadow Only；real_money=false；新增冻结记录</t>
        </is>
      </c>
    </row>
    <row r="185" ht="22" customHeight="1" s="39">
      <c r="A185" s="14" t="inlineStr">
        <is>
          <t>2026-10-04</t>
        </is>
      </c>
      <c r="B185" s="14" t="inlineStr">
        <is>
          <t>2026-10-04 17:30:00</t>
        </is>
      </c>
      <c r="C185" s="14" t="inlineStr">
        <is>
          <t>CLUB_LEAGUE</t>
        </is>
      </c>
      <c r="D185" s="14" t="inlineStr">
        <is>
          <t>联赛</t>
        </is>
      </c>
      <c r="E185" s="14" t="inlineStr">
        <is>
          <t>西协乙3</t>
        </is>
      </c>
      <c r="F185" s="14" t="inlineStr">
        <is>
          <t>华伦西亚梅斯塔拉 vs 彭拿迪坡缇瓦</t>
        </is>
      </c>
      <c r="G185" s="26" t="n">
        <v>0.8</v>
      </c>
      <c r="H185" s="26" t="n">
        <v>-0.5</v>
      </c>
      <c r="I185" s="26" t="n">
        <v>0.9</v>
      </c>
      <c r="J185" s="26" t="inlineStr">
        <is>
          <t>0.8/-0.5/0.9</t>
        </is>
      </c>
      <c r="K185" s="14" t="inlineStr">
        <is>
          <t>V4-B｜EV 0.10449852001001003</t>
        </is>
      </c>
      <c r="L185" s="14" t="inlineStr">
        <is>
          <t>华伦西亚梅斯塔拉</t>
        </is>
      </c>
      <c r="M185" s="47" t="n">
        <v>0.61361028889445</v>
      </c>
      <c r="N185" s="14" t="inlineStr">
        <is>
          <t>V4纸面入选-B</t>
        </is>
      </c>
      <c r="O185" s="14" t="inlineStr">
        <is>
          <t>3-2</t>
        </is>
      </c>
      <c r="P185" s="14" t="inlineStr">
        <is>
          <t>已结算</t>
        </is>
      </c>
      <c r="Q185" s="14" t="inlineStr">
        <is>
          <t>红</t>
        </is>
      </c>
      <c r="R185" s="48" t="n">
        <v>0.8</v>
      </c>
      <c r="S185" s="48" t="n">
        <v>0.4</v>
      </c>
      <c r="T185" s="14" t="inlineStr">
        <is>
          <t>D:\codex\v3_legacy\outputs\football_odds_trader\raw\titan007\20261004\20261004_135431_titan007_odds_snapshot.csv</t>
        </is>
      </c>
      <c r="U185" s="14">
        <f>IF(Q185="","",IF(Q185="待结算","待结算",IF(Q185="红","黑",IF(Q185="半红","半黑",IF(Q185="走","走",IF(Q185="半黑","半红","红"))))))</f>
        <v/>
      </c>
      <c r="V185" s="48">
        <f>IF(OR(U185="",U185="待结算"),"",IF(L185=LEFT(F185,FIND(" vs ",F185)-1),I185,G185))</f>
        <v/>
      </c>
      <c r="W185" s="48">
        <f>IF(OR(U185="",U185="待结算"),"",IF(U185="红",V185,IF(U185="半红",V185*0.5,IF(U185="走",0,IF(U185="半黑",-0.5,-1)))))</f>
        <v/>
      </c>
      <c r="X185" s="14" t="inlineStr">
        <is>
          <t>3015901</t>
        </is>
      </c>
      <c r="Y185" s="14" t="inlineStr">
        <is>
          <t>V4</t>
        </is>
      </c>
      <c r="Z185" s="14" t="inlineStr">
        <is>
          <t>prior-2026-10-04-v1</t>
        </is>
      </c>
      <c r="AA185" s="14" t="inlineStr">
        <is>
          <t>B</t>
        </is>
      </c>
      <c r="AB185" s="14" t="n">
        <v>0.61361028889445</v>
      </c>
      <c r="AC185" s="14" t="n">
        <v>0</v>
      </c>
      <c r="AD185" s="14" t="n">
        <v>0</v>
      </c>
      <c r="AE185" s="14" t="n">
        <v>0</v>
      </c>
      <c r="AF185" s="14" t="n">
        <v>0.38638971110555</v>
      </c>
      <c r="AG185" s="14" t="n">
        <v>0.10449852001001</v>
      </c>
      <c r="AH185" s="14" t="n"/>
      <c r="AI185" s="14" t="n"/>
      <c r="AJ185" s="14" t="n">
        <v>0.10449852001001</v>
      </c>
      <c r="AK185" s="14" t="n"/>
      <c r="AL185" s="14" t="n"/>
      <c r="AM185" s="14" t="n"/>
      <c r="AN185" s="14" t="inlineStr">
        <is>
          <t>EVALUATED</t>
        </is>
      </c>
      <c r="AO185" s="14" t="inlineStr">
        <is>
          <t>GIVING_VALIDATED_EDGE;BUCKET_PRIOR_ONLY;INTENT_INTERPRETATION_ONLY;FFL_OPTIONAL;EXPERT_MARKET</t>
        </is>
      </c>
      <c r="AP185" s="14" t="inlineStr">
        <is>
          <t>cebb52e9e281cb39c9d0</t>
        </is>
      </c>
      <c r="AQ185" s="14" t="n">
        <v>-0.5</v>
      </c>
      <c r="AR185" s="14" t="n">
        <v>0.8</v>
      </c>
      <c r="AS185" s="14" t="n">
        <v>-0.5</v>
      </c>
      <c r="AT185" s="14" t="n">
        <v>0.5</v>
      </c>
      <c r="AU185" s="14" t="n">
        <v>0.8</v>
      </c>
      <c r="AV185" s="14" t="n">
        <v>0.9</v>
      </c>
      <c r="AW185" s="14" t="inlineStr">
        <is>
          <t>2026-10-04T09:58:08.993953+08:00</t>
        </is>
      </c>
      <c r="AX185" s="14" t="inlineStr">
        <is>
          <t>Titan007 Next</t>
        </is>
      </c>
      <c r="AY185" s="14" t="inlineStr">
        <is>
          <t>V4 Shadow Only；real_money=false；新增冻结记录</t>
        </is>
      </c>
    </row>
    <row r="186" ht="22" customHeight="1" s="39">
      <c r="A186" s="14" t="inlineStr">
        <is>
          <t>2026-10-04</t>
        </is>
      </c>
      <c r="B186" s="14" t="inlineStr">
        <is>
          <t>2026-10-04 17:30:00</t>
        </is>
      </c>
      <c r="C186" s="14" t="inlineStr">
        <is>
          <t>CLUB_LEAGUE</t>
        </is>
      </c>
      <c r="D186" s="14" t="inlineStr">
        <is>
          <t>联赛</t>
        </is>
      </c>
      <c r="E186" s="14" t="inlineStr">
        <is>
          <t>丹女超</t>
        </is>
      </c>
      <c r="F186" s="14" t="inlineStr">
        <is>
          <t>欧登塞女足 vs 约灵女足</t>
        </is>
      </c>
      <c r="G186" s="26" t="n">
        <v>0.92</v>
      </c>
      <c r="H186" s="26" t="n">
        <v>1.5</v>
      </c>
      <c r="I186" s="26" t="n">
        <v>0.78</v>
      </c>
      <c r="J186" s="26" t="inlineStr">
        <is>
          <t>0.92/1.5/0.78</t>
        </is>
      </c>
      <c r="K186" s="14" t="inlineStr">
        <is>
          <t>V4-B｜EV 0.9117260674721873</t>
        </is>
      </c>
      <c r="L186" s="14" t="inlineStr">
        <is>
          <t>欧登塞女足</t>
        </is>
      </c>
      <c r="M186" s="47" t="n">
        <v>0.9956906601417642</v>
      </c>
      <c r="N186" s="14" t="inlineStr">
        <is>
          <t>V4纸面入选-B</t>
        </is>
      </c>
      <c r="O186" s="14" t="inlineStr">
        <is>
          <t>0-3</t>
        </is>
      </c>
      <c r="P186" s="14" t="inlineStr">
        <is>
          <t>已结算</t>
        </is>
      </c>
      <c r="Q186" s="14" t="inlineStr">
        <is>
          <t>黑</t>
        </is>
      </c>
      <c r="R186" s="48" t="n">
        <v>0.92</v>
      </c>
      <c r="S186" s="48" t="n">
        <v>0.46</v>
      </c>
      <c r="T186" s="14" t="inlineStr">
        <is>
          <t>D:\codex\v3_legacy\outputs\football_odds_trader\raw\titan007\20261004\20261004_135431_titan007_odds_snapshot.csv</t>
        </is>
      </c>
      <c r="U186" s="14">
        <f>IF(Q186="","",IF(Q186="待结算","待结算",IF(Q186="红","黑",IF(Q186="半红","半黑",IF(Q186="走","走",IF(Q186="半黑","半红","红"))))))</f>
        <v/>
      </c>
      <c r="V186" s="48">
        <f>IF(OR(U186="",U186="待结算"),"",IF(L186=LEFT(F186,FIND(" vs ",F186)-1),I186,G186))</f>
        <v/>
      </c>
      <c r="W186" s="48">
        <f>IF(OR(U186="",U186="待结算"),"",IF(U186="红",V186,IF(U186="半红",V186*0.5,IF(U186="走",0,IF(U186="半黑",-0.5,-1)))))</f>
        <v/>
      </c>
      <c r="X186" s="14" t="inlineStr">
        <is>
          <t>3040407</t>
        </is>
      </c>
      <c r="Y186" s="14" t="inlineStr">
        <is>
          <t>V4</t>
        </is>
      </c>
      <c r="Z186" s="14" t="inlineStr">
        <is>
          <t>prior-2026-10-04-v1</t>
        </is>
      </c>
      <c r="AA186" s="14" t="inlineStr">
        <is>
          <t>B</t>
        </is>
      </c>
      <c r="AB186" s="14" t="n">
        <v>0.9956906601417642</v>
      </c>
      <c r="AC186" s="14" t="n">
        <v>0</v>
      </c>
      <c r="AD186" s="14" t="n">
        <v>0</v>
      </c>
      <c r="AE186" s="14" t="n">
        <v>0</v>
      </c>
      <c r="AF186" s="14" t="n">
        <v>0.004309339858235816</v>
      </c>
      <c r="AG186" s="14" t="n">
        <v>0.9117260674721873</v>
      </c>
      <c r="AH186" s="14" t="n"/>
      <c r="AI186" s="14" t="n"/>
      <c r="AJ186" s="14" t="n">
        <v>0.9117260674721873</v>
      </c>
      <c r="AK186" s="14" t="n"/>
      <c r="AL186" s="14" t="n"/>
      <c r="AM186" s="14" t="n"/>
      <c r="AN186" s="14" t="inlineStr">
        <is>
          <t>EVALUATED</t>
        </is>
      </c>
      <c r="AO186" s="14" t="inlineStr">
        <is>
          <t>RECEIVING_VALIDATED_EDGE;BUCKET_PRIOR_ONLY;INTENT_INTERPRETATION_ONLY;FFL_OPTIONAL;EXPERT_MARKET</t>
        </is>
      </c>
      <c r="AP186" s="14" t="inlineStr">
        <is>
          <t>745dbf4a72b05f12140c</t>
        </is>
      </c>
      <c r="AQ186" s="14" t="n">
        <v>1.5</v>
      </c>
      <c r="AR186" s="14" t="n">
        <v>0.92</v>
      </c>
      <c r="AS186" s="14" t="n">
        <v>-1.5</v>
      </c>
      <c r="AT186" s="14" t="n">
        <v>1.5</v>
      </c>
      <c r="AU186" s="14" t="n">
        <v>0.78</v>
      </c>
      <c r="AV186" s="14" t="n">
        <v>0.92</v>
      </c>
      <c r="AW186" s="14" t="inlineStr">
        <is>
          <t>2026-10-04T09:58:08.993953+08:00</t>
        </is>
      </c>
      <c r="AX186" s="14" t="inlineStr">
        <is>
          <t>Titan007 Next</t>
        </is>
      </c>
      <c r="AY186" s="14" t="inlineStr">
        <is>
          <t>V4 Shadow Only；real_money=false；新增冻结记录</t>
        </is>
      </c>
    </row>
    <row r="187" ht="22" customHeight="1" s="39">
      <c r="A187" s="14" t="inlineStr">
        <is>
          <t>2026-10-04</t>
        </is>
      </c>
      <c r="B187" s="14" t="inlineStr">
        <is>
          <t>2026-10-04 17:30:00</t>
        </is>
      </c>
      <c r="C187" s="14" t="inlineStr">
        <is>
          <t>CLUB_LEAGUE</t>
        </is>
      </c>
      <c r="D187" s="14" t="inlineStr">
        <is>
          <t>联赛</t>
        </is>
      </c>
      <c r="E187" s="14" t="inlineStr">
        <is>
          <t>乌克甲</t>
        </is>
      </c>
      <c r="F187" s="14" t="inlineStr">
        <is>
          <t>高华尤夫卡B队 vs 亚历山德里亚</t>
        </is>
      </c>
      <c r="G187" s="26" t="n">
        <v>0.8</v>
      </c>
      <c r="H187" s="26" t="n">
        <v>0.75</v>
      </c>
      <c r="I187" s="26" t="n">
        <v>0.9</v>
      </c>
      <c r="J187" s="26" t="inlineStr">
        <is>
          <t>0.8/0.75/0.9</t>
        </is>
      </c>
      <c r="K187" s="14" t="inlineStr">
        <is>
          <t>V4-B｜EV 0.637823587880749</t>
        </is>
      </c>
      <c r="L187" s="14" t="inlineStr">
        <is>
          <t>高华尤夫卡B队</t>
        </is>
      </c>
      <c r="M187" s="47" t="n">
        <v>0.8862802619118844</v>
      </c>
      <c r="N187" s="14" t="inlineStr">
        <is>
          <t>V4纸面入选-B</t>
        </is>
      </c>
      <c r="O187" s="14" t="inlineStr">
        <is>
          <t>0-2</t>
        </is>
      </c>
      <c r="P187" s="14" t="inlineStr">
        <is>
          <t>已结算</t>
        </is>
      </c>
      <c r="Q187" s="14" t="inlineStr">
        <is>
          <t>黑</t>
        </is>
      </c>
      <c r="R187" s="48" t="n">
        <v>0.8</v>
      </c>
      <c r="S187" s="48" t="n">
        <v>0.4</v>
      </c>
      <c r="T187" s="14" t="inlineStr">
        <is>
          <t>D:\codex\v3_legacy\outputs\football_odds_trader\raw\titan007\20261004\20261004_135431_titan007_odds_snapshot.csv</t>
        </is>
      </c>
      <c r="U187" s="14">
        <f>IF(Q187="","",IF(Q187="待结算","待结算",IF(Q187="红","黑",IF(Q187="半红","半黑",IF(Q187="走","走",IF(Q187="半黑","半红","红"))))))</f>
        <v/>
      </c>
      <c r="V187" s="48">
        <f>IF(OR(U187="",U187="待结算"),"",IF(L187=LEFT(F187,FIND(" vs ",F187)-1),I187,G187))</f>
        <v/>
      </c>
      <c r="W187" s="48">
        <f>IF(OR(U187="",U187="待结算"),"",IF(U187="红",V187,IF(U187="半红",V187*0.5,IF(U187="走",0,IF(U187="半黑",-0.5,-1)))))</f>
        <v/>
      </c>
      <c r="X187" s="14" t="inlineStr">
        <is>
          <t>3035665</t>
        </is>
      </c>
      <c r="Y187" s="14" t="inlineStr">
        <is>
          <t>V4</t>
        </is>
      </c>
      <c r="Z187" s="14" t="inlineStr">
        <is>
          <t>prior-2026-10-04-v1</t>
        </is>
      </c>
      <c r="AA187" s="14" t="inlineStr">
        <is>
          <t>B</t>
        </is>
      </c>
      <c r="AB187" s="14" t="n">
        <v>0.8862802619118844</v>
      </c>
      <c r="AC187" s="14" t="n">
        <v>0</v>
      </c>
      <c r="AD187" s="14" t="n">
        <v>0</v>
      </c>
      <c r="AE187" s="14" t="n">
        <v>0.08503823287871444</v>
      </c>
      <c r="AF187" s="14" t="n">
        <v>0.02868150520940123</v>
      </c>
      <c r="AG187" s="14" t="n">
        <v>0.637823587880749</v>
      </c>
      <c r="AH187" s="14" t="n"/>
      <c r="AI187" s="14" t="n"/>
      <c r="AJ187" s="14" t="n">
        <v>0.637823587880749</v>
      </c>
      <c r="AK187" s="14" t="n"/>
      <c r="AL187" s="14" t="n"/>
      <c r="AM187" s="14" t="n"/>
      <c r="AN187" s="14" t="inlineStr">
        <is>
          <t>EVALUATED</t>
        </is>
      </c>
      <c r="AO187" s="14" t="inlineStr">
        <is>
          <t>RECEIVING_VALIDATED_EDGE;BUCKET_PRIOR_ONLY;INTENT_INTERPRETATION_ONLY;FFL_OPTIONAL;EXPERT_MARKET</t>
        </is>
      </c>
      <c r="AP187" s="14" t="inlineStr">
        <is>
          <t>1226a91053cf9a5a6750</t>
        </is>
      </c>
      <c r="AQ187" s="14" t="n">
        <v>0.75</v>
      </c>
      <c r="AR187" s="14" t="n">
        <v>0.8</v>
      </c>
      <c r="AS187" s="14" t="n">
        <v>-0.75</v>
      </c>
      <c r="AT187" s="14" t="n">
        <v>0.75</v>
      </c>
      <c r="AU187" s="14" t="n">
        <v>0.9</v>
      </c>
      <c r="AV187" s="14" t="n">
        <v>0.8</v>
      </c>
      <c r="AW187" s="14" t="inlineStr">
        <is>
          <t>2026-10-04T09:58:08.993953+08:00</t>
        </is>
      </c>
      <c r="AX187" s="14" t="inlineStr">
        <is>
          <t>Titan007 Next</t>
        </is>
      </c>
      <c r="AY187" s="14" t="inlineStr">
        <is>
          <t>V4 Shadow Only；real_money=false；新增冻结记录</t>
        </is>
      </c>
    </row>
    <row r="188" ht="22" customHeight="1" s="39">
      <c r="A188" s="14" t="inlineStr">
        <is>
          <t>2026-10-04</t>
        </is>
      </c>
      <c r="B188" s="14" t="inlineStr">
        <is>
          <t>2026-10-04 17:30:00</t>
        </is>
      </c>
      <c r="C188" s="14" t="inlineStr">
        <is>
          <t>UNKNOWN</t>
        </is>
      </c>
      <c r="D188" s="14" t="inlineStr">
        <is>
          <t>联赛</t>
        </is>
      </c>
      <c r="E188" s="14" t="inlineStr">
        <is>
          <t>西丁</t>
        </is>
      </c>
      <c r="F188" s="14" t="inlineStr">
        <is>
          <t>曼彻格城 vs 艾曼沙</t>
        </is>
      </c>
      <c r="G188" s="26" t="n">
        <v>0.76</v>
      </c>
      <c r="H188" s="26" t="n">
        <v>-0.75</v>
      </c>
      <c r="I188" s="26" t="n">
        <v>0.9399999999999999</v>
      </c>
      <c r="J188" s="26" t="inlineStr">
        <is>
          <t>0.76/-0.75/0.94</t>
        </is>
      </c>
      <c r="K188" s="14" t="inlineStr">
        <is>
          <t>V4-C｜EV 0.10630896385257416</t>
        </is>
      </c>
      <c r="L188" s="14" t="inlineStr">
        <is>
          <t>曼彻格城</t>
        </is>
      </c>
      <c r="M188" s="47" t="n">
        <v>0.5554815514127626</v>
      </c>
      <c r="N188" s="14" t="inlineStr">
        <is>
          <t>V4纸面入选-C</t>
        </is>
      </c>
      <c r="O188" s="14" t="inlineStr">
        <is>
          <t>1-0</t>
        </is>
      </c>
      <c r="P188" s="14" t="inlineStr">
        <is>
          <t>已结算</t>
        </is>
      </c>
      <c r="Q188" s="14" t="inlineStr">
        <is>
          <t>半红</t>
        </is>
      </c>
      <c r="R188" s="48" t="n">
        <v>0.76</v>
      </c>
      <c r="S188" s="48" t="n">
        <v>0.38</v>
      </c>
      <c r="T188" s="14" t="inlineStr">
        <is>
          <t>D:\codex\v3_legacy\outputs\football_odds_trader\raw\titan007\20261004\20261004_135431_titan007_odds_snapshot.csv</t>
        </is>
      </c>
      <c r="U188" s="14">
        <f>IF(Q188="","",IF(Q188="待结算","待结算",IF(Q188="红","黑",IF(Q188="半红","半黑",IF(Q188="走","走",IF(Q188="半黑","半红","红"))))))</f>
        <v/>
      </c>
      <c r="V188" s="48">
        <f>IF(OR(U188="",U188="待结算"),"",IF(L188=LEFT(F188,FIND(" vs ",F188)-1),I188,G188))</f>
        <v/>
      </c>
      <c r="W188" s="48">
        <f>IF(OR(U188="",U188="待结算"),"",IF(U188="红",V188,IF(U188="半红",V188*0.5,IF(U188="走",0,IF(U188="半黑",-0.5,-1)))))</f>
        <v/>
      </c>
      <c r="X188" s="14" t="inlineStr">
        <is>
          <t>3060307</t>
        </is>
      </c>
      <c r="Y188" s="14" t="inlineStr">
        <is>
          <t>V4</t>
        </is>
      </c>
      <c r="Z188" s="14" t="inlineStr">
        <is>
          <t>prior-2026-10-04-v1</t>
        </is>
      </c>
      <c r="AA188" s="14" t="inlineStr">
        <is>
          <t>C</t>
        </is>
      </c>
      <c r="AB188" s="14" t="n">
        <v>0.4268201180466504</v>
      </c>
      <c r="AC188" s="14" t="n">
        <v>0.2573228667322243</v>
      </c>
      <c r="AD188" s="14" t="n">
        <v>0</v>
      </c>
      <c r="AE188" s="14" t="n">
        <v>0</v>
      </c>
      <c r="AF188" s="14" t="n">
        <v>0.3158570152211254</v>
      </c>
      <c r="AG188" s="14" t="n">
        <v>0.1063089638525742</v>
      </c>
      <c r="AH188" s="14" t="n"/>
      <c r="AI188" s="14" t="n"/>
      <c r="AJ188" s="14" t="n">
        <v>0.1063089638525742</v>
      </c>
      <c r="AK188" s="14" t="n"/>
      <c r="AL188" s="14" t="n"/>
      <c r="AM188" s="14" t="n"/>
      <c r="AN188" s="14" t="inlineStr">
        <is>
          <t>EVALUATED</t>
        </is>
      </c>
      <c r="AO188" s="14" t="inlineStr">
        <is>
          <t>GIVING_VALIDATED_EDGE;BUCKET_PRIOR_ONLY;INTENT_INTERPRETATION_ONLY;FFL_OPTIONAL;EXPERT_MARKET</t>
        </is>
      </c>
      <c r="AP188" s="14" t="inlineStr">
        <is>
          <t>b61684fb23948546b63a</t>
        </is>
      </c>
      <c r="AQ188" s="14" t="n">
        <v>-0.75</v>
      </c>
      <c r="AR188" s="14" t="n">
        <v>0.76</v>
      </c>
      <c r="AS188" s="14" t="n">
        <v>-0.75</v>
      </c>
      <c r="AT188" s="14" t="n">
        <v>0.75</v>
      </c>
      <c r="AU188" s="14" t="n">
        <v>0.76</v>
      </c>
      <c r="AV188" s="14" t="n">
        <v>0.9399999999999999</v>
      </c>
      <c r="AW188" s="14" t="inlineStr">
        <is>
          <t>2026-10-04T09:58:08.993953+08:00</t>
        </is>
      </c>
      <c r="AX188" s="14" t="inlineStr">
        <is>
          <t>Titan007 Next</t>
        </is>
      </c>
      <c r="AY188" s="14" t="inlineStr">
        <is>
          <t>V4 Shadow Only；real_money=false；新增冻结记录</t>
        </is>
      </c>
    </row>
    <row r="189" ht="22" customHeight="1" s="39">
      <c r="A189" s="14" t="inlineStr">
        <is>
          <t>2026-10-04</t>
        </is>
      </c>
      <c r="B189" s="14" t="inlineStr">
        <is>
          <t>2026-10-04 17:45:00</t>
        </is>
      </c>
      <c r="C189" s="14" t="inlineStr">
        <is>
          <t>CLUB_LEAGUE</t>
        </is>
      </c>
      <c r="D189" s="14" t="inlineStr">
        <is>
          <t>联赛</t>
        </is>
      </c>
      <c r="E189" s="14" t="inlineStr">
        <is>
          <t>西协乙3</t>
        </is>
      </c>
      <c r="F189" s="14" t="inlineStr">
        <is>
          <t>乌德卡斯特罗尼 vs 穆尔西亚城B队</t>
        </is>
      </c>
      <c r="G189" s="26" t="n">
        <v>0.96</v>
      </c>
      <c r="H189" s="26" t="n">
        <v>-0.5</v>
      </c>
      <c r="I189" s="26" t="n">
        <v>0.74</v>
      </c>
      <c r="J189" s="26" t="inlineStr">
        <is>
          <t>0.96/-0.5/0.74</t>
        </is>
      </c>
      <c r="K189" s="14" t="inlineStr">
        <is>
          <t>V4-B｜EV 0.1895674403080213</t>
        </is>
      </c>
      <c r="L189" s="14" t="inlineStr">
        <is>
          <t>乌德卡斯特罗尼</t>
        </is>
      </c>
      <c r="M189" s="47" t="n">
        <v>0.6069221634224599</v>
      </c>
      <c r="N189" s="14" t="inlineStr">
        <is>
          <t>V4纸面入选-B</t>
        </is>
      </c>
      <c r="O189" s="14" t="inlineStr">
        <is>
          <t>3-0</t>
        </is>
      </c>
      <c r="P189" s="14" t="inlineStr">
        <is>
          <t>已结算</t>
        </is>
      </c>
      <c r="Q189" s="14" t="inlineStr">
        <is>
          <t>红</t>
        </is>
      </c>
      <c r="R189" s="48" t="n">
        <v>0.96</v>
      </c>
      <c r="S189" s="48" t="n">
        <v>0.48</v>
      </c>
      <c r="T189" s="14" t="inlineStr">
        <is>
          <t>D:\codex\v3_legacy\outputs\football_odds_trader\raw\titan007\20261004\20261004_135431_titan007_odds_snapshot.csv</t>
        </is>
      </c>
      <c r="U189" s="14">
        <f>IF(Q189="","",IF(Q189="待结算","待结算",IF(Q189="红","黑",IF(Q189="半红","半黑",IF(Q189="走","走",IF(Q189="半黑","半红","红"))))))</f>
        <v/>
      </c>
      <c r="V189" s="48">
        <f>IF(OR(U189="",U189="待结算"),"",IF(L189=LEFT(F189,FIND(" vs ",F189)-1),I189,G189))</f>
        <v/>
      </c>
      <c r="W189" s="48">
        <f>IF(OR(U189="",U189="待结算"),"",IF(U189="红",V189,IF(U189="半红",V189*0.5,IF(U189="走",0,IF(U189="半黑",-0.5,-1)))))</f>
        <v/>
      </c>
      <c r="X189" s="14" t="inlineStr">
        <is>
          <t>3015894</t>
        </is>
      </c>
      <c r="Y189" s="14" t="inlineStr">
        <is>
          <t>V4</t>
        </is>
      </c>
      <c r="Z189" s="14" t="inlineStr">
        <is>
          <t>prior-2026-10-04-v1</t>
        </is>
      </c>
      <c r="AA189" s="14" t="inlineStr">
        <is>
          <t>B</t>
        </is>
      </c>
      <c r="AB189" s="14" t="n">
        <v>0.6069221634224599</v>
      </c>
      <c r="AC189" s="14" t="n">
        <v>0</v>
      </c>
      <c r="AD189" s="14" t="n">
        <v>0</v>
      </c>
      <c r="AE189" s="14" t="n">
        <v>0</v>
      </c>
      <c r="AF189" s="14" t="n">
        <v>0.3930778365775401</v>
      </c>
      <c r="AG189" s="14" t="n">
        <v>0.1895674403080213</v>
      </c>
      <c r="AH189" s="14" t="n"/>
      <c r="AI189" s="14" t="n"/>
      <c r="AJ189" s="14" t="n">
        <v>0.1895674403080213</v>
      </c>
      <c r="AK189" s="14" t="n"/>
      <c r="AL189" s="14" t="n"/>
      <c r="AM189" s="14" t="n"/>
      <c r="AN189" s="14" t="inlineStr">
        <is>
          <t>EVALUATED</t>
        </is>
      </c>
      <c r="AO189" s="14" t="inlineStr">
        <is>
          <t>GIVING_VALIDATED_EDGE;BUCKET_PRIOR_ONLY;INTENT_INTERPRETATION_ONLY;FFL_OPTIONAL;EXPERT_MARKET</t>
        </is>
      </c>
      <c r="AP189" s="14" t="inlineStr">
        <is>
          <t>fc4bf18de777b74fa586</t>
        </is>
      </c>
      <c r="AQ189" s="14" t="n">
        <v>-0.5</v>
      </c>
      <c r="AR189" s="14" t="n">
        <v>0.96</v>
      </c>
      <c r="AS189" s="14" t="n">
        <v>-0.5</v>
      </c>
      <c r="AT189" s="14" t="n">
        <v>0.5</v>
      </c>
      <c r="AU189" s="14" t="n">
        <v>0.96</v>
      </c>
      <c r="AV189" s="14" t="n">
        <v>0.74</v>
      </c>
      <c r="AW189" s="14" t="inlineStr">
        <is>
          <t>2026-10-04T09:58:08.993953+08:00</t>
        </is>
      </c>
      <c r="AX189" s="14" t="inlineStr">
        <is>
          <t>Titan007 Next</t>
        </is>
      </c>
      <c r="AY189" s="14" t="inlineStr">
        <is>
          <t>V4 Shadow Only；real_money=false；新增冻结记录</t>
        </is>
      </c>
    </row>
    <row r="190" ht="22" customHeight="1" s="39">
      <c r="A190" s="14" t="inlineStr">
        <is>
          <t>2026-10-04</t>
        </is>
      </c>
      <c r="B190" s="14" t="inlineStr">
        <is>
          <t>2026-10-04 18:00:00</t>
        </is>
      </c>
      <c r="C190" s="14" t="inlineStr">
        <is>
          <t>CLUB_LEAGUE</t>
        </is>
      </c>
      <c r="D190" s="14" t="inlineStr">
        <is>
          <t>联赛</t>
        </is>
      </c>
      <c r="E190" s="14" t="inlineStr">
        <is>
          <t>西协甲</t>
        </is>
      </c>
      <c r="F190" s="14" t="inlineStr">
        <is>
          <t>洛格朗尼斯 vs 拉科鲁尼亚B队</t>
        </is>
      </c>
      <c r="G190" s="26" t="n">
        <v>0.74</v>
      </c>
      <c r="H190" s="26" t="n">
        <v>-0.75</v>
      </c>
      <c r="I190" s="26" t="n">
        <v>0.96</v>
      </c>
      <c r="J190" s="26" t="inlineStr">
        <is>
          <t>0.74/-0.75/0.96</t>
        </is>
      </c>
      <c r="K190" s="14" t="inlineStr">
        <is>
          <t>V4-B｜EV 0.12458988132889082</t>
        </is>
      </c>
      <c r="L190" s="14" t="inlineStr">
        <is>
          <t>洛格朗尼斯</t>
        </is>
      </c>
      <c r="M190" s="47" t="n">
        <v>0.5726162418622126</v>
      </c>
      <c r="N190" s="14" t="inlineStr">
        <is>
          <t>V4纸面入选-B</t>
        </is>
      </c>
      <c r="O190" s="14" t="inlineStr">
        <is>
          <t>2-1</t>
        </is>
      </c>
      <c r="P190" s="14" t="inlineStr">
        <is>
          <t>已结算</t>
        </is>
      </c>
      <c r="Q190" s="14" t="inlineStr">
        <is>
          <t>半红</t>
        </is>
      </c>
      <c r="R190" s="48" t="n">
        <v>0.74</v>
      </c>
      <c r="S190" s="48" t="n">
        <v>0.37</v>
      </c>
      <c r="T190" s="14" t="inlineStr">
        <is>
          <t>D:\codex\v3_legacy\outputs\football_odds_trader\raw\titan007\20261004\20261004_135431_titan007_odds_snapshot.csv</t>
        </is>
      </c>
      <c r="U190" s="14">
        <f>IF(Q190="","",IF(Q190="待结算","待结算",IF(Q190="红","黑",IF(Q190="半红","半黑",IF(Q190="走","走",IF(Q190="半黑","半红","红"))))))</f>
        <v/>
      </c>
      <c r="V190" s="48">
        <f>IF(OR(U190="",U190="待结算"),"",IF(L190=LEFT(F190,FIND(" vs ",F190)-1),I190,G190))</f>
        <v/>
      </c>
      <c r="W190" s="48">
        <f>IF(OR(U190="",U190="待结算"),"",IF(U190="红",V190,IF(U190="半红",V190*0.5,IF(U190="走",0,IF(U190="半黑",-0.5,-1)))))</f>
        <v/>
      </c>
      <c r="X190" s="14" t="inlineStr">
        <is>
          <t>3014541</t>
        </is>
      </c>
      <c r="Y190" s="14" t="inlineStr">
        <is>
          <t>V4</t>
        </is>
      </c>
      <c r="Z190" s="14" t="inlineStr">
        <is>
          <t>prior-2026-10-04-v1</t>
        </is>
      </c>
      <c r="AA190" s="14" t="inlineStr">
        <is>
          <t>B</t>
        </is>
      </c>
      <c r="AB190" s="14" t="n">
        <v>0.4443786213735717</v>
      </c>
      <c r="AC190" s="14" t="n">
        <v>0.2564752409772819</v>
      </c>
      <c r="AD190" s="14" t="n">
        <v>0</v>
      </c>
      <c r="AE190" s="14" t="n">
        <v>0</v>
      </c>
      <c r="AF190" s="14" t="n">
        <v>0.2991461376491465</v>
      </c>
      <c r="AG190" s="14" t="n">
        <v>0.1245898813288908</v>
      </c>
      <c r="AH190" s="14" t="n"/>
      <c r="AI190" s="14" t="n"/>
      <c r="AJ190" s="14" t="n">
        <v>0.1245898813288908</v>
      </c>
      <c r="AK190" s="14" t="n"/>
      <c r="AL190" s="14" t="n"/>
      <c r="AM190" s="14" t="n"/>
      <c r="AN190" s="14" t="inlineStr">
        <is>
          <t>EVALUATED</t>
        </is>
      </c>
      <c r="AO190" s="14" t="inlineStr">
        <is>
          <t>GIVING_VALIDATED_EDGE;BUCKET_PRIOR_ONLY;INTENT_INTERPRETATION_ONLY;FFL_OPTIONAL;EXPERT_MARKET</t>
        </is>
      </c>
      <c r="AP190" s="14" t="inlineStr">
        <is>
          <t>381c2d4cf469f9128928</t>
        </is>
      </c>
      <c r="AQ190" s="14" t="n">
        <v>-0.75</v>
      </c>
      <c r="AR190" s="14" t="n">
        <v>0.74</v>
      </c>
      <c r="AS190" s="14" t="n">
        <v>-0.75</v>
      </c>
      <c r="AT190" s="14" t="n">
        <v>0.75</v>
      </c>
      <c r="AU190" s="14" t="n">
        <v>0.74</v>
      </c>
      <c r="AV190" s="14" t="n">
        <v>0.96</v>
      </c>
      <c r="AW190" s="14" t="inlineStr">
        <is>
          <t>2026-10-04T09:58:08.993953+08:00</t>
        </is>
      </c>
      <c r="AX190" s="14" t="inlineStr">
        <is>
          <t>Titan007 Next</t>
        </is>
      </c>
      <c r="AY190" s="14" t="inlineStr">
        <is>
          <t>V4 Shadow Only；real_money=false；新增冻结记录</t>
        </is>
      </c>
    </row>
    <row r="191" ht="22" customHeight="1" s="39">
      <c r="A191" s="14" t="inlineStr">
        <is>
          <t>2026-10-04</t>
        </is>
      </c>
      <c r="B191" s="14" t="inlineStr">
        <is>
          <t>2026-10-04 18:00:00</t>
        </is>
      </c>
      <c r="C191" s="14" t="inlineStr">
        <is>
          <t>CLUB_LEAGUE</t>
        </is>
      </c>
      <c r="D191" s="14" t="inlineStr">
        <is>
          <t>联赛</t>
        </is>
      </c>
      <c r="E191" s="14" t="inlineStr">
        <is>
          <t>西协甲</t>
        </is>
      </c>
      <c r="F191" s="14" t="inlineStr">
        <is>
          <t>比利亚雷亚尔B队 vs 伊维萨</t>
        </is>
      </c>
      <c r="G191" s="26" t="n">
        <v>0.78</v>
      </c>
      <c r="H191" s="26" t="n">
        <v>-0.25</v>
      </c>
      <c r="I191" s="26" t="n">
        <v>0.92</v>
      </c>
      <c r="J191" s="26" t="inlineStr">
        <is>
          <t>0.78/-0.25/0.92</t>
        </is>
      </c>
      <c r="K191" s="14" t="inlineStr">
        <is>
          <t>V4-B｜EV 0.12607023388634528</t>
        </is>
      </c>
      <c r="L191" s="14" t="inlineStr">
        <is>
          <t>比利亚雷亚尔B队</t>
        </is>
      </c>
      <c r="M191" s="47" t="n">
        <v>0.5655022268908332</v>
      </c>
      <c r="N191" s="14" t="inlineStr">
        <is>
          <t>V4纸面入选-B</t>
        </is>
      </c>
      <c r="O191" s="14" t="inlineStr">
        <is>
          <t>0-1</t>
        </is>
      </c>
      <c r="P191" s="14" t="inlineStr">
        <is>
          <t>已结算</t>
        </is>
      </c>
      <c r="Q191" s="14" t="inlineStr">
        <is>
          <t>黑</t>
        </is>
      </c>
      <c r="R191" s="48" t="n">
        <v>0.78</v>
      </c>
      <c r="S191" s="48" t="n">
        <v>0</v>
      </c>
      <c r="T191" s="14" t="inlineStr">
        <is>
          <t>D:\codex\v3_legacy\outputs\football_odds_trader\raw\titan007\20261004\20261004_135431_titan007_odds_snapshot.csv</t>
        </is>
      </c>
      <c r="U191" s="14">
        <f>IF(Q191="","",IF(Q191="待结算","待结算",IF(Q191="红","黑",IF(Q191="半红","半黑",IF(Q191="走","走",IF(Q191="半黑","半红","红"))))))</f>
        <v/>
      </c>
      <c r="V191" s="48">
        <f>IF(OR(U191="",U191="待结算"),"",IF(L191=LEFT(F191,FIND(" vs ",F191)-1),I191,G191))</f>
        <v/>
      </c>
      <c r="W191" s="48">
        <f>IF(OR(U191="",U191="待结算"),"",IF(U191="红",V191,IF(U191="半红",V191*0.5,IF(U191="走",0,IF(U191="半黑",-0.5,-1)))))</f>
        <v/>
      </c>
      <c r="X191" s="14" t="inlineStr">
        <is>
          <t>3014922</t>
        </is>
      </c>
      <c r="Y191" s="14" t="inlineStr">
        <is>
          <t>V4</t>
        </is>
      </c>
      <c r="Z191" s="14" t="inlineStr">
        <is>
          <t>prior-2026-10-04-v1</t>
        </is>
      </c>
      <c r="AA191" s="14" t="inlineStr">
        <is>
          <t>B</t>
        </is>
      </c>
      <c r="AB191" s="14" t="n">
        <v>0.5655022268908332</v>
      </c>
      <c r="AC191" s="14" t="n">
        <v>0</v>
      </c>
      <c r="AD191" s="14" t="n">
        <v>0</v>
      </c>
      <c r="AE191" s="14" t="n">
        <v>0.2389525400413246</v>
      </c>
      <c r="AF191" s="14" t="n">
        <v>0.1955452330678423</v>
      </c>
      <c r="AG191" s="14" t="n">
        <v>0.1260702338863453</v>
      </c>
      <c r="AH191" s="14" t="n"/>
      <c r="AI191" s="14" t="n"/>
      <c r="AJ191" s="14" t="n">
        <v>0.1260702338863453</v>
      </c>
      <c r="AK191" s="14" t="n"/>
      <c r="AL191" s="14" t="n"/>
      <c r="AM191" s="14" t="n"/>
      <c r="AN191" s="14" t="inlineStr">
        <is>
          <t>EVALUATED</t>
        </is>
      </c>
      <c r="AO191" s="14" t="inlineStr">
        <is>
          <t>GIVING_VALIDATED_EDGE;BUCKET_PRIOR_ONLY;INTENT_INTERPRETATION_ONLY;FFL_OPTIONAL;EXPERT_MARKET</t>
        </is>
      </c>
      <c r="AP191" s="14" t="inlineStr">
        <is>
          <t>db98e991aa6ccb1d0d75</t>
        </is>
      </c>
      <c r="AQ191" s="14" t="n">
        <v>-0.25</v>
      </c>
      <c r="AR191" s="14" t="n">
        <v>0.78</v>
      </c>
      <c r="AS191" s="14" t="n">
        <v>-0.25</v>
      </c>
      <c r="AT191" s="14" t="n">
        <v>0.25</v>
      </c>
      <c r="AU191" s="14" t="n">
        <v>0.78</v>
      </c>
      <c r="AV191" s="14" t="n">
        <v>0.92</v>
      </c>
      <c r="AW191" s="14" t="inlineStr">
        <is>
          <t>2026-10-04T09:58:08.993953+08:00</t>
        </is>
      </c>
      <c r="AX191" s="14" t="inlineStr">
        <is>
          <t>Titan007 Next</t>
        </is>
      </c>
      <c r="AY191" s="14" t="inlineStr">
        <is>
          <t>V4 Shadow Only；real_money=false；新增冻结记录</t>
        </is>
      </c>
    </row>
    <row r="192" ht="22" customHeight="1" s="39">
      <c r="A192" s="14" t="inlineStr">
        <is>
          <t>2026-10-04</t>
        </is>
      </c>
      <c r="B192" s="14" t="inlineStr">
        <is>
          <t>2026-10-04 18:00:00</t>
        </is>
      </c>
      <c r="C192" s="14" t="inlineStr">
        <is>
          <t>CLUB_LEAGUE</t>
        </is>
      </c>
      <c r="D192" s="14" t="inlineStr">
        <is>
          <t>联赛</t>
        </is>
      </c>
      <c r="E192" s="14" t="inlineStr">
        <is>
          <t>西协乙5</t>
        </is>
      </c>
      <c r="F192" s="14" t="inlineStr">
        <is>
          <t>赫塔菲B队 vs 努曼西亚</t>
        </is>
      </c>
      <c r="G192" s="26" t="n">
        <v>0.74</v>
      </c>
      <c r="H192" s="26" t="n">
        <v>0.25</v>
      </c>
      <c r="I192" s="26" t="n">
        <v>0.96</v>
      </c>
      <c r="J192" s="26" t="inlineStr">
        <is>
          <t>0.74/0.25/0.96</t>
        </is>
      </c>
      <c r="K192" s="14" t="inlineStr">
        <is>
          <t>V4-B｜EV 0.11469208037258083</t>
        </is>
      </c>
      <c r="L192" s="14" t="inlineStr">
        <is>
          <t>赫塔菲B队</t>
        </is>
      </c>
      <c r="M192" s="47" t="n">
        <v>0.5649642588289125</v>
      </c>
      <c r="N192" s="14" t="inlineStr">
        <is>
          <t>V4纸面入选-B</t>
        </is>
      </c>
      <c r="O192" s="14" t="inlineStr">
        <is>
          <t>0-0</t>
        </is>
      </c>
      <c r="P192" s="14" t="inlineStr">
        <is>
          <t>已结算</t>
        </is>
      </c>
      <c r="Q192" s="14" t="inlineStr">
        <is>
          <t>半红</t>
        </is>
      </c>
      <c r="R192" s="48" t="n">
        <v>0.74</v>
      </c>
      <c r="S192" s="48" t="n">
        <v>0</v>
      </c>
      <c r="T192" s="14" t="inlineStr">
        <is>
          <t>D:\codex\v3_legacy\outputs\football_odds_trader\raw\titan007\20261004\20261004_135431_titan007_odds_snapshot.csv</t>
        </is>
      </c>
      <c r="U192" s="14">
        <f>IF(Q192="","",IF(Q192="待结算","待结算",IF(Q192="红","黑",IF(Q192="半红","半黑",IF(Q192="走","走",IF(Q192="半黑","半红","红"))))))</f>
        <v/>
      </c>
      <c r="V192" s="48">
        <f>IF(OR(U192="",U192="待结算"),"",IF(L192=LEFT(F192,FIND(" vs ",F192)-1),I192,G192))</f>
        <v/>
      </c>
      <c r="W192" s="48">
        <f>IF(OR(U192="",U192="待结算"),"",IF(U192="红",V192,IF(U192="半红",V192*0.5,IF(U192="走",0,IF(U192="半黑",-0.5,-1)))))</f>
        <v/>
      </c>
      <c r="X192" s="14" t="inlineStr">
        <is>
          <t>3083602</t>
        </is>
      </c>
      <c r="Y192" s="14" t="inlineStr">
        <is>
          <t>V4</t>
        </is>
      </c>
      <c r="Z192" s="14" t="inlineStr">
        <is>
          <t>prior-2026-10-04-v1</t>
        </is>
      </c>
      <c r="AA192" s="14" t="inlineStr">
        <is>
          <t>B</t>
        </is>
      </c>
      <c r="AB192" s="14" t="n">
        <v>0.4333099888186395</v>
      </c>
      <c r="AC192" s="14" t="n">
        <v>0.2633085400205461</v>
      </c>
      <c r="AD192" s="14" t="n">
        <v>0</v>
      </c>
      <c r="AE192" s="14" t="n">
        <v>0</v>
      </c>
      <c r="AF192" s="14" t="n">
        <v>0.3033814711608144</v>
      </c>
      <c r="AG192" s="14" t="n">
        <v>0.1146920803725808</v>
      </c>
      <c r="AH192" s="14" t="n"/>
      <c r="AI192" s="14" t="n"/>
      <c r="AJ192" s="14" t="n">
        <v>0.1146920803725808</v>
      </c>
      <c r="AK192" s="14" t="n"/>
      <c r="AL192" s="14" t="n"/>
      <c r="AM192" s="14" t="n"/>
      <c r="AN192" s="14" t="inlineStr">
        <is>
          <t>EVALUATED</t>
        </is>
      </c>
      <c r="AO192" s="14" t="inlineStr">
        <is>
          <t>RECEIVING_VALIDATED_EDGE;BUCKET_PRIOR_ONLY;INTENT_INTERPRETATION_ONLY;FFL_OPTIONAL;EXPERT_MARKET</t>
        </is>
      </c>
      <c r="AP192" s="14" t="inlineStr">
        <is>
          <t>be25734974e60be91abb</t>
        </is>
      </c>
      <c r="AQ192" s="14" t="n">
        <v>0.25</v>
      </c>
      <c r="AR192" s="14" t="n">
        <v>0.74</v>
      </c>
      <c r="AS192" s="14" t="n">
        <v>-0.25</v>
      </c>
      <c r="AT192" s="14" t="n">
        <v>0.25</v>
      </c>
      <c r="AU192" s="14" t="n">
        <v>0.96</v>
      </c>
      <c r="AV192" s="14" t="n">
        <v>0.74</v>
      </c>
      <c r="AW192" s="14" t="inlineStr">
        <is>
          <t>2026-10-04T09:58:08.993953+08:00</t>
        </is>
      </c>
      <c r="AX192" s="14" t="inlineStr">
        <is>
          <t>Titan007 Next</t>
        </is>
      </c>
      <c r="AY192" s="14" t="inlineStr">
        <is>
          <t>V4 Shadow Only；real_money=false；新增冻结记录</t>
        </is>
      </c>
    </row>
    <row r="193" ht="22" customHeight="1" s="39">
      <c r="A193" s="14" t="inlineStr">
        <is>
          <t>2026-10-04</t>
        </is>
      </c>
      <c r="B193" s="14" t="inlineStr">
        <is>
          <t>2026-10-04 18:00:00</t>
        </is>
      </c>
      <c r="C193" s="14" t="inlineStr">
        <is>
          <t>CLUB_LEAGUE</t>
        </is>
      </c>
      <c r="D193" s="14" t="inlineStr">
        <is>
          <t>联赛</t>
        </is>
      </c>
      <c r="E193" s="14" t="inlineStr">
        <is>
          <t>西协乙5</t>
        </is>
      </c>
      <c r="F193" s="14" t="inlineStr">
        <is>
          <t>圣瑟巴斯提安雷耶斯 vs 皇家阿维拉</t>
        </is>
      </c>
      <c r="G193" s="26" t="n">
        <v>0.78</v>
      </c>
      <c r="H193" s="26" t="n">
        <v>-0.25</v>
      </c>
      <c r="I193" s="26" t="n">
        <v>0.92</v>
      </c>
      <c r="J193" s="26" t="inlineStr">
        <is>
          <t>0.78/-0.25/0.92</t>
        </is>
      </c>
      <c r="K193" s="14" t="inlineStr">
        <is>
          <t>V4-B｜EV 0.08820547077673357</t>
        </is>
      </c>
      <c r="L193" s="14" t="inlineStr">
        <is>
          <t>圣瑟巴斯提安雷耶斯</t>
        </is>
      </c>
      <c r="M193" s="47" t="n">
        <v>0.5425255209824208</v>
      </c>
      <c r="N193" s="14" t="inlineStr">
        <is>
          <t>V4纸面入选-B</t>
        </is>
      </c>
      <c r="O193" s="14" t="inlineStr">
        <is>
          <t>3-0</t>
        </is>
      </c>
      <c r="P193" s="14" t="inlineStr">
        <is>
          <t>已结算</t>
        </is>
      </c>
      <c r="Q193" s="14" t="inlineStr">
        <is>
          <t>红</t>
        </is>
      </c>
      <c r="R193" s="48" t="n">
        <v>0.78</v>
      </c>
      <c r="S193" s="48" t="n">
        <v>0</v>
      </c>
      <c r="T193" s="14" t="inlineStr">
        <is>
          <t>D:\codex\v3_legacy\outputs\football_odds_trader\raw\titan007\20261004\20261004_135431_titan007_odds_snapshot.csv</t>
        </is>
      </c>
      <c r="U193" s="14">
        <f>IF(Q193="","",IF(Q193="待结算","待结算",IF(Q193="红","黑",IF(Q193="半红","半黑",IF(Q193="走","走",IF(Q193="半黑","半红","红"))))))</f>
        <v/>
      </c>
      <c r="V193" s="48">
        <f>IF(OR(U193="",U193="待结算"),"",IF(L193=LEFT(F193,FIND(" vs ",F193)-1),I193,G193))</f>
        <v/>
      </c>
      <c r="W193" s="48">
        <f>IF(OR(U193="",U193="待结算"),"",IF(U193="红",V193,IF(U193="半红",V193*0.5,IF(U193="走",0,IF(U193="半黑",-0.5,-1)))))</f>
        <v/>
      </c>
      <c r="X193" s="14" t="inlineStr">
        <is>
          <t>3083605</t>
        </is>
      </c>
      <c r="Y193" s="14" t="inlineStr">
        <is>
          <t>V4</t>
        </is>
      </c>
      <c r="Z193" s="14" t="inlineStr">
        <is>
          <t>prior-2026-10-04-v1</t>
        </is>
      </c>
      <c r="AA193" s="14" t="inlineStr">
        <is>
          <t>B</t>
        </is>
      </c>
      <c r="AB193" s="14" t="n">
        <v>0.5425255209824208</v>
      </c>
      <c r="AC193" s="14" t="n">
        <v>0</v>
      </c>
      <c r="AD193" s="14" t="n">
        <v>0</v>
      </c>
      <c r="AE193" s="14" t="n">
        <v>0.2450200868560491</v>
      </c>
      <c r="AF193" s="14" t="n">
        <v>0.2124543921615301</v>
      </c>
      <c r="AG193" s="14" t="n">
        <v>0.08820547077673357</v>
      </c>
      <c r="AH193" s="14" t="n"/>
      <c r="AI193" s="14" t="n"/>
      <c r="AJ193" s="14" t="n">
        <v>0.08820547077673357</v>
      </c>
      <c r="AK193" s="14" t="n"/>
      <c r="AL193" s="14" t="n"/>
      <c r="AM193" s="14" t="n"/>
      <c r="AN193" s="14" t="inlineStr">
        <is>
          <t>EVALUATED</t>
        </is>
      </c>
      <c r="AO193" s="14" t="inlineStr">
        <is>
          <t>GIVING_VALIDATED_EDGE;BUCKET_PRIOR_ONLY;INTENT_INTERPRETATION_ONLY;FFL_OPTIONAL;EXPERT_MARKET</t>
        </is>
      </c>
      <c r="AP193" s="14" t="inlineStr">
        <is>
          <t>85eb6f944c787e1a96c9</t>
        </is>
      </c>
      <c r="AQ193" s="14" t="n">
        <v>-0.25</v>
      </c>
      <c r="AR193" s="14" t="n">
        <v>0.78</v>
      </c>
      <c r="AS193" s="14" t="n">
        <v>-0.25</v>
      </c>
      <c r="AT193" s="14" t="n">
        <v>0.25</v>
      </c>
      <c r="AU193" s="14" t="n">
        <v>0.78</v>
      </c>
      <c r="AV193" s="14" t="n">
        <v>0.92</v>
      </c>
      <c r="AW193" s="14" t="inlineStr">
        <is>
          <t>2026-10-04T09:58:08.993953+08:00</t>
        </is>
      </c>
      <c r="AX193" s="14" t="inlineStr">
        <is>
          <t>Titan007 Next</t>
        </is>
      </c>
      <c r="AY193" s="14" t="inlineStr">
        <is>
          <t>V4 Shadow Only；real_money=false；新增冻结记录</t>
        </is>
      </c>
    </row>
    <row r="194" ht="22" customHeight="1" s="39">
      <c r="A194" s="14" t="inlineStr">
        <is>
          <t>2026-10-04</t>
        </is>
      </c>
      <c r="B194" s="14" t="inlineStr">
        <is>
          <t>2026-10-04 18:00:00</t>
        </is>
      </c>
      <c r="C194" s="14" t="inlineStr">
        <is>
          <t>CLUB_LEAGUE</t>
        </is>
      </c>
      <c r="D194" s="14" t="inlineStr">
        <is>
          <t>联赛</t>
        </is>
      </c>
      <c r="E194" s="14" t="inlineStr">
        <is>
          <t>西协乙5</t>
        </is>
      </c>
      <c r="F194" s="14" t="inlineStr">
        <is>
          <t>巴拉多利德B队 vs 普尔托兰诺</t>
        </is>
      </c>
      <c r="G194" s="26" t="n">
        <v>0.88</v>
      </c>
      <c r="H194" s="26" t="n">
        <v>-0.75</v>
      </c>
      <c r="I194" s="26" t="n">
        <v>0.82</v>
      </c>
      <c r="J194" s="26" t="inlineStr">
        <is>
          <t>0.88/-0.75/0.82</t>
        </is>
      </c>
      <c r="K194" s="14" t="inlineStr">
        <is>
          <t>V4-C｜EV 0.06998397445642274</t>
        </is>
      </c>
      <c r="L194" s="14" t="inlineStr">
        <is>
          <t>巴拉多利德B队</t>
        </is>
      </c>
      <c r="M194" s="47" t="n">
        <v>0.5009693084635864</v>
      </c>
      <c r="N194" s="14" t="inlineStr">
        <is>
          <t>V4纸面入选-C</t>
        </is>
      </c>
      <c r="O194" s="14" t="inlineStr">
        <is>
          <t>3-0</t>
        </is>
      </c>
      <c r="P194" s="14" t="inlineStr">
        <is>
          <t>已结算</t>
        </is>
      </c>
      <c r="Q194" s="14" t="inlineStr">
        <is>
          <t>红</t>
        </is>
      </c>
      <c r="R194" s="48" t="n">
        <v>0.88</v>
      </c>
      <c r="S194" s="48" t="n">
        <v>0.44</v>
      </c>
      <c r="T194" s="14" t="inlineStr">
        <is>
          <t>D:\codex\v3_legacy\outputs\football_odds_trader\raw\titan007\20261004\20261004_135431_titan007_odds_snapshot.csv</t>
        </is>
      </c>
      <c r="U194" s="14">
        <f>IF(Q194="","",IF(Q194="待结算","待结算",IF(Q194="红","黑",IF(Q194="半红","半黑",IF(Q194="走","走",IF(Q194="半黑","半红","红"))))))</f>
        <v/>
      </c>
      <c r="V194" s="48">
        <f>IF(OR(U194="",U194="待结算"),"",IF(L194=LEFT(F194,FIND(" vs ",F194)-1),I194,G194))</f>
        <v/>
      </c>
      <c r="W194" s="48">
        <f>IF(OR(U194="",U194="待结算"),"",IF(U194="红",V194,IF(U194="半红",V194*0.5,IF(U194="走",0,IF(U194="半黑",-0.5,-1)))))</f>
        <v/>
      </c>
      <c r="X194" s="14" t="inlineStr">
        <is>
          <t>3083606</t>
        </is>
      </c>
      <c r="Y194" s="14" t="inlineStr">
        <is>
          <t>V4</t>
        </is>
      </c>
      <c r="Z194" s="14" t="inlineStr">
        <is>
          <t>prior-2026-10-04-v1</t>
        </is>
      </c>
      <c r="AA194" s="14" t="inlineStr">
        <is>
          <t>C</t>
        </is>
      </c>
      <c r="AB194" s="14" t="n">
        <v>0.3728076339187063</v>
      </c>
      <c r="AC194" s="14" t="n">
        <v>0.2563233490897603</v>
      </c>
      <c r="AD194" s="14" t="n">
        <v>0</v>
      </c>
      <c r="AE194" s="14" t="n">
        <v>0</v>
      </c>
      <c r="AF194" s="14" t="n">
        <v>0.3708690169915334</v>
      </c>
      <c r="AG194" s="14" t="n">
        <v>0.06998397445642274</v>
      </c>
      <c r="AH194" s="14" t="n"/>
      <c r="AI194" s="14" t="n"/>
      <c r="AJ194" s="14" t="n">
        <v>0.06998397445642274</v>
      </c>
      <c r="AK194" s="14" t="n"/>
      <c r="AL194" s="14" t="n"/>
      <c r="AM194" s="14" t="n"/>
      <c r="AN194" s="14" t="inlineStr">
        <is>
          <t>EVALUATED</t>
        </is>
      </c>
      <c r="AO194" s="14" t="inlineStr">
        <is>
          <t>GIVING_VALIDATED_EDGE;BUCKET_PRIOR_ONLY;INTENT_INTERPRETATION_ONLY;FFL_OPTIONAL;EXPERT_MARKET</t>
        </is>
      </c>
      <c r="AP194" s="14" t="inlineStr">
        <is>
          <t>a3726fc8a1f311c4a905</t>
        </is>
      </c>
      <c r="AQ194" s="14" t="n">
        <v>-0.75</v>
      </c>
      <c r="AR194" s="14" t="n">
        <v>0.88</v>
      </c>
      <c r="AS194" s="14" t="n">
        <v>-0.75</v>
      </c>
      <c r="AT194" s="14" t="n">
        <v>0.75</v>
      </c>
      <c r="AU194" s="14" t="n">
        <v>0.88</v>
      </c>
      <c r="AV194" s="14" t="n">
        <v>0.82</v>
      </c>
      <c r="AW194" s="14" t="inlineStr">
        <is>
          <t>2026-10-04T09:58:08.993953+08:00</t>
        </is>
      </c>
      <c r="AX194" s="14" t="inlineStr">
        <is>
          <t>Titan007 Next</t>
        </is>
      </c>
      <c r="AY194" s="14" t="inlineStr">
        <is>
          <t>V4 Shadow Only；real_money=false；新增冻结记录</t>
        </is>
      </c>
    </row>
    <row r="195" ht="22" customHeight="1" s="39">
      <c r="A195" s="14" t="inlineStr">
        <is>
          <t>2026-10-04</t>
        </is>
      </c>
      <c r="B195" s="14" t="inlineStr">
        <is>
          <t>2026-10-04 18:00:00</t>
        </is>
      </c>
      <c r="C195" s="14" t="inlineStr">
        <is>
          <t>CLUB_LEAGUE</t>
        </is>
      </c>
      <c r="D195" s="14" t="inlineStr">
        <is>
          <t>联赛</t>
        </is>
      </c>
      <c r="E195" s="14" t="inlineStr">
        <is>
          <t>西协乙4</t>
        </is>
      </c>
      <c r="F195" s="14" t="inlineStr">
        <is>
          <t>维尔瓦 vs 拉斯彭马斯竞技</t>
        </is>
      </c>
      <c r="G195" s="26" t="n">
        <v>0.9</v>
      </c>
      <c r="H195" s="26" t="n">
        <v>-1</v>
      </c>
      <c r="I195" s="26" t="n">
        <v>0.8</v>
      </c>
      <c r="J195" s="26" t="inlineStr">
        <is>
          <t>0.9/-1.0/0.8</t>
        </is>
      </c>
      <c r="K195" s="14" t="inlineStr">
        <is>
          <t>V4-B｜EV 0.20027405592812267</t>
        </is>
      </c>
      <c r="L195" s="14" t="inlineStr">
        <is>
          <t>维尔瓦</t>
        </is>
      </c>
      <c r="M195" s="47" t="n">
        <v>0.4990967616425331</v>
      </c>
      <c r="N195" s="14" t="inlineStr">
        <is>
          <t>V4纸面入选-B</t>
        </is>
      </c>
      <c r="O195" s="14" t="inlineStr">
        <is>
          <t>4-0</t>
        </is>
      </c>
      <c r="P195" s="14" t="inlineStr">
        <is>
          <t>已结算</t>
        </is>
      </c>
      <c r="Q195" s="14" t="inlineStr">
        <is>
          <t>红</t>
        </is>
      </c>
      <c r="R195" s="48" t="n">
        <v>0.9</v>
      </c>
      <c r="S195" s="48" t="n">
        <v>0.45</v>
      </c>
      <c r="T195" s="14" t="inlineStr">
        <is>
          <t>D:\codex\v3_legacy\outputs\football_odds_trader\raw\titan007\20261004\20261004_135431_titan007_odds_snapshot.csv</t>
        </is>
      </c>
      <c r="U195" s="14">
        <f>IF(Q195="","",IF(Q195="待结算","待结算",IF(Q195="红","黑",IF(Q195="半红","半黑",IF(Q195="走","走",IF(Q195="半黑","半红","红"))))))</f>
        <v/>
      </c>
      <c r="V195" s="48">
        <f>IF(OR(U195="",U195="待结算"),"",IF(L195=LEFT(F195,FIND(" vs ",F195)-1),I195,G195))</f>
        <v/>
      </c>
      <c r="W195" s="48">
        <f>IF(OR(U195="",U195="待结算"),"",IF(U195="红",V195,IF(U195="半红",V195*0.5,IF(U195="走",0,IF(U195="半黑",-0.5,-1)))))</f>
        <v/>
      </c>
      <c r="X195" s="14" t="inlineStr">
        <is>
          <t>3082990</t>
        </is>
      </c>
      <c r="Y195" s="14" t="inlineStr">
        <is>
          <t>V4</t>
        </is>
      </c>
      <c r="Z195" s="14" t="inlineStr">
        <is>
          <t>prior-2026-10-04-v1</t>
        </is>
      </c>
      <c r="AA195" s="14" t="inlineStr">
        <is>
          <t>B</t>
        </is>
      </c>
      <c r="AB195" s="14" t="n">
        <v>0.4990967616425331</v>
      </c>
      <c r="AC195" s="14" t="n">
        <v>0</v>
      </c>
      <c r="AD195" s="14" t="n">
        <v>0.2519902088073098</v>
      </c>
      <c r="AE195" s="14" t="n">
        <v>0</v>
      </c>
      <c r="AF195" s="14" t="n">
        <v>0.2489130295501571</v>
      </c>
      <c r="AG195" s="14" t="n">
        <v>0.2002740559281227</v>
      </c>
      <c r="AH195" s="14" t="n"/>
      <c r="AI195" s="14" t="n"/>
      <c r="AJ195" s="14" t="n">
        <v>0.2002740559281227</v>
      </c>
      <c r="AK195" s="14" t="n"/>
      <c r="AL195" s="14" t="n"/>
      <c r="AM195" s="14" t="n"/>
      <c r="AN195" s="14" t="inlineStr">
        <is>
          <t>EVALUATED</t>
        </is>
      </c>
      <c r="AO195" s="14" t="inlineStr">
        <is>
          <t>GIVING_VALIDATED_EDGE;BUCKET_PRIOR_ONLY;INTENT_INTERPRETATION_ONLY;FFL_OPTIONAL;EXPERT_MARKET</t>
        </is>
      </c>
      <c r="AP195" s="14" t="inlineStr">
        <is>
          <t>ae1865f2e57f80ef268a</t>
        </is>
      </c>
      <c r="AQ195" s="14" t="n">
        <v>-1</v>
      </c>
      <c r="AR195" s="14" t="n">
        <v>0.9</v>
      </c>
      <c r="AS195" s="14" t="n">
        <v>-1</v>
      </c>
      <c r="AT195" s="14" t="n">
        <v>1</v>
      </c>
      <c r="AU195" s="14" t="n">
        <v>0.9</v>
      </c>
      <c r="AV195" s="14" t="n">
        <v>0.8</v>
      </c>
      <c r="AW195" s="14" t="inlineStr">
        <is>
          <t>2026-10-04T09:58:08.993953+08:00</t>
        </is>
      </c>
      <c r="AX195" s="14" t="inlineStr">
        <is>
          <t>Titan007 Next</t>
        </is>
      </c>
      <c r="AY195" s="14" t="inlineStr">
        <is>
          <t>V4 Shadow Only；real_money=false；新增冻结记录</t>
        </is>
      </c>
    </row>
    <row r="196" ht="22" customHeight="1" s="39">
      <c r="A196" s="14" t="inlineStr">
        <is>
          <t>2026-10-04</t>
        </is>
      </c>
      <c r="B196" s="14" t="inlineStr">
        <is>
          <t>2026-10-04 18:00:00</t>
        </is>
      </c>
      <c r="C196" s="14" t="inlineStr">
        <is>
          <t>CLUB_LEAGUE</t>
        </is>
      </c>
      <c r="D196" s="14" t="inlineStr">
        <is>
          <t>联赛</t>
        </is>
      </c>
      <c r="E196" s="14" t="inlineStr">
        <is>
          <t>西协乙4</t>
        </is>
      </c>
      <c r="F196" s="14" t="inlineStr">
        <is>
          <t>桑鲁玖诺 vs 拉斯拉古纳斯</t>
        </is>
      </c>
      <c r="G196" s="26" t="n">
        <v>0.8</v>
      </c>
      <c r="H196" s="26" t="n">
        <v>-0.25</v>
      </c>
      <c r="I196" s="26" t="n">
        <v>0.9</v>
      </c>
      <c r="J196" s="26" t="inlineStr">
        <is>
          <t>0.8/-0.25/0.9</t>
        </is>
      </c>
      <c r="K196" s="14" t="inlineStr">
        <is>
          <t>V4-B｜EV 0.14395177166408443</t>
        </is>
      </c>
      <c r="L196" s="14" t="inlineStr">
        <is>
          <t>桑鲁玖诺</t>
        </is>
      </c>
      <c r="M196" s="47" t="n">
        <v>0.5693733464502023</v>
      </c>
      <c r="N196" s="14" t="inlineStr">
        <is>
          <t>V4纸面入选-B</t>
        </is>
      </c>
      <c r="O196" s="14" t="inlineStr">
        <is>
          <t>2-2</t>
        </is>
      </c>
      <c r="P196" s="14" t="inlineStr">
        <is>
          <t>已结算</t>
        </is>
      </c>
      <c r="Q196" s="14" t="inlineStr">
        <is>
          <t>半黑</t>
        </is>
      </c>
      <c r="R196" s="48" t="n">
        <v>0.8</v>
      </c>
      <c r="S196" s="48" t="n">
        <v>0</v>
      </c>
      <c r="T196" s="14" t="inlineStr">
        <is>
          <t>D:\codex\v3_legacy\outputs\football_odds_trader\raw\titan007\20261004\20261004_135431_titan007_odds_snapshot.csv</t>
        </is>
      </c>
      <c r="U196" s="14">
        <f>IF(Q196="","",IF(Q196="待结算","待结算",IF(Q196="红","黑",IF(Q196="半红","半黑",IF(Q196="走","走",IF(Q196="半黑","半红","红"))))))</f>
        <v/>
      </c>
      <c r="V196" s="48">
        <f>IF(OR(U196="",U196="待结算"),"",IF(L196=LEFT(F196,FIND(" vs ",F196)-1),I196,G196))</f>
        <v/>
      </c>
      <c r="W196" s="48">
        <f>IF(OR(U196="",U196="待结算"),"",IF(U196="红",V196,IF(U196="半红",V196*0.5,IF(U196="走",0,IF(U196="半黑",-0.5,-1)))))</f>
        <v/>
      </c>
      <c r="X196" s="14" t="inlineStr">
        <is>
          <t>3082991</t>
        </is>
      </c>
      <c r="Y196" s="14" t="inlineStr">
        <is>
          <t>V4</t>
        </is>
      </c>
      <c r="Z196" s="14" t="inlineStr">
        <is>
          <t>prior-2026-10-04-v1</t>
        </is>
      </c>
      <c r="AA196" s="14" t="inlineStr">
        <is>
          <t>B</t>
        </is>
      </c>
      <c r="AB196" s="14" t="n">
        <v>0.5693733464502023</v>
      </c>
      <c r="AC196" s="14" t="n">
        <v>0</v>
      </c>
      <c r="AD196" s="14" t="n">
        <v>0</v>
      </c>
      <c r="AE196" s="14" t="n">
        <v>0.2381594961074405</v>
      </c>
      <c r="AF196" s="14" t="n">
        <v>0.1924671574423572</v>
      </c>
      <c r="AG196" s="14" t="n">
        <v>0.1439517716640844</v>
      </c>
      <c r="AH196" s="14" t="n"/>
      <c r="AI196" s="14" t="n"/>
      <c r="AJ196" s="14" t="n">
        <v>0.1439517716640844</v>
      </c>
      <c r="AK196" s="14" t="n"/>
      <c r="AL196" s="14" t="n"/>
      <c r="AM196" s="14" t="n"/>
      <c r="AN196" s="14" t="inlineStr">
        <is>
          <t>EVALUATED</t>
        </is>
      </c>
      <c r="AO196" s="14" t="inlineStr">
        <is>
          <t>GIVING_VALIDATED_EDGE;BUCKET_PRIOR_ONLY;INTENT_INTERPRETATION_ONLY;FFL_OPTIONAL;EXPERT_MARKET</t>
        </is>
      </c>
      <c r="AP196" s="14" t="inlineStr">
        <is>
          <t>15e294092a3a74c7d76e</t>
        </is>
      </c>
      <c r="AQ196" s="14" t="n">
        <v>-0.25</v>
      </c>
      <c r="AR196" s="14" t="n">
        <v>0.8</v>
      </c>
      <c r="AS196" s="14" t="n">
        <v>-0.25</v>
      </c>
      <c r="AT196" s="14" t="n">
        <v>0.25</v>
      </c>
      <c r="AU196" s="14" t="n">
        <v>0.8</v>
      </c>
      <c r="AV196" s="14" t="n">
        <v>0.9</v>
      </c>
      <c r="AW196" s="14" t="inlineStr">
        <is>
          <t>2026-10-04T09:58:08.993953+08:00</t>
        </is>
      </c>
      <c r="AX196" s="14" t="inlineStr">
        <is>
          <t>Titan007 Next</t>
        </is>
      </c>
      <c r="AY196" s="14" t="inlineStr">
        <is>
          <t>V4 Shadow Only；real_money=false；新增冻结记录</t>
        </is>
      </c>
    </row>
    <row r="197" ht="22" customHeight="1" s="39">
      <c r="A197" s="14" t="inlineStr">
        <is>
          <t>2026-10-04</t>
        </is>
      </c>
      <c r="B197" s="14" t="inlineStr">
        <is>
          <t>2026-10-04 18:00:00</t>
        </is>
      </c>
      <c r="C197" s="14" t="inlineStr">
        <is>
          <t>CLUB_LEAGUE</t>
        </is>
      </c>
      <c r="D197" s="14" t="inlineStr">
        <is>
          <t>联赛</t>
        </is>
      </c>
      <c r="E197" s="14" t="inlineStr">
        <is>
          <t>西协乙3</t>
        </is>
      </c>
      <c r="F197" s="14" t="inlineStr">
        <is>
          <t>巴利阿里 vs 珀布伦斯</t>
        </is>
      </c>
      <c r="G197" s="26" t="n">
        <v>0.88</v>
      </c>
      <c r="H197" s="26" t="n">
        <v>-0.75</v>
      </c>
      <c r="I197" s="26" t="n">
        <v>0.82</v>
      </c>
      <c r="J197" s="26" t="inlineStr">
        <is>
          <t>0.88/-0.75/0.82</t>
        </is>
      </c>
      <c r="K197" s="14" t="inlineStr">
        <is>
          <t>V4-B｜EV 0.07805212393140715</t>
        </is>
      </c>
      <c r="L197" s="14" t="inlineStr">
        <is>
          <t>巴利阿里</t>
        </is>
      </c>
      <c r="M197" s="47" t="n">
        <v>0.5049022482129059</v>
      </c>
      <c r="N197" s="14" t="inlineStr">
        <is>
          <t>V4纸面入选-B</t>
        </is>
      </c>
      <c r="O197" s="14" t="inlineStr">
        <is>
          <t>2-1</t>
        </is>
      </c>
      <c r="P197" s="14" t="inlineStr">
        <is>
          <t>已结算</t>
        </is>
      </c>
      <c r="Q197" s="14" t="inlineStr">
        <is>
          <t>半红</t>
        </is>
      </c>
      <c r="R197" s="48" t="n">
        <v>0.88</v>
      </c>
      <c r="S197" s="48" t="n">
        <v>0.44</v>
      </c>
      <c r="T197" s="14" t="inlineStr">
        <is>
          <t>D:\codex\v3_legacy\outputs\football_odds_trader\raw\titan007\20261004\20261004_135431_titan007_odds_snapshot.csv</t>
        </is>
      </c>
      <c r="U197" s="14">
        <f>IF(Q197="","",IF(Q197="待结算","待结算",IF(Q197="红","黑",IF(Q197="半红","半黑",IF(Q197="走","走",IF(Q197="半黑","半红","红"))))))</f>
        <v/>
      </c>
      <c r="V197" s="48">
        <f>IF(OR(U197="",U197="待结算"),"",IF(L197=LEFT(F197,FIND(" vs ",F197)-1),I197,G197))</f>
        <v/>
      </c>
      <c r="W197" s="48">
        <f>IF(OR(U197="",U197="待结算"),"",IF(U197="红",V197,IF(U197="半红",V197*0.5,IF(U197="走",0,IF(U197="半黑",-0.5,-1)))))</f>
        <v/>
      </c>
      <c r="X197" s="14" t="inlineStr">
        <is>
          <t>3015893</t>
        </is>
      </c>
      <c r="Y197" s="14" t="inlineStr">
        <is>
          <t>V4</t>
        </is>
      </c>
      <c r="Z197" s="14" t="inlineStr">
        <is>
          <t>prior-2026-10-04-v1</t>
        </is>
      </c>
      <c r="AA197" s="14" t="inlineStr">
        <is>
          <t>B</t>
        </is>
      </c>
      <c r="AB197" s="14" t="n">
        <v>0.3760663509217617</v>
      </c>
      <c r="AC197" s="14" t="n">
        <v>0.2576717945822883</v>
      </c>
      <c r="AD197" s="14" t="n">
        <v>0</v>
      </c>
      <c r="AE197" s="14" t="n">
        <v>0</v>
      </c>
      <c r="AF197" s="14" t="n">
        <v>0.36626185449595</v>
      </c>
      <c r="AG197" s="14" t="n">
        <v>0.07805212393140715</v>
      </c>
      <c r="AH197" s="14" t="n"/>
      <c r="AI197" s="14" t="n"/>
      <c r="AJ197" s="14" t="n">
        <v>0.07805212393140715</v>
      </c>
      <c r="AK197" s="14" t="n"/>
      <c r="AL197" s="14" t="n"/>
      <c r="AM197" s="14" t="n"/>
      <c r="AN197" s="14" t="inlineStr">
        <is>
          <t>EVALUATED</t>
        </is>
      </c>
      <c r="AO197" s="14" t="inlineStr">
        <is>
          <t>GIVING_VALIDATED_EDGE;BUCKET_PRIOR_ONLY;INTENT_INTERPRETATION_ONLY;FFL_OPTIONAL;EXPERT_MARKET</t>
        </is>
      </c>
      <c r="AP197" s="14" t="inlineStr">
        <is>
          <t>759809ee2fcc64c06f59</t>
        </is>
      </c>
      <c r="AQ197" s="14" t="n">
        <v>-0.75</v>
      </c>
      <c r="AR197" s="14" t="n">
        <v>0.88</v>
      </c>
      <c r="AS197" s="14" t="n">
        <v>-0.75</v>
      </c>
      <c r="AT197" s="14" t="n">
        <v>0.75</v>
      </c>
      <c r="AU197" s="14" t="n">
        <v>0.88</v>
      </c>
      <c r="AV197" s="14" t="n">
        <v>0.82</v>
      </c>
      <c r="AW197" s="14" t="inlineStr">
        <is>
          <t>2026-10-04T09:58:08.993953+08:00</t>
        </is>
      </c>
      <c r="AX197" s="14" t="inlineStr">
        <is>
          <t>Titan007 Next</t>
        </is>
      </c>
      <c r="AY197" s="14" t="inlineStr">
        <is>
          <t>V4 Shadow Only；real_money=false；新增冻结记录</t>
        </is>
      </c>
    </row>
    <row r="198" ht="22" customHeight="1" s="39">
      <c r="A198" s="14" t="inlineStr">
        <is>
          <t>2026-10-04</t>
        </is>
      </c>
      <c r="B198" s="14" t="inlineStr">
        <is>
          <t>2026-10-04 18:00:00</t>
        </is>
      </c>
      <c r="C198" s="14" t="inlineStr">
        <is>
          <t>CLUB_LEAGUE</t>
        </is>
      </c>
      <c r="D198" s="14" t="inlineStr">
        <is>
          <t>联赛</t>
        </is>
      </c>
      <c r="E198" s="14" t="inlineStr">
        <is>
          <t>西协乙3</t>
        </is>
      </c>
      <c r="F198" s="14" t="inlineStr">
        <is>
          <t>英特城 vs 耶克拉诺</t>
        </is>
      </c>
      <c r="G198" s="26" t="n">
        <v>0.85</v>
      </c>
      <c r="H198" s="26" t="n">
        <v>-0.25</v>
      </c>
      <c r="I198" s="26" t="n">
        <v>0.85</v>
      </c>
      <c r="J198" s="26" t="inlineStr">
        <is>
          <t>0.85/-0.25/0.85</t>
        </is>
      </c>
      <c r="K198" s="14" t="inlineStr">
        <is>
          <t>V4-B｜EV 0.15811658677119242</t>
        </is>
      </c>
      <c r="L198" s="14" t="inlineStr">
        <is>
          <t>英特城</t>
        </is>
      </c>
      <c r="M198" s="47" t="n">
        <v>0.5605974667980579</v>
      </c>
      <c r="N198" s="14" t="inlineStr">
        <is>
          <t>V4纸面入选-B</t>
        </is>
      </c>
      <c r="O198" s="14" t="inlineStr">
        <is>
          <t>1-1</t>
        </is>
      </c>
      <c r="P198" s="14" t="inlineStr">
        <is>
          <t>已结算</t>
        </is>
      </c>
      <c r="Q198" s="14" t="inlineStr">
        <is>
          <t>半黑</t>
        </is>
      </c>
      <c r="R198" s="48" t="n">
        <v>0.85</v>
      </c>
      <c r="S198" s="48" t="n">
        <v>0</v>
      </c>
      <c r="T198" s="14" t="inlineStr">
        <is>
          <t>D:\codex\v3_legacy\outputs\football_odds_trader\raw\titan007\20261004\20261004_135431_titan007_odds_snapshot.csv</t>
        </is>
      </c>
      <c r="U198" s="14">
        <f>IF(Q198="","",IF(Q198="待结算","待结算",IF(Q198="红","黑",IF(Q198="半红","半黑",IF(Q198="走","走",IF(Q198="半黑","半红","红"))))))</f>
        <v/>
      </c>
      <c r="V198" s="48">
        <f>IF(OR(U198="",U198="待结算"),"",IF(L198=LEFT(F198,FIND(" vs ",F198)-1),I198,G198))</f>
        <v/>
      </c>
      <c r="W198" s="48">
        <f>IF(OR(U198="",U198="待结算"),"",IF(U198="红",V198,IF(U198="半红",V198*0.5,IF(U198="走",0,IF(U198="半黑",-0.5,-1)))))</f>
        <v/>
      </c>
      <c r="X198" s="14" t="inlineStr">
        <is>
          <t>3015896</t>
        </is>
      </c>
      <c r="Y198" s="14" t="inlineStr">
        <is>
          <t>V4</t>
        </is>
      </c>
      <c r="Z198" s="14" t="inlineStr">
        <is>
          <t>prior-2026-10-04-v1</t>
        </is>
      </c>
      <c r="AA198" s="14" t="inlineStr">
        <is>
          <t>B</t>
        </is>
      </c>
      <c r="AB198" s="14" t="n">
        <v>0.5605974667980579</v>
      </c>
      <c r="AC198" s="14" t="n">
        <v>0</v>
      </c>
      <c r="AD198" s="14" t="n">
        <v>0</v>
      </c>
      <c r="AE198" s="14" t="n">
        <v>0.2420225463895709</v>
      </c>
      <c r="AF198" s="14" t="n">
        <v>0.1973799868123713</v>
      </c>
      <c r="AG198" s="14" t="n">
        <v>0.1581165867711924</v>
      </c>
      <c r="AH198" s="14" t="n"/>
      <c r="AI198" s="14" t="n"/>
      <c r="AJ198" s="14" t="n">
        <v>0.1581165867711924</v>
      </c>
      <c r="AK198" s="14" t="n"/>
      <c r="AL198" s="14" t="n"/>
      <c r="AM198" s="14" t="n"/>
      <c r="AN198" s="14" t="inlineStr">
        <is>
          <t>EVALUATED</t>
        </is>
      </c>
      <c r="AO198" s="14" t="inlineStr">
        <is>
          <t>GIVING_VALIDATED_EDGE;BUCKET_PRIOR_ONLY;INTENT_INTERPRETATION_ONLY;FFL_OPTIONAL;EXPERT_MARKET</t>
        </is>
      </c>
      <c r="AP198" s="14" t="inlineStr">
        <is>
          <t>bcf48a613fec485f3c1d</t>
        </is>
      </c>
      <c r="AQ198" s="14" t="n">
        <v>-0.25</v>
      </c>
      <c r="AR198" s="14" t="n">
        <v>0.85</v>
      </c>
      <c r="AS198" s="14" t="n">
        <v>-0.25</v>
      </c>
      <c r="AT198" s="14" t="n">
        <v>0.25</v>
      </c>
      <c r="AU198" s="14" t="n">
        <v>0.85</v>
      </c>
      <c r="AV198" s="14" t="n">
        <v>0.85</v>
      </c>
      <c r="AW198" s="14" t="inlineStr">
        <is>
          <t>2026-10-04T09:58:08.993953+08:00</t>
        </is>
      </c>
      <c r="AX198" s="14" t="inlineStr">
        <is>
          <t>Titan007 Next</t>
        </is>
      </c>
      <c r="AY198" s="14" t="inlineStr">
        <is>
          <t>V4 Shadow Only；real_money=false；新增冻结记录</t>
        </is>
      </c>
    </row>
    <row r="199" ht="22" customHeight="1" s="39">
      <c r="A199" s="14" t="inlineStr">
        <is>
          <t>2026-10-04</t>
        </is>
      </c>
      <c r="B199" s="14" t="inlineStr">
        <is>
          <t>2026-10-04 18:00:00</t>
        </is>
      </c>
      <c r="C199" s="14" t="inlineStr">
        <is>
          <t>CLUB_LEAGUE</t>
        </is>
      </c>
      <c r="D199" s="14" t="inlineStr">
        <is>
          <t>联赛</t>
        </is>
      </c>
      <c r="E199" s="14" t="inlineStr">
        <is>
          <t>西协乙3</t>
        </is>
      </c>
      <c r="F199" s="14" t="inlineStr">
        <is>
          <t>皇家马洛卡B队 vs 艾高亚诺</t>
        </is>
      </c>
      <c r="G199" s="26" t="n">
        <v>0.8</v>
      </c>
      <c r="H199" s="26" t="n">
        <v>0.25</v>
      </c>
      <c r="I199" s="26" t="n">
        <v>0.9</v>
      </c>
      <c r="J199" s="26" t="inlineStr">
        <is>
          <t>0.8/0.25/0.9</t>
        </is>
      </c>
      <c r="K199" s="14" t="inlineStr">
        <is>
          <t>V4-B｜EV 0.26380899313067563</t>
        </is>
      </c>
      <c r="L199" s="14" t="inlineStr">
        <is>
          <t>皇家马洛卡B队</t>
        </is>
      </c>
      <c r="M199" s="47" t="n">
        <v>0.6316277975220651</v>
      </c>
      <c r="N199" s="14" t="inlineStr">
        <is>
          <t>V4纸面入选-B</t>
        </is>
      </c>
      <c r="O199" s="14" t="inlineStr">
        <is>
          <t>0-1</t>
        </is>
      </c>
      <c r="P199" s="14" t="inlineStr">
        <is>
          <t>已结算</t>
        </is>
      </c>
      <c r="Q199" s="14" t="inlineStr">
        <is>
          <t>黑</t>
        </is>
      </c>
      <c r="R199" s="48" t="n">
        <v>0.8</v>
      </c>
      <c r="S199" s="48" t="n">
        <v>0</v>
      </c>
      <c r="T199" s="14" t="inlineStr">
        <is>
          <t>D:\codex\v3_legacy\outputs\football_odds_trader\raw\titan007\20261004\20261004_135431_titan007_odds_snapshot.csv</t>
        </is>
      </c>
      <c r="U199" s="14">
        <f>IF(Q199="","",IF(Q199="待结算","待结算",IF(Q199="红","黑",IF(Q199="半红","半黑",IF(Q199="走","走",IF(Q199="半黑","半红","红"))))))</f>
        <v/>
      </c>
      <c r="V199" s="48">
        <f>IF(OR(U199="",U199="待结算"),"",IF(L199=LEFT(F199,FIND(" vs ",F199)-1),I199,G199))</f>
        <v/>
      </c>
      <c r="W199" s="48">
        <f>IF(OR(U199="",U199="待结算"),"",IF(U199="红",V199,IF(U199="半红",V199*0.5,IF(U199="走",0,IF(U199="半黑",-0.5,-1)))))</f>
        <v/>
      </c>
      <c r="X199" s="14" t="inlineStr">
        <is>
          <t>3015897</t>
        </is>
      </c>
      <c r="Y199" s="14" t="inlineStr">
        <is>
          <t>V4</t>
        </is>
      </c>
      <c r="Z199" s="14" t="inlineStr">
        <is>
          <t>prior-2026-10-04-v1</t>
        </is>
      </c>
      <c r="AA199" s="14" t="inlineStr">
        <is>
          <t>B</t>
        </is>
      </c>
      <c r="AB199" s="14" t="n">
        <v>0.5047488399311066</v>
      </c>
      <c r="AC199" s="14" t="n">
        <v>0.2537579151819169</v>
      </c>
      <c r="AD199" s="14" t="n">
        <v>0</v>
      </c>
      <c r="AE199" s="14" t="n">
        <v>0</v>
      </c>
      <c r="AF199" s="14" t="n">
        <v>0.2414932448869764</v>
      </c>
      <c r="AG199" s="14" t="n">
        <v>0.2638089931306756</v>
      </c>
      <c r="AH199" s="14" t="n"/>
      <c r="AI199" s="14" t="n"/>
      <c r="AJ199" s="14" t="n">
        <v>0.2638089931306756</v>
      </c>
      <c r="AK199" s="14" t="n"/>
      <c r="AL199" s="14" t="n"/>
      <c r="AM199" s="14" t="n"/>
      <c r="AN199" s="14" t="inlineStr">
        <is>
          <t>EVALUATED</t>
        </is>
      </c>
      <c r="AO199" s="14" t="inlineStr">
        <is>
          <t>RECEIVING_VALIDATED_EDGE;BUCKET_PRIOR_ONLY;INTENT_INTERPRETATION_ONLY;FFL_OPTIONAL;EXPERT_MARKET</t>
        </is>
      </c>
      <c r="AP199" s="14" t="inlineStr">
        <is>
          <t>97a953bea4274ce64950</t>
        </is>
      </c>
      <c r="AQ199" s="14" t="n">
        <v>0.25</v>
      </c>
      <c r="AR199" s="14" t="n">
        <v>0.8</v>
      </c>
      <c r="AS199" s="14" t="n">
        <v>-0.25</v>
      </c>
      <c r="AT199" s="14" t="n">
        <v>0.25</v>
      </c>
      <c r="AU199" s="14" t="n">
        <v>0.9</v>
      </c>
      <c r="AV199" s="14" t="n">
        <v>0.8</v>
      </c>
      <c r="AW199" s="14" t="inlineStr">
        <is>
          <t>2026-10-04T09:58:08.993953+08:00</t>
        </is>
      </c>
      <c r="AX199" s="14" t="inlineStr">
        <is>
          <t>Titan007 Next</t>
        </is>
      </c>
      <c r="AY199" s="14" t="inlineStr">
        <is>
          <t>V4 Shadow Only；real_money=false；新增冻结记录</t>
        </is>
      </c>
    </row>
    <row r="200" ht="22" customHeight="1" s="39">
      <c r="A200" s="14" t="inlineStr">
        <is>
          <t>2026-10-04</t>
        </is>
      </c>
      <c r="B200" s="14" t="inlineStr">
        <is>
          <t>2026-10-04 18:00:00</t>
        </is>
      </c>
      <c r="C200" s="14" t="inlineStr">
        <is>
          <t>CLUB_LEAGUE</t>
        </is>
      </c>
      <c r="D200" s="14" t="inlineStr">
        <is>
          <t>联赛</t>
        </is>
      </c>
      <c r="E200" s="14" t="inlineStr">
        <is>
          <t>瑞典丙SS</t>
        </is>
      </c>
      <c r="F200" s="14" t="inlineStr">
        <is>
          <t>纳卡伊利里亚 vs 卡斯隆德</t>
        </is>
      </c>
      <c r="G200" s="26" t="n">
        <v>0.85</v>
      </c>
      <c r="H200" s="26" t="n">
        <v>-0.5</v>
      </c>
      <c r="I200" s="26" t="n">
        <v>0.85</v>
      </c>
      <c r="J200" s="26" t="inlineStr">
        <is>
          <t>0.85/-0.5/0.85</t>
        </is>
      </c>
      <c r="K200" s="14" t="inlineStr">
        <is>
          <t>V4-B｜EV 0.14657109018331477</t>
        </is>
      </c>
      <c r="L200" s="14" t="inlineStr">
        <is>
          <t>纳卡伊利里亚</t>
        </is>
      </c>
      <c r="M200" s="47" t="n">
        <v>0.6197681568558459</v>
      </c>
      <c r="N200" s="14" t="inlineStr">
        <is>
          <t>V4纸面入选-B</t>
        </is>
      </c>
      <c r="O200" s="14" t="inlineStr">
        <is>
          <t>1-4</t>
        </is>
      </c>
      <c r="P200" s="14" t="inlineStr">
        <is>
          <t>已结算</t>
        </is>
      </c>
      <c r="Q200" s="14" t="inlineStr">
        <is>
          <t>黑</t>
        </is>
      </c>
      <c r="R200" s="48" t="n">
        <v>0.85</v>
      </c>
      <c r="S200" s="48" t="n">
        <v>0.425</v>
      </c>
      <c r="T200" s="14" t="inlineStr">
        <is>
          <t>D:\codex\v3_legacy\outputs\football_odds_trader\raw\titan007\20261004\20261004_135431_titan007_odds_snapshot.csv</t>
        </is>
      </c>
      <c r="U200" s="14">
        <f>IF(Q200="","",IF(Q200="待结算","待结算",IF(Q200="红","黑",IF(Q200="半红","半黑",IF(Q200="走","走",IF(Q200="半黑","半红","红"))))))</f>
        <v/>
      </c>
      <c r="V200" s="48">
        <f>IF(OR(U200="",U200="待结算"),"",IF(L200=LEFT(F200,FIND(" vs ",F200)-1),I200,G200))</f>
        <v/>
      </c>
      <c r="W200" s="48">
        <f>IF(OR(U200="",U200="待结算"),"",IF(U200="红",V200,IF(U200="半红",V200*0.5,IF(U200="走",0,IF(U200="半黑",-0.5,-1)))))</f>
        <v/>
      </c>
      <c r="X200" s="14" t="inlineStr">
        <is>
          <t>2926819</t>
        </is>
      </c>
      <c r="Y200" s="14" t="inlineStr">
        <is>
          <t>V4</t>
        </is>
      </c>
      <c r="Z200" s="14" t="inlineStr">
        <is>
          <t>prior-2026-10-04-v1</t>
        </is>
      </c>
      <c r="AA200" s="14" t="inlineStr">
        <is>
          <t>B</t>
        </is>
      </c>
      <c r="AB200" s="14" t="n">
        <v>0.6197681568558459</v>
      </c>
      <c r="AC200" s="14" t="n">
        <v>0</v>
      </c>
      <c r="AD200" s="14" t="n">
        <v>0</v>
      </c>
      <c r="AE200" s="14" t="n">
        <v>0</v>
      </c>
      <c r="AF200" s="14" t="n">
        <v>0.3802318431441542</v>
      </c>
      <c r="AG200" s="14" t="n">
        <v>0.1465710901833148</v>
      </c>
      <c r="AH200" s="14" t="n"/>
      <c r="AI200" s="14" t="n"/>
      <c r="AJ200" s="14" t="n">
        <v>0.1465710901833148</v>
      </c>
      <c r="AK200" s="14" t="n"/>
      <c r="AL200" s="14" t="n"/>
      <c r="AM200" s="14" t="n"/>
      <c r="AN200" s="14" t="inlineStr">
        <is>
          <t>EVALUATED</t>
        </is>
      </c>
      <c r="AO200" s="14" t="inlineStr">
        <is>
          <t>GIVING_VALIDATED_EDGE;BUCKET_PRIOR_ONLY;INTENT_INTERPRETATION_ONLY;FFL_OPTIONAL;EXPERT_MARKET</t>
        </is>
      </c>
      <c r="AP200" s="14" t="inlineStr">
        <is>
          <t>e57b0c2c200440ba5485</t>
        </is>
      </c>
      <c r="AQ200" s="14" t="n">
        <v>-0.5</v>
      </c>
      <c r="AR200" s="14" t="n">
        <v>0.85</v>
      </c>
      <c r="AS200" s="14" t="n">
        <v>-0.5</v>
      </c>
      <c r="AT200" s="14" t="n">
        <v>0.5</v>
      </c>
      <c r="AU200" s="14" t="n">
        <v>0.85</v>
      </c>
      <c r="AV200" s="14" t="n">
        <v>0.85</v>
      </c>
      <c r="AW200" s="14" t="inlineStr">
        <is>
          <t>2026-10-04T09:58:08.993953+08:00</t>
        </is>
      </c>
      <c r="AX200" s="14" t="inlineStr">
        <is>
          <t>Titan007 Next</t>
        </is>
      </c>
      <c r="AY200" s="14" t="inlineStr">
        <is>
          <t>V4 Shadow Only；real_money=false；新增冻结记录</t>
        </is>
      </c>
    </row>
    <row r="201" ht="22" customHeight="1" s="39">
      <c r="A201" s="14" t="inlineStr">
        <is>
          <t>2026-10-04</t>
        </is>
      </c>
      <c r="B201" s="14" t="inlineStr">
        <is>
          <t>2026-10-04 18:00:00</t>
        </is>
      </c>
      <c r="C201" s="14" t="inlineStr">
        <is>
          <t>UNKNOWN</t>
        </is>
      </c>
      <c r="D201" s="14" t="inlineStr">
        <is>
          <t>联赛</t>
        </is>
      </c>
      <c r="E201" s="14" t="inlineStr">
        <is>
          <t>西丁</t>
        </is>
      </c>
      <c r="F201" s="14" t="inlineStr">
        <is>
          <t>利阿达 vs 阿维莱斯体育场</t>
        </is>
      </c>
      <c r="G201" s="26" t="n">
        <v>0.92</v>
      </c>
      <c r="H201" s="26" t="n">
        <v>-1.25</v>
      </c>
      <c r="I201" s="26" t="n">
        <v>0.78</v>
      </c>
      <c r="J201" s="26" t="inlineStr">
        <is>
          <t>0.92/-1.25/0.78</t>
        </is>
      </c>
      <c r="K201" s="14" t="inlineStr">
        <is>
          <t>V4-C｜EV 0.16180994033432922</t>
        </is>
      </c>
      <c r="L201" s="14" t="inlineStr">
        <is>
          <t>利阿达</t>
        </is>
      </c>
      <c r="M201" s="47" t="n">
        <v>0.5414356580743933</v>
      </c>
      <c r="N201" s="14" t="inlineStr">
        <is>
          <t>V4纸面入选-C</t>
        </is>
      </c>
      <c r="O201" s="14" t="inlineStr">
        <is>
          <t>2-0</t>
        </is>
      </c>
      <c r="P201" s="14" t="inlineStr">
        <is>
          <t>已结算</t>
        </is>
      </c>
      <c r="Q201" s="14" t="inlineStr">
        <is>
          <t>红</t>
        </is>
      </c>
      <c r="R201" s="48" t="n">
        <v>0.92</v>
      </c>
      <c r="S201" s="48" t="n">
        <v>0.46</v>
      </c>
      <c r="T201" s="14" t="inlineStr">
        <is>
          <t>D:\codex\v3_legacy\outputs\football_odds_trader\raw\titan007\20261004\20261004_135431_titan007_odds_snapshot.csv</t>
        </is>
      </c>
      <c r="U201" s="14">
        <f>IF(Q201="","",IF(Q201="待结算","待结算",IF(Q201="红","黑",IF(Q201="半红","半黑",IF(Q201="走","走",IF(Q201="半黑","半红","红"))))))</f>
        <v/>
      </c>
      <c r="V201" s="48">
        <f>IF(OR(U201="",U201="待结算"),"",IF(L201=LEFT(F201,FIND(" vs ",F201)-1),I201,G201))</f>
        <v/>
      </c>
      <c r="W201" s="48">
        <f>IF(OR(U201="",U201="待结算"),"",IF(U201="红",V201,IF(U201="半红",V201*0.5,IF(U201="走",0,IF(U201="半黑",-0.5,-1)))))</f>
        <v/>
      </c>
      <c r="X201" s="14" t="inlineStr">
        <is>
          <t>3082310</t>
        </is>
      </c>
      <c r="Y201" s="14" t="inlineStr">
        <is>
          <t>V4</t>
        </is>
      </c>
      <c r="Z201" s="14" t="inlineStr">
        <is>
          <t>prior-2026-10-04-v1</t>
        </is>
      </c>
      <c r="AA201" s="14" t="inlineStr">
        <is>
          <t>C</t>
        </is>
      </c>
      <c r="AB201" s="14" t="n">
        <v>0.5414356580743933</v>
      </c>
      <c r="AC201" s="14" t="n">
        <v>0</v>
      </c>
      <c r="AD201" s="14" t="n">
        <v>0</v>
      </c>
      <c r="AE201" s="14" t="n">
        <v>0.2445069536629882</v>
      </c>
      <c r="AF201" s="14" t="n">
        <v>0.2140573882626186</v>
      </c>
      <c r="AG201" s="14" t="n">
        <v>0.1618099403343292</v>
      </c>
      <c r="AH201" s="14" t="n"/>
      <c r="AI201" s="14" t="n"/>
      <c r="AJ201" s="14" t="n">
        <v>0.1618099403343292</v>
      </c>
      <c r="AK201" s="14" t="n"/>
      <c r="AL201" s="14" t="n"/>
      <c r="AM201" s="14" t="n"/>
      <c r="AN201" s="14" t="inlineStr">
        <is>
          <t>EVALUATED</t>
        </is>
      </c>
      <c r="AO201" s="14" t="inlineStr">
        <is>
          <t>GIVING_VALIDATED_EDGE;BUCKET_PRIOR_ONLY;INTENT_INTERPRETATION_ONLY;FFL_OPTIONAL;EXPERT_MARKET</t>
        </is>
      </c>
      <c r="AP201" s="14" t="inlineStr">
        <is>
          <t>ab4e2dc8f41c821e4363</t>
        </is>
      </c>
      <c r="AQ201" s="14" t="n">
        <v>-1.25</v>
      </c>
      <c r="AR201" s="14" t="n">
        <v>0.92</v>
      </c>
      <c r="AS201" s="14" t="n">
        <v>-1.25</v>
      </c>
      <c r="AT201" s="14" t="n">
        <v>1.25</v>
      </c>
      <c r="AU201" s="14" t="n">
        <v>0.92</v>
      </c>
      <c r="AV201" s="14" t="n">
        <v>0.78</v>
      </c>
      <c r="AW201" s="14" t="inlineStr">
        <is>
          <t>2026-10-04T09:58:08.993953+08:00</t>
        </is>
      </c>
      <c r="AX201" s="14" t="inlineStr">
        <is>
          <t>Titan007 Next</t>
        </is>
      </c>
      <c r="AY201" s="14" t="inlineStr">
        <is>
          <t>V4 Shadow Only；real_money=false；新增冻结记录</t>
        </is>
      </c>
    </row>
    <row r="202" ht="22" customHeight="1" s="39">
      <c r="A202" s="14" t="inlineStr">
        <is>
          <t>2026-10-04</t>
        </is>
      </c>
      <c r="B202" s="14" t="inlineStr">
        <is>
          <t>2026-10-04 18:00:00</t>
        </is>
      </c>
      <c r="C202" s="14" t="inlineStr">
        <is>
          <t>UNKNOWN</t>
        </is>
      </c>
      <c r="D202" s="14" t="inlineStr">
        <is>
          <t>联赛</t>
        </is>
      </c>
      <c r="E202" s="14" t="inlineStr">
        <is>
          <t>西丁</t>
        </is>
      </c>
      <c r="F202" s="14" t="inlineStr">
        <is>
          <t>豪斯彼得利特 vs 莫列鲁萨</t>
        </is>
      </c>
      <c r="G202" s="26" t="n">
        <v>0.92</v>
      </c>
      <c r="H202" s="26" t="n">
        <v>-1</v>
      </c>
      <c r="I202" s="26" t="n">
        <v>0.78</v>
      </c>
      <c r="J202" s="26" t="inlineStr">
        <is>
          <t>0.92/-1.0/0.78</t>
        </is>
      </c>
      <c r="K202" s="14" t="inlineStr">
        <is>
          <t>V4-C｜EV 0.1011533146099623</t>
        </is>
      </c>
      <c r="L202" s="14" t="inlineStr">
        <is>
          <t>豪斯彼得利特</t>
        </is>
      </c>
      <c r="M202" s="47" t="n">
        <v>0.4399751578550223</v>
      </c>
      <c r="N202" s="14" t="inlineStr">
        <is>
          <t>V4纸面入选-C</t>
        </is>
      </c>
      <c r="O202" s="14" t="inlineStr">
        <is>
          <t>0-0</t>
        </is>
      </c>
      <c r="P202" s="14" t="inlineStr">
        <is>
          <t>已结算</t>
        </is>
      </c>
      <c r="Q202" s="14" t="inlineStr">
        <is>
          <t>红半</t>
        </is>
      </c>
      <c r="R202" s="48" t="n">
        <v>0.92</v>
      </c>
      <c r="S202" s="48" t="n">
        <v>0.46</v>
      </c>
      <c r="T202" s="14" t="inlineStr">
        <is>
          <t>D:\codex\v3_legacy\outputs\football_odds_trader\raw\titan007\20261004\20261004_135431_titan007_odds_snapshot.csv</t>
        </is>
      </c>
      <c r="U202" s="14">
        <f>IF(Q202="","",IF(Q202="待结算","待结算",IF(Q202="红","黑",IF(Q202="半红","半黑",IF(Q202="走","走",IF(Q202="半黑","半红","红"))))))</f>
        <v/>
      </c>
      <c r="V202" s="48">
        <f>IF(OR(U202="",U202="待结算"),"",IF(L202=LEFT(F202,FIND(" vs ",F202)-1),I202,G202))</f>
        <v/>
      </c>
      <c r="W202" s="48">
        <f>IF(OR(U202="",U202="待结算"),"",IF(U202="红",V202,IF(U202="半红",V202*0.5,IF(U202="走",0,IF(U202="半黑",-0.5,-1)))))</f>
        <v/>
      </c>
      <c r="X202" s="14" t="inlineStr">
        <is>
          <t>3030687</t>
        </is>
      </c>
      <c r="Y202" s="14" t="inlineStr">
        <is>
          <t>V4</t>
        </is>
      </c>
      <c r="Z202" s="14" t="inlineStr">
        <is>
          <t>prior-2026-10-04-v1</t>
        </is>
      </c>
      <c r="AA202" s="14" t="inlineStr">
        <is>
          <t>C</t>
        </is>
      </c>
      <c r="AB202" s="14" t="n">
        <v>0.4399751578550223</v>
      </c>
      <c r="AC202" s="14" t="n">
        <v>0</v>
      </c>
      <c r="AD202" s="14" t="n">
        <v>0.2564010115283195</v>
      </c>
      <c r="AE202" s="14" t="n">
        <v>0</v>
      </c>
      <c r="AF202" s="14" t="n">
        <v>0.3036238306166583</v>
      </c>
      <c r="AG202" s="14" t="n">
        <v>0.1011533146099623</v>
      </c>
      <c r="AH202" s="14" t="n"/>
      <c r="AI202" s="14" t="n"/>
      <c r="AJ202" s="14" t="n">
        <v>0.1011533146099623</v>
      </c>
      <c r="AK202" s="14" t="n"/>
      <c r="AL202" s="14" t="n"/>
      <c r="AM202" s="14" t="n"/>
      <c r="AN202" s="14" t="inlineStr">
        <is>
          <t>EVALUATED</t>
        </is>
      </c>
      <c r="AO202" s="14" t="inlineStr">
        <is>
          <t>GIVING_VALIDATED_EDGE;BUCKET_PRIOR_ONLY;INTENT_INTERPRETATION_ONLY;FFL_OPTIONAL;EXPERT_MARKET</t>
        </is>
      </c>
      <c r="AP202" s="14" t="inlineStr">
        <is>
          <t>de2ebcc0053618d2993f</t>
        </is>
      </c>
      <c r="AQ202" s="14" t="n">
        <v>-1</v>
      </c>
      <c r="AR202" s="14" t="n">
        <v>0.92</v>
      </c>
      <c r="AS202" s="14" t="n">
        <v>-1</v>
      </c>
      <c r="AT202" s="14" t="n">
        <v>1</v>
      </c>
      <c r="AU202" s="14" t="n">
        <v>0.92</v>
      </c>
      <c r="AV202" s="14" t="n">
        <v>0.78</v>
      </c>
      <c r="AW202" s="14" t="inlineStr">
        <is>
          <t>2026-10-04T09:58:08.993953+08:00</t>
        </is>
      </c>
      <c r="AX202" s="14" t="inlineStr">
        <is>
          <t>Titan007 Next</t>
        </is>
      </c>
      <c r="AY202" s="14" t="inlineStr">
        <is>
          <t>V4 Shadow Only；real_money=false；新增冻结记录</t>
        </is>
      </c>
    </row>
    <row r="203" ht="22" customHeight="1" s="39">
      <c r="A203" s="14" t="inlineStr">
        <is>
          <t>2026-10-04</t>
        </is>
      </c>
      <c r="B203" s="14" t="inlineStr">
        <is>
          <t>2026-10-04 18:00:00</t>
        </is>
      </c>
      <c r="C203" s="14" t="inlineStr">
        <is>
          <t>UNKNOWN</t>
        </is>
      </c>
      <c r="D203" s="14" t="inlineStr">
        <is>
          <t>联赛</t>
        </is>
      </c>
      <c r="E203" s="14" t="inlineStr">
        <is>
          <t>西丁</t>
        </is>
      </c>
      <c r="F203" s="14" t="inlineStr">
        <is>
          <t>蒙塔尼萨 vs 莱斯卡拉</t>
        </is>
      </c>
      <c r="G203" s="26" t="n">
        <v>0.78</v>
      </c>
      <c r="H203" s="26" t="n">
        <v>-0.25</v>
      </c>
      <c r="I203" s="26" t="n">
        <v>0.92</v>
      </c>
      <c r="J203" s="26" t="inlineStr">
        <is>
          <t>0.78/-0.25/0.92</t>
        </is>
      </c>
      <c r="K203" s="14" t="inlineStr">
        <is>
          <t>V4-C｜EV 0.08999196386577088</t>
        </is>
      </c>
      <c r="L203" s="14" t="inlineStr">
        <is>
          <t>蒙塔尼萨</t>
        </is>
      </c>
      <c r="M203" s="47" t="n">
        <v>0.5437389824541499</v>
      </c>
      <c r="N203" s="14" t="inlineStr">
        <is>
          <t>V4纸面入选-C</t>
        </is>
      </c>
      <c r="O203" s="14" t="inlineStr">
        <is>
          <t>取消/延期</t>
        </is>
      </c>
      <c r="P203" s="14" t="inlineStr">
        <is>
          <t>取消/延期</t>
        </is>
      </c>
      <c r="Q203" s="14" t="n"/>
      <c r="R203" s="48" t="n">
        <v>0.78</v>
      </c>
      <c r="S203" s="48" t="n"/>
      <c r="T203" s="14" t="inlineStr">
        <is>
          <t>D:\codex\v3_legacy\outputs\football_odds_trader\raw\titan007\20261004\20261004_135431_titan007_odds_snapshot.csv</t>
        </is>
      </c>
      <c r="U203" s="14">
        <f>IF(Q203="","",IF(Q203="待结算","待结算",IF(Q203="红","黑",IF(Q203="半红","半黑",IF(Q203="走","走",IF(Q203="半黑","半红","红"))))))</f>
        <v/>
      </c>
      <c r="V203" s="48">
        <f>IF(OR(U203="",U203="待结算"),"",IF(L203=LEFT(F203,FIND(" vs ",F203)-1),I203,G203))</f>
        <v/>
      </c>
      <c r="W203" s="48">
        <f>IF(OR(U203="",U203="待结算"),"",IF(U203="红",V203,IF(U203="半红",V203*0.5,IF(U203="走",0,IF(U203="半黑",-0.5,-1)))))</f>
        <v/>
      </c>
      <c r="X203" s="14" t="inlineStr">
        <is>
          <t>3030688</t>
        </is>
      </c>
      <c r="Y203" s="14" t="inlineStr">
        <is>
          <t>V4</t>
        </is>
      </c>
      <c r="Z203" s="14" t="inlineStr">
        <is>
          <t>prior-2026-10-04-v1</t>
        </is>
      </c>
      <c r="AA203" s="14" t="inlineStr">
        <is>
          <t>C</t>
        </is>
      </c>
      <c r="AB203" s="14" t="n">
        <v>0.5437389824541499</v>
      </c>
      <c r="AC203" s="14" t="n">
        <v>0</v>
      </c>
      <c r="AD203" s="14" t="n">
        <v>0</v>
      </c>
      <c r="AE203" s="14" t="n">
        <v>0.2442731501947683</v>
      </c>
      <c r="AF203" s="14" t="n">
        <v>0.2119878673510819</v>
      </c>
      <c r="AG203" s="14" t="n">
        <v>0.08999196386577088</v>
      </c>
      <c r="AH203" s="14" t="n"/>
      <c r="AI203" s="14" t="n"/>
      <c r="AJ203" s="14" t="n">
        <v>0.08999196386577088</v>
      </c>
      <c r="AK203" s="14" t="n"/>
      <c r="AL203" s="14" t="n"/>
      <c r="AM203" s="14" t="n"/>
      <c r="AN203" s="14" t="inlineStr">
        <is>
          <t>EVALUATED</t>
        </is>
      </c>
      <c r="AO203" s="14" t="inlineStr">
        <is>
          <t>GIVING_VALIDATED_EDGE;BUCKET_PRIOR_ONLY;INTENT_INTERPRETATION_ONLY;FFL_OPTIONAL;EXPERT_MARKET</t>
        </is>
      </c>
      <c r="AP203" s="14" t="inlineStr">
        <is>
          <t>f36df0321820cf43c888</t>
        </is>
      </c>
      <c r="AQ203" s="14" t="n">
        <v>-0.25</v>
      </c>
      <c r="AR203" s="14" t="n">
        <v>0.78</v>
      </c>
      <c r="AS203" s="14" t="n">
        <v>-0.25</v>
      </c>
      <c r="AT203" s="14" t="n">
        <v>0.25</v>
      </c>
      <c r="AU203" s="14" t="n">
        <v>0.78</v>
      </c>
      <c r="AV203" s="14" t="n">
        <v>0.92</v>
      </c>
      <c r="AW203" s="14" t="inlineStr">
        <is>
          <t>2026-10-04T09:58:08.993953+08:00</t>
        </is>
      </c>
      <c r="AX203" s="14" t="inlineStr">
        <is>
          <t>Titan007 Next</t>
        </is>
      </c>
      <c r="AY203" s="14" t="inlineStr">
        <is>
          <t>V4 Shadow Only；real_money=false；新增冻结记录</t>
        </is>
      </c>
    </row>
    <row r="204" ht="22" customHeight="1" s="39">
      <c r="A204" s="14" t="inlineStr">
        <is>
          <t>2026-10-04</t>
        </is>
      </c>
      <c r="B204" s="14" t="inlineStr">
        <is>
          <t>2026-10-04 18:00:00</t>
        </is>
      </c>
      <c r="C204" s="14" t="inlineStr">
        <is>
          <t>UNKNOWN</t>
        </is>
      </c>
      <c r="D204" s="14" t="inlineStr">
        <is>
          <t>联赛</t>
        </is>
      </c>
      <c r="E204" s="14" t="inlineStr">
        <is>
          <t>西丁</t>
        </is>
      </c>
      <c r="F204" s="14" t="inlineStr">
        <is>
          <t>圣克里斯托瓦尔 vs 格拉马</t>
        </is>
      </c>
      <c r="G204" s="26" t="n">
        <v>0.73</v>
      </c>
      <c r="H204" s="26" t="n">
        <v>0.25</v>
      </c>
      <c r="I204" s="26" t="n">
        <v>0.97</v>
      </c>
      <c r="J204" s="26" t="inlineStr">
        <is>
          <t>0.73/0.25/0.97</t>
        </is>
      </c>
      <c r="K204" s="14" t="inlineStr">
        <is>
          <t>V4-C｜EV 0.1400510398732192</t>
        </is>
      </c>
      <c r="L204" s="14" t="inlineStr">
        <is>
          <t>圣克里斯托瓦尔</t>
        </is>
      </c>
      <c r="M204" s="47" t="n">
        <v>0.5837373518630528</v>
      </c>
      <c r="N204" s="14" t="inlineStr">
        <is>
          <t>V4纸面入选-C</t>
        </is>
      </c>
      <c r="O204" s="14" t="inlineStr">
        <is>
          <t>取消/延期</t>
        </is>
      </c>
      <c r="P204" s="14" t="inlineStr">
        <is>
          <t>取消/延期</t>
        </is>
      </c>
      <c r="Q204" s="14" t="n"/>
      <c r="R204" s="48" t="n">
        <v>0.73</v>
      </c>
      <c r="S204" s="48" t="n"/>
      <c r="T204" s="14" t="inlineStr">
        <is>
          <t>D:\codex\v3_legacy\outputs\football_odds_trader\raw\titan007\20261004\20261004_135431_titan007_odds_snapshot.csv</t>
        </is>
      </c>
      <c r="U204" s="14">
        <f>IF(Q204="","",IF(Q204="待结算","待结算",IF(Q204="红","黑",IF(Q204="半红","半黑",IF(Q204="走","走",IF(Q204="半黑","半红","红"))))))</f>
        <v/>
      </c>
      <c r="V204" s="48">
        <f>IF(OR(U204="",U204="待结算"),"",IF(L204=LEFT(F204,FIND(" vs ",F204)-1),I204,G204))</f>
        <v/>
      </c>
      <c r="W204" s="48">
        <f>IF(OR(U204="",U204="待结算"),"",IF(U204="红",V204,IF(U204="半红",V204*0.5,IF(U204="走",0,IF(U204="半黑",-0.5,-1)))))</f>
        <v/>
      </c>
      <c r="X204" s="14" t="inlineStr">
        <is>
          <t>3030689</t>
        </is>
      </c>
      <c r="Y204" s="14" t="inlineStr">
        <is>
          <t>V4</t>
        </is>
      </c>
      <c r="Z204" s="14" t="inlineStr">
        <is>
          <t>prior-2026-10-04-v1</t>
        </is>
      </c>
      <c r="AA204" s="14" t="inlineStr">
        <is>
          <t>C</t>
        </is>
      </c>
      <c r="AB204" s="14" t="n">
        <v>0.4535519307129149</v>
      </c>
      <c r="AC204" s="14" t="n">
        <v>0.2603708423002758</v>
      </c>
      <c r="AD204" s="14" t="n">
        <v>0</v>
      </c>
      <c r="AE204" s="14" t="n">
        <v>0</v>
      </c>
      <c r="AF204" s="14" t="n">
        <v>0.2860772269868093</v>
      </c>
      <c r="AG204" s="14" t="n">
        <v>0.1400510398732192</v>
      </c>
      <c r="AH204" s="14" t="n"/>
      <c r="AI204" s="14" t="n"/>
      <c r="AJ204" s="14" t="n">
        <v>0.1400510398732192</v>
      </c>
      <c r="AK204" s="14" t="n"/>
      <c r="AL204" s="14" t="n"/>
      <c r="AM204" s="14" t="n"/>
      <c r="AN204" s="14" t="inlineStr">
        <is>
          <t>EVALUATED</t>
        </is>
      </c>
      <c r="AO204" s="14" t="inlineStr">
        <is>
          <t>RECEIVING_VALIDATED_EDGE;BUCKET_PRIOR_ONLY;INTENT_INTERPRETATION_ONLY;FFL_OPTIONAL;EXPERT_MARKET</t>
        </is>
      </c>
      <c r="AP204" s="14" t="inlineStr">
        <is>
          <t>d28f1195d28ef14c5e66</t>
        </is>
      </c>
      <c r="AQ204" s="14" t="n">
        <v>0.25</v>
      </c>
      <c r="AR204" s="14" t="n">
        <v>0.73</v>
      </c>
      <c r="AS204" s="14" t="n">
        <v>-0.25</v>
      </c>
      <c r="AT204" s="14" t="n">
        <v>0.25</v>
      </c>
      <c r="AU204" s="14" t="n">
        <v>0.97</v>
      </c>
      <c r="AV204" s="14" t="n">
        <v>0.73</v>
      </c>
      <c r="AW204" s="14" t="inlineStr">
        <is>
          <t>2026-10-04T09:58:08.993953+08:00</t>
        </is>
      </c>
      <c r="AX204" s="14" t="inlineStr">
        <is>
          <t>Titan007 Next</t>
        </is>
      </c>
      <c r="AY204" s="14" t="inlineStr">
        <is>
          <t>V4 Shadow Only；real_money=false；新增冻结记录</t>
        </is>
      </c>
    </row>
    <row r="205" ht="22" customHeight="1" s="39">
      <c r="A205" s="14" t="inlineStr">
        <is>
          <t>2026-10-04</t>
        </is>
      </c>
      <c r="B205" s="14" t="inlineStr">
        <is>
          <t>2026-10-04 18:00:00</t>
        </is>
      </c>
      <c r="C205" s="14" t="inlineStr">
        <is>
          <t>UNKNOWN</t>
        </is>
      </c>
      <c r="D205" s="14" t="inlineStr">
        <is>
          <t>联赛</t>
        </is>
      </c>
      <c r="E205" s="14" t="inlineStr">
        <is>
          <t>西丁</t>
        </is>
      </c>
      <c r="F205" s="14" t="inlineStr">
        <is>
          <t>克瑞斯图竞技 vs 尤尼恩斯塔斯CF B</t>
        </is>
      </c>
      <c r="G205" s="26" t="n">
        <v>0.83</v>
      </c>
      <c r="H205" s="26" t="n">
        <v>-0.75</v>
      </c>
      <c r="I205" s="26" t="n">
        <v>0.87</v>
      </c>
      <c r="J205" s="26" t="inlineStr">
        <is>
          <t>0.83/-0.75/0.87</t>
        </is>
      </c>
      <c r="K205" s="14" t="inlineStr">
        <is>
          <t>V4-C｜EV 0.14318451926319464</t>
        </is>
      </c>
      <c r="L205" s="14" t="inlineStr">
        <is>
          <t>克瑞斯图竞技</t>
        </is>
      </c>
      <c r="M205" s="47" t="n">
        <v>0.5543558397864298</v>
      </c>
      <c r="N205" s="14" t="inlineStr">
        <is>
          <t>V4纸面入选-C</t>
        </is>
      </c>
      <c r="O205" s="14" t="inlineStr">
        <is>
          <t>3-0</t>
        </is>
      </c>
      <c r="P205" s="14" t="inlineStr">
        <is>
          <t>已结算</t>
        </is>
      </c>
      <c r="Q205" s="14" t="inlineStr">
        <is>
          <t>红</t>
        </is>
      </c>
      <c r="R205" s="48" t="n">
        <v>0.83</v>
      </c>
      <c r="S205" s="48" t="n">
        <v>0.415</v>
      </c>
      <c r="T205" s="14" t="inlineStr">
        <is>
          <t>D:\codex\v3_legacy\outputs\football_odds_trader\raw\titan007\20261004\20261004_135431_titan007_odds_snapshot.csv</t>
        </is>
      </c>
      <c r="U205" s="14">
        <f>IF(Q205="","",IF(Q205="待结算","待结算",IF(Q205="红","黑",IF(Q205="半红","半黑",IF(Q205="走","走",IF(Q205="半黑","半红","红"))))))</f>
        <v/>
      </c>
      <c r="V205" s="48">
        <f>IF(OR(U205="",U205="待结算"),"",IF(L205=LEFT(F205,FIND(" vs ",F205)-1),I205,G205))</f>
        <v/>
      </c>
      <c r="W205" s="48">
        <f>IF(OR(U205="",U205="待结算"),"",IF(U205="红",V205,IF(U205="半红",V205*0.5,IF(U205="走",0,IF(U205="半黑",-0.5,-1)))))</f>
        <v/>
      </c>
      <c r="X205" s="14" t="inlineStr">
        <is>
          <t>3080241</t>
        </is>
      </c>
      <c r="Y205" s="14" t="inlineStr">
        <is>
          <t>V4</t>
        </is>
      </c>
      <c r="Z205" s="14" t="inlineStr">
        <is>
          <t>prior-2026-10-04-v1</t>
        </is>
      </c>
      <c r="AA205" s="14" t="inlineStr">
        <is>
          <t>C</t>
        </is>
      </c>
      <c r="AB205" s="14" t="n">
        <v>0.4256425073324015</v>
      </c>
      <c r="AC205" s="14" t="n">
        <v>0.2574266649080565</v>
      </c>
      <c r="AD205" s="14" t="n">
        <v>0</v>
      </c>
      <c r="AE205" s="14" t="n">
        <v>0</v>
      </c>
      <c r="AF205" s="14" t="n">
        <v>0.3169308277595421</v>
      </c>
      <c r="AG205" s="14" t="n">
        <v>0.1431845192631946</v>
      </c>
      <c r="AH205" s="14" t="n"/>
      <c r="AI205" s="14" t="n"/>
      <c r="AJ205" s="14" t="n">
        <v>0.1431845192631946</v>
      </c>
      <c r="AK205" s="14" t="n"/>
      <c r="AL205" s="14" t="n"/>
      <c r="AM205" s="14" t="n"/>
      <c r="AN205" s="14" t="inlineStr">
        <is>
          <t>EVALUATED</t>
        </is>
      </c>
      <c r="AO205" s="14" t="inlineStr">
        <is>
          <t>GIVING_VALIDATED_EDGE;BUCKET_PRIOR_ONLY;INTENT_INTERPRETATION_ONLY;FFL_OPTIONAL;EXPERT_MARKET</t>
        </is>
      </c>
      <c r="AP205" s="14" t="inlineStr">
        <is>
          <t>ee20a8d76b5fbe64ee50</t>
        </is>
      </c>
      <c r="AQ205" s="14" t="n">
        <v>-0.75</v>
      </c>
      <c r="AR205" s="14" t="n">
        <v>0.83</v>
      </c>
      <c r="AS205" s="14" t="n">
        <v>-0.75</v>
      </c>
      <c r="AT205" s="14" t="n">
        <v>0.75</v>
      </c>
      <c r="AU205" s="14" t="n">
        <v>0.83</v>
      </c>
      <c r="AV205" s="14" t="n">
        <v>0.87</v>
      </c>
      <c r="AW205" s="14" t="inlineStr">
        <is>
          <t>2026-10-04T09:58:08.993953+08:00</t>
        </is>
      </c>
      <c r="AX205" s="14" t="inlineStr">
        <is>
          <t>Titan007 Next</t>
        </is>
      </c>
      <c r="AY205" s="14" t="inlineStr">
        <is>
          <t>V4 Shadow Only；real_money=false；新增冻结记录</t>
        </is>
      </c>
    </row>
    <row r="206" ht="22" customHeight="1" s="39">
      <c r="A206" s="14" t="inlineStr">
        <is>
          <t>2026-10-04</t>
        </is>
      </c>
      <c r="B206" s="14" t="inlineStr">
        <is>
          <t>2026-10-04 18:30:00</t>
        </is>
      </c>
      <c r="C206" s="14" t="inlineStr">
        <is>
          <t>CLUB_LEAGUE</t>
        </is>
      </c>
      <c r="D206" s="14" t="inlineStr">
        <is>
          <t>联赛</t>
        </is>
      </c>
      <c r="E206" s="14" t="inlineStr">
        <is>
          <t>意丙</t>
        </is>
      </c>
      <c r="F206" s="14" t="inlineStr">
        <is>
          <t>莱科 vs 布雷西亚</t>
        </is>
      </c>
      <c r="G206" s="26" t="n">
        <v>0.88</v>
      </c>
      <c r="H206" s="26" t="n">
        <v>0.5</v>
      </c>
      <c r="I206" s="26" t="n">
        <v>0.82</v>
      </c>
      <c r="J206" s="26" t="inlineStr">
        <is>
          <t>0.88/0.5/0.82</t>
        </is>
      </c>
      <c r="K206" s="14" t="inlineStr">
        <is>
          <t>V4-B｜EV 0.5354486261213169</t>
        </is>
      </c>
      <c r="L206" s="14" t="inlineStr">
        <is>
          <t>莱科</t>
        </is>
      </c>
      <c r="M206" s="47" t="n">
        <v>0.8167279926177218</v>
      </c>
      <c r="N206" s="14" t="inlineStr">
        <is>
          <t>V4纸面入选-B</t>
        </is>
      </c>
      <c r="O206" s="14" t="inlineStr">
        <is>
          <t>2-2</t>
        </is>
      </c>
      <c r="P206" s="14" t="inlineStr">
        <is>
          <t>已结算</t>
        </is>
      </c>
      <c r="Q206" s="14" t="inlineStr">
        <is>
          <t>红</t>
        </is>
      </c>
      <c r="R206" s="48" t="n">
        <v>0.88</v>
      </c>
      <c r="S206" s="48" t="n">
        <v>0.44</v>
      </c>
      <c r="T206" s="14" t="inlineStr">
        <is>
          <t>D:\codex\v3_legacy\outputs\football_odds_trader\raw\titan007\20261004\20261004_135431_titan007_odds_snapshot.csv</t>
        </is>
      </c>
      <c r="U206" s="14">
        <f>IF(Q206="","",IF(Q206="待结算","待结算",IF(Q206="红","黑",IF(Q206="半红","半黑",IF(Q206="走","走",IF(Q206="半黑","半红","红"))))))</f>
        <v/>
      </c>
      <c r="V206" s="48">
        <f>IF(OR(U206="",U206="待结算"),"",IF(L206=LEFT(F206,FIND(" vs ",F206)-1),I206,G206))</f>
        <v/>
      </c>
      <c r="W206" s="48">
        <f>IF(OR(U206="",U206="待结算"),"",IF(U206="红",V206,IF(U206="半红",V206*0.5,IF(U206="走",0,IF(U206="半黑",-0.5,-1)))))</f>
        <v/>
      </c>
      <c r="X206" s="14" t="inlineStr">
        <is>
          <t>3050577</t>
        </is>
      </c>
      <c r="Y206" s="14" t="inlineStr">
        <is>
          <t>V4</t>
        </is>
      </c>
      <c r="Z206" s="14" t="inlineStr">
        <is>
          <t>prior-2026-10-04-v1</t>
        </is>
      </c>
      <c r="AA206" s="14" t="inlineStr">
        <is>
          <t>B</t>
        </is>
      </c>
      <c r="AB206" s="14" t="n">
        <v>0.8167279926177218</v>
      </c>
      <c r="AC206" s="14" t="n">
        <v>0</v>
      </c>
      <c r="AD206" s="14" t="n">
        <v>0</v>
      </c>
      <c r="AE206" s="14" t="n">
        <v>0</v>
      </c>
      <c r="AF206" s="14" t="n">
        <v>0.1832720073822782</v>
      </c>
      <c r="AG206" s="14" t="n">
        <v>0.5354486261213169</v>
      </c>
      <c r="AH206" s="14" t="n"/>
      <c r="AI206" s="14" t="n"/>
      <c r="AJ206" s="14" t="n">
        <v>0.5354486261213169</v>
      </c>
      <c r="AK206" s="14" t="n"/>
      <c r="AL206" s="14" t="n"/>
      <c r="AM206" s="14" t="n"/>
      <c r="AN206" s="14" t="inlineStr">
        <is>
          <t>EVALUATED</t>
        </is>
      </c>
      <c r="AO206" s="14" t="inlineStr">
        <is>
          <t>RECEIVING_VALIDATED_EDGE;BUCKET_PRIOR_ONLY;INTENT_INTERPRETATION_ONLY;FFL_OPTIONAL;EXPERT_MARKET</t>
        </is>
      </c>
      <c r="AP206" s="14" t="inlineStr">
        <is>
          <t>0050934aee3a41426b5a</t>
        </is>
      </c>
      <c r="AQ206" s="14" t="n">
        <v>0.5</v>
      </c>
      <c r="AR206" s="14" t="n">
        <v>0.88</v>
      </c>
      <c r="AS206" s="14" t="n">
        <v>-0.5</v>
      </c>
      <c r="AT206" s="14" t="n">
        <v>0.5</v>
      </c>
      <c r="AU206" s="14" t="n">
        <v>0.82</v>
      </c>
      <c r="AV206" s="14" t="n">
        <v>0.88</v>
      </c>
      <c r="AW206" s="14" t="inlineStr">
        <is>
          <t>2026-10-04T09:58:08.993953+08:00</t>
        </is>
      </c>
      <c r="AX206" s="14" t="inlineStr">
        <is>
          <t>Titan007 Next</t>
        </is>
      </c>
      <c r="AY206" s="14" t="inlineStr">
        <is>
          <t>V4 Shadow Only；real_money=false；新增冻结记录</t>
        </is>
      </c>
    </row>
    <row r="207" ht="22" customHeight="1" s="39">
      <c r="A207" s="14" t="inlineStr">
        <is>
          <t>2026-10-04</t>
        </is>
      </c>
      <c r="B207" s="14" t="inlineStr">
        <is>
          <t>2026-10-04 18:30:00</t>
        </is>
      </c>
      <c r="C207" s="14" t="inlineStr">
        <is>
          <t>CLUB_LEAGUE</t>
        </is>
      </c>
      <c r="D207" s="14" t="inlineStr">
        <is>
          <t>联赛</t>
        </is>
      </c>
      <c r="E207" s="14" t="inlineStr">
        <is>
          <t>意丙</t>
        </is>
      </c>
      <c r="F207" s="14" t="inlineStr">
        <is>
          <t>特雷维索 vs 吉安纳</t>
        </is>
      </c>
      <c r="G207" s="26" t="n">
        <v>0.79</v>
      </c>
      <c r="H207" s="26" t="n">
        <v>-0.5</v>
      </c>
      <c r="I207" s="26" t="n">
        <v>0.91</v>
      </c>
      <c r="J207" s="26" t="inlineStr">
        <is>
          <t>0.79/-0.5/0.91</t>
        </is>
      </c>
      <c r="K207" s="14" t="inlineStr">
        <is>
          <t>V4-B｜EV 0.15450752089288927</t>
        </is>
      </c>
      <c r="L207" s="14" t="inlineStr">
        <is>
          <t>特雷维索</t>
        </is>
      </c>
      <c r="M207" s="47" t="n">
        <v>0.6449762686552454</v>
      </c>
      <c r="N207" s="14" t="inlineStr">
        <is>
          <t>V4纸面入选-B</t>
        </is>
      </c>
      <c r="O207" s="14" t="inlineStr">
        <is>
          <t>0-0</t>
        </is>
      </c>
      <c r="P207" s="14" t="inlineStr">
        <is>
          <t>已结算</t>
        </is>
      </c>
      <c r="Q207" s="14" t="inlineStr">
        <is>
          <t>黑</t>
        </is>
      </c>
      <c r="R207" s="48" t="n">
        <v>0.79</v>
      </c>
      <c r="S207" s="48" t="n">
        <v>0.395</v>
      </c>
      <c r="T207" s="14" t="inlineStr">
        <is>
          <t>D:\codex\v3_legacy\outputs\football_odds_trader\raw\titan007\20261004\20261004_135431_titan007_odds_snapshot.csv</t>
        </is>
      </c>
      <c r="U207" s="14">
        <f>IF(Q207="","",IF(Q207="待结算","待结算",IF(Q207="红","黑",IF(Q207="半红","半黑",IF(Q207="走","走",IF(Q207="半黑","半红","红"))))))</f>
        <v/>
      </c>
      <c r="V207" s="48">
        <f>IF(OR(U207="",U207="待结算"),"",IF(L207=LEFT(F207,FIND(" vs ",F207)-1),I207,G207))</f>
        <v/>
      </c>
      <c r="W207" s="48">
        <f>IF(OR(U207="",U207="待结算"),"",IF(U207="红",V207,IF(U207="半红",V207*0.5,IF(U207="走",0,IF(U207="半黑",-0.5,-1)))))</f>
        <v/>
      </c>
      <c r="X207" s="14" t="inlineStr">
        <is>
          <t>3050580</t>
        </is>
      </c>
      <c r="Y207" s="14" t="inlineStr">
        <is>
          <t>V4</t>
        </is>
      </c>
      <c r="Z207" s="14" t="inlineStr">
        <is>
          <t>prior-2026-10-04-v1</t>
        </is>
      </c>
      <c r="AA207" s="14" t="inlineStr">
        <is>
          <t>B</t>
        </is>
      </c>
      <c r="AB207" s="14" t="n">
        <v>0.6449762686552454</v>
      </c>
      <c r="AC207" s="14" t="n">
        <v>0</v>
      </c>
      <c r="AD207" s="14" t="n">
        <v>0</v>
      </c>
      <c r="AE207" s="14" t="n">
        <v>0</v>
      </c>
      <c r="AF207" s="14" t="n">
        <v>0.3550237313447546</v>
      </c>
      <c r="AG207" s="14" t="n">
        <v>0.1545075208928893</v>
      </c>
      <c r="AH207" s="14" t="n"/>
      <c r="AI207" s="14" t="n"/>
      <c r="AJ207" s="14" t="n">
        <v>0.1545075208928893</v>
      </c>
      <c r="AK207" s="14" t="n"/>
      <c r="AL207" s="14" t="n"/>
      <c r="AM207" s="14" t="n"/>
      <c r="AN207" s="14" t="inlineStr">
        <is>
          <t>EVALUATED</t>
        </is>
      </c>
      <c r="AO207" s="14" t="inlineStr">
        <is>
          <t>GIVING_VALIDATED_EDGE;BUCKET_PRIOR_ONLY;INTENT_INTERPRETATION_ONLY;FFL_OPTIONAL;EXPERT_MARKET</t>
        </is>
      </c>
      <c r="AP207" s="14" t="inlineStr">
        <is>
          <t>0ab6ead17d89078c3651</t>
        </is>
      </c>
      <c r="AQ207" s="14" t="n">
        <v>-0.5</v>
      </c>
      <c r="AR207" s="14" t="n">
        <v>0.79</v>
      </c>
      <c r="AS207" s="14" t="n">
        <v>-0.5</v>
      </c>
      <c r="AT207" s="14" t="n">
        <v>0.5</v>
      </c>
      <c r="AU207" s="14" t="n">
        <v>0.79</v>
      </c>
      <c r="AV207" s="14" t="n">
        <v>0.91</v>
      </c>
      <c r="AW207" s="14" t="inlineStr">
        <is>
          <t>2026-10-04T09:58:08.993953+08:00</t>
        </is>
      </c>
      <c r="AX207" s="14" t="inlineStr">
        <is>
          <t>Titan007 Next</t>
        </is>
      </c>
      <c r="AY207" s="14" t="inlineStr">
        <is>
          <t>V4 Shadow Only；real_money=false；新增冻结记录</t>
        </is>
      </c>
    </row>
    <row r="208" ht="22" customHeight="1" s="39">
      <c r="A208" s="14" t="inlineStr">
        <is>
          <t>2026-10-04</t>
        </is>
      </c>
      <c r="B208" s="14" t="inlineStr">
        <is>
          <t>2026-10-04 19:00:00</t>
        </is>
      </c>
      <c r="C208" s="14" t="inlineStr">
        <is>
          <t>CLUB_LEAGUE</t>
        </is>
      </c>
      <c r="D208" s="14" t="inlineStr">
        <is>
          <t>联赛</t>
        </is>
      </c>
      <c r="E208" s="14" t="inlineStr">
        <is>
          <t>瑞典乙南</t>
        </is>
      </c>
      <c r="F208" s="14" t="inlineStr">
        <is>
          <t>BK奥林匹克 vs 特雷勒堡</t>
        </is>
      </c>
      <c r="G208" s="26" t="n">
        <v>0.9</v>
      </c>
      <c r="H208" s="26" t="n">
        <v>0.25</v>
      </c>
      <c r="I208" s="26" t="n">
        <v>0.8</v>
      </c>
      <c r="J208" s="26" t="inlineStr">
        <is>
          <t>0.9/0.25/0.8</t>
        </is>
      </c>
      <c r="K208" s="14" t="inlineStr">
        <is>
          <t>V4-B｜EV 0.31948902598830137</t>
        </is>
      </c>
      <c r="L208" s="14" t="inlineStr">
        <is>
          <t>BK奥林匹克</t>
        </is>
      </c>
      <c r="M208" s="47" t="n">
        <v>0.6285537666996681</v>
      </c>
      <c r="N208" s="14" t="inlineStr">
        <is>
          <t>V4纸面入选-B</t>
        </is>
      </c>
      <c r="O208" s="14" t="inlineStr">
        <is>
          <t>0-2</t>
        </is>
      </c>
      <c r="P208" s="14" t="inlineStr">
        <is>
          <t>已结算</t>
        </is>
      </c>
      <c r="Q208" s="14" t="inlineStr">
        <is>
          <t>黑</t>
        </is>
      </c>
      <c r="R208" s="48" t="n">
        <v>0.9</v>
      </c>
      <c r="S208" s="48" t="n">
        <v>0</v>
      </c>
      <c r="T208" s="14" t="inlineStr">
        <is>
          <t>D:\codex\v3_legacy\outputs\football_odds_trader\raw\titan007\20261004\20261004_135431_titan007_odds_snapshot.csv</t>
        </is>
      </c>
      <c r="U208" s="14">
        <f>IF(Q208="","",IF(Q208="待结算","待结算",IF(Q208="红","黑",IF(Q208="半红","半黑",IF(Q208="走","走",IF(Q208="半黑","半红","红"))))))</f>
        <v/>
      </c>
      <c r="V208" s="48">
        <f>IF(OR(U208="",U208="待结算"),"",IF(L208=LEFT(F208,FIND(" vs ",F208)-1),I208,G208))</f>
        <v/>
      </c>
      <c r="W208" s="48">
        <f>IF(OR(U208="",U208="待结算"),"",IF(U208="红",V208,IF(U208="半红",V208*0.5,IF(U208="走",0,IF(U208="半黑",-0.5,-1)))))</f>
        <v/>
      </c>
      <c r="X208" s="14" t="inlineStr">
        <is>
          <t>2919929</t>
        </is>
      </c>
      <c r="Y208" s="14" t="inlineStr">
        <is>
          <t>V4</t>
        </is>
      </c>
      <c r="Z208" s="14" t="inlineStr">
        <is>
          <t>prior-2026-10-04-v1</t>
        </is>
      </c>
      <c r="AA208" s="14" t="inlineStr">
        <is>
          <t>B</t>
        </is>
      </c>
      <c r="AB208" s="14" t="n">
        <v>0.5033168974407364</v>
      </c>
      <c r="AC208" s="14" t="n">
        <v>0.2504737385178636</v>
      </c>
      <c r="AD208" s="14" t="n">
        <v>0</v>
      </c>
      <c r="AE208" s="14" t="n">
        <v>0</v>
      </c>
      <c r="AF208" s="14" t="n">
        <v>0.2462093640414</v>
      </c>
      <c r="AG208" s="14" t="n">
        <v>0.3194890259883014</v>
      </c>
      <c r="AH208" s="14" t="n"/>
      <c r="AI208" s="14" t="n"/>
      <c r="AJ208" s="14" t="n">
        <v>0.3194890259883014</v>
      </c>
      <c r="AK208" s="14" t="n"/>
      <c r="AL208" s="14" t="n"/>
      <c r="AM208" s="14" t="n"/>
      <c r="AN208" s="14" t="inlineStr">
        <is>
          <t>EVALUATED</t>
        </is>
      </c>
      <c r="AO208" s="14" t="inlineStr">
        <is>
          <t>RECEIVING_VALIDATED_EDGE;BUCKET_PRIOR_ONLY;INTENT_INTERPRETATION_ONLY;FFL_OPTIONAL;EXPERT_MARKET</t>
        </is>
      </c>
      <c r="AP208" s="14" t="inlineStr">
        <is>
          <t>a663db1cd1188cc27f7d</t>
        </is>
      </c>
      <c r="AQ208" s="14" t="n">
        <v>0.25</v>
      </c>
      <c r="AR208" s="14" t="n">
        <v>0.9</v>
      </c>
      <c r="AS208" s="14" t="n">
        <v>-0.25</v>
      </c>
      <c r="AT208" s="14" t="n">
        <v>0.25</v>
      </c>
      <c r="AU208" s="14" t="n">
        <v>0.8</v>
      </c>
      <c r="AV208" s="14" t="n">
        <v>0.9</v>
      </c>
      <c r="AW208" s="14" t="inlineStr">
        <is>
          <t>2026-10-04T09:58:08.993953+08:00</t>
        </is>
      </c>
      <c r="AX208" s="14" t="inlineStr">
        <is>
          <t>Titan007 Next</t>
        </is>
      </c>
      <c r="AY208" s="14" t="inlineStr">
        <is>
          <t>V4 Shadow Only；real_money=false；新增冻结记录</t>
        </is>
      </c>
    </row>
    <row r="209" ht="22" customHeight="1" s="39">
      <c r="A209" s="14" t="inlineStr">
        <is>
          <t>2026-10-04</t>
        </is>
      </c>
      <c r="B209" s="14" t="inlineStr">
        <is>
          <t>2026-10-04 19:00:00</t>
        </is>
      </c>
      <c r="C209" s="14" t="inlineStr">
        <is>
          <t>CLUB_LEAGUE</t>
        </is>
      </c>
      <c r="D209" s="14" t="inlineStr">
        <is>
          <t>联赛</t>
        </is>
      </c>
      <c r="E209" s="14" t="inlineStr">
        <is>
          <t>挪乙</t>
        </is>
      </c>
      <c r="F209" s="14" t="inlineStr">
        <is>
          <t>拉纳 vs 伊斯沃德</t>
        </is>
      </c>
      <c r="G209" s="26" t="n">
        <v>0.86</v>
      </c>
      <c r="H209" s="26" t="n">
        <v>1.25</v>
      </c>
      <c r="I209" s="26" t="n">
        <v>0.84</v>
      </c>
      <c r="J209" s="26" t="inlineStr">
        <is>
          <t>0.86/1.25/0.84</t>
        </is>
      </c>
      <c r="K209" s="14" t="inlineStr">
        <is>
          <t>V4-B｜EV 0.8078889197879755</t>
        </is>
      </c>
      <c r="L209" s="14" t="inlineStr">
        <is>
          <t>拉纳</t>
        </is>
      </c>
      <c r="M209" s="47" t="n">
        <v>0.9564953888695772</v>
      </c>
      <c r="N209" s="14" t="inlineStr">
        <is>
          <t>V4纸面入选-B</t>
        </is>
      </c>
      <c r="O209" s="14" t="inlineStr">
        <is>
          <t>2-1</t>
        </is>
      </c>
      <c r="P209" s="14" t="inlineStr">
        <is>
          <t>已结算</t>
        </is>
      </c>
      <c r="Q209" s="14" t="inlineStr">
        <is>
          <t>红</t>
        </is>
      </c>
      <c r="R209" s="48" t="n">
        <v>0.86</v>
      </c>
      <c r="S209" s="48" t="n">
        <v>0.43</v>
      </c>
      <c r="T209" s="14" t="inlineStr">
        <is>
          <t>D:\codex\v3_legacy\outputs\football_odds_trader\raw\titan007\20261004\20261004_135431_titan007_odds_snapshot.csv</t>
        </is>
      </c>
      <c r="U209" s="14">
        <f>IF(Q209="","",IF(Q209="待结算","待结算",IF(Q209="红","黑",IF(Q209="半红","半黑",IF(Q209="走","走",IF(Q209="半黑","半红","红"))))))</f>
        <v/>
      </c>
      <c r="V209" s="48">
        <f>IF(OR(U209="",U209="待结算"),"",IF(L209=LEFT(F209,FIND(" vs ",F209)-1),I209,G209))</f>
        <v/>
      </c>
      <c r="W209" s="48">
        <f>IF(OR(U209="",U209="待结算"),"",IF(U209="红",V209,IF(U209="半红",V209*0.5,IF(U209="走",0,IF(U209="半黑",-0.5,-1)))))</f>
        <v/>
      </c>
      <c r="X209" s="14" t="inlineStr">
        <is>
          <t>2913541</t>
        </is>
      </c>
      <c r="Y209" s="14" t="inlineStr">
        <is>
          <t>V4</t>
        </is>
      </c>
      <c r="Z209" s="14" t="inlineStr">
        <is>
          <t>prior-2026-10-04-v1</t>
        </is>
      </c>
      <c r="AA209" s="14" t="inlineStr">
        <is>
          <t>B</t>
        </is>
      </c>
      <c r="AB209" s="14" t="n">
        <v>0.9276878923790153</v>
      </c>
      <c r="AC209" s="14" t="n">
        <v>0.05761499298112389</v>
      </c>
      <c r="AD209" s="14" t="n">
        <v>0</v>
      </c>
      <c r="AE209" s="14" t="n">
        <v>0</v>
      </c>
      <c r="AF209" s="14" t="n">
        <v>0.01469711463986088</v>
      </c>
      <c r="AG209" s="14" t="n">
        <v>0.8078889197879755</v>
      </c>
      <c r="AH209" s="14" t="n"/>
      <c r="AI209" s="14" t="n"/>
      <c r="AJ209" s="14" t="n">
        <v>0.8078889197879755</v>
      </c>
      <c r="AK209" s="14" t="n"/>
      <c r="AL209" s="14" t="n"/>
      <c r="AM209" s="14" t="n"/>
      <c r="AN209" s="14" t="inlineStr">
        <is>
          <t>EVALUATED</t>
        </is>
      </c>
      <c r="AO209" s="14" t="inlineStr">
        <is>
          <t>RECEIVING_VALIDATED_EDGE;BUCKET_PRIOR_ONLY;INTENT_INTERPRETATION_ONLY;FFL_OPTIONAL;EXPERT_MARKET</t>
        </is>
      </c>
      <c r="AP209" s="14" t="inlineStr">
        <is>
          <t>f7e378e95399c0981dbc</t>
        </is>
      </c>
      <c r="AQ209" s="14" t="n">
        <v>1.25</v>
      </c>
      <c r="AR209" s="14" t="n">
        <v>0.86</v>
      </c>
      <c r="AS209" s="14" t="n">
        <v>-1.25</v>
      </c>
      <c r="AT209" s="14" t="n">
        <v>1.25</v>
      </c>
      <c r="AU209" s="14" t="n">
        <v>0.84</v>
      </c>
      <c r="AV209" s="14" t="n">
        <v>0.86</v>
      </c>
      <c r="AW209" s="14" t="inlineStr">
        <is>
          <t>2026-10-04T09:58:08.993953+08:00</t>
        </is>
      </c>
      <c r="AX209" s="14" t="inlineStr">
        <is>
          <t>Titan007 Next</t>
        </is>
      </c>
      <c r="AY209" s="14" t="inlineStr">
        <is>
          <t>V4 Shadow Only；real_money=false；新增冻结记录</t>
        </is>
      </c>
    </row>
    <row r="210" ht="22" customHeight="1" s="39">
      <c r="A210" s="14" t="inlineStr">
        <is>
          <t>2026-10-04</t>
        </is>
      </c>
      <c r="B210" s="14" t="inlineStr">
        <is>
          <t>2026-10-04 19:00:00</t>
        </is>
      </c>
      <c r="C210" s="14" t="inlineStr">
        <is>
          <t>CLUB_LEAGUE</t>
        </is>
      </c>
      <c r="D210" s="14" t="inlineStr">
        <is>
          <t>联赛</t>
        </is>
      </c>
      <c r="E210" s="14" t="inlineStr">
        <is>
          <t>瑞典丙VG</t>
        </is>
      </c>
      <c r="F210" s="14" t="inlineStr">
        <is>
          <t>阿斯特里 vs 瓦斯特拉弗罗伦达</t>
        </is>
      </c>
      <c r="G210" s="26" t="n">
        <v>0.77</v>
      </c>
      <c r="H210" s="26" t="n">
        <v>1.25</v>
      </c>
      <c r="I210" s="26" t="n">
        <v>0.93</v>
      </c>
      <c r="J210" s="26" t="inlineStr">
        <is>
          <t>0.77/1.25/0.93</t>
        </is>
      </c>
      <c r="K210" s="14" t="inlineStr">
        <is>
          <t>V4-B｜EV 0.6902734634867078</t>
        </is>
      </c>
      <c r="L210" s="14" t="inlineStr">
        <is>
          <t>阿斯特里</t>
        </is>
      </c>
      <c r="M210" s="47" t="n">
        <v>0.9318638466735224</v>
      </c>
      <c r="N210" s="14" t="inlineStr">
        <is>
          <t>V4纸面入选-B</t>
        </is>
      </c>
      <c r="O210" s="14" t="inlineStr">
        <is>
          <t>1-1</t>
        </is>
      </c>
      <c r="P210" s="14" t="inlineStr">
        <is>
          <t>已结算</t>
        </is>
      </c>
      <c r="Q210" s="14" t="inlineStr">
        <is>
          <t>红</t>
        </is>
      </c>
      <c r="R210" s="48" t="n">
        <v>0.77</v>
      </c>
      <c r="S210" s="48" t="n">
        <v>0.385</v>
      </c>
      <c r="T210" s="14" t="inlineStr">
        <is>
          <t>D:\codex\v3_legacy\outputs\football_odds_trader\raw\titan007\20261004\20261004_135431_titan007_odds_snapshot.csv</t>
        </is>
      </c>
      <c r="U210" s="14">
        <f>IF(Q210="","",IF(Q210="待结算","待结算",IF(Q210="红","黑",IF(Q210="半红","半黑",IF(Q210="走","走",IF(Q210="半黑","半红","红"))))))</f>
        <v/>
      </c>
      <c r="V210" s="48">
        <f>IF(OR(U210="",U210="待结算"),"",IF(L210=LEFT(F210,FIND(" vs ",F210)-1),I210,G210))</f>
        <v/>
      </c>
      <c r="W210" s="48">
        <f>IF(OR(U210="",U210="待结算"),"",IF(U210="红",V210,IF(U210="半红",V210*0.5,IF(U210="走",0,IF(U210="半黑",-0.5,-1)))))</f>
        <v/>
      </c>
      <c r="X210" s="14" t="inlineStr">
        <is>
          <t>2927003</t>
        </is>
      </c>
      <c r="Y210" s="14" t="inlineStr">
        <is>
          <t>V4</t>
        </is>
      </c>
      <c r="Z210" s="14" t="inlineStr">
        <is>
          <t>prior-2026-10-04-v1</t>
        </is>
      </c>
      <c r="AA210" s="14" t="inlineStr">
        <is>
          <t>B</t>
        </is>
      </c>
      <c r="AB210" s="14" t="n">
        <v>0.8909893917989492</v>
      </c>
      <c r="AC210" s="14" t="n">
        <v>0.08174890974914642</v>
      </c>
      <c r="AD210" s="14" t="n">
        <v>0</v>
      </c>
      <c r="AE210" s="14" t="n">
        <v>0</v>
      </c>
      <c r="AF210" s="14" t="n">
        <v>0.02726169845190445</v>
      </c>
      <c r="AG210" s="14" t="n">
        <v>0.6902734634867078</v>
      </c>
      <c r="AH210" s="14" t="n"/>
      <c r="AI210" s="14" t="n"/>
      <c r="AJ210" s="14" t="n">
        <v>0.6902734634867078</v>
      </c>
      <c r="AK210" s="14" t="n"/>
      <c r="AL210" s="14" t="n"/>
      <c r="AM210" s="14" t="n"/>
      <c r="AN210" s="14" t="inlineStr">
        <is>
          <t>EVALUATED</t>
        </is>
      </c>
      <c r="AO210" s="14" t="inlineStr">
        <is>
          <t>RECEIVING_VALIDATED_EDGE;BUCKET_PRIOR_ONLY;INTENT_INTERPRETATION_ONLY;FFL_OPTIONAL;EXPERT_MARKET</t>
        </is>
      </c>
      <c r="AP210" s="14" t="inlineStr">
        <is>
          <t>fbac43682cca106c38b0</t>
        </is>
      </c>
      <c r="AQ210" s="14" t="n">
        <v>1.25</v>
      </c>
      <c r="AR210" s="14" t="n">
        <v>0.77</v>
      </c>
      <c r="AS210" s="14" t="n">
        <v>-1.25</v>
      </c>
      <c r="AT210" s="14" t="n">
        <v>1.25</v>
      </c>
      <c r="AU210" s="14" t="n">
        <v>0.93</v>
      </c>
      <c r="AV210" s="14" t="n">
        <v>0.77</v>
      </c>
      <c r="AW210" s="14" t="inlineStr">
        <is>
          <t>2026-10-04T09:58:08.993953+08:00</t>
        </is>
      </c>
      <c r="AX210" s="14" t="inlineStr">
        <is>
          <t>Titan007 Next</t>
        </is>
      </c>
      <c r="AY210" s="14" t="inlineStr">
        <is>
          <t>V4 Shadow Only；real_money=false；新增冻结记录</t>
        </is>
      </c>
    </row>
    <row r="211" ht="22" customHeight="1" s="39">
      <c r="A211" s="14" t="inlineStr">
        <is>
          <t>2026-10-04</t>
        </is>
      </c>
      <c r="B211" s="14" t="inlineStr">
        <is>
          <t>2026-10-04 19:00:00</t>
        </is>
      </c>
      <c r="C211" s="14" t="inlineStr">
        <is>
          <t>CLUB_LEAGUE</t>
        </is>
      </c>
      <c r="D211" s="14" t="inlineStr">
        <is>
          <t>联赛</t>
        </is>
      </c>
      <c r="E211" s="14" t="inlineStr">
        <is>
          <t>瑞典女甲</t>
        </is>
      </c>
      <c r="F211" s="14" t="inlineStr">
        <is>
          <t>哥德堡女足 vs 艾林格萨斯女足</t>
        </is>
      </c>
      <c r="G211" s="26" t="n">
        <v>0.75</v>
      </c>
      <c r="H211" s="26" t="n">
        <v>-1.25</v>
      </c>
      <c r="I211" s="26" t="n">
        <v>0.95</v>
      </c>
      <c r="J211" s="26" t="inlineStr">
        <is>
          <t>0.75/-1.25/0.95</t>
        </is>
      </c>
      <c r="K211" s="14" t="inlineStr">
        <is>
          <t>V4-B｜EV 0.24255855763478676</t>
        </is>
      </c>
      <c r="L211" s="14" t="inlineStr">
        <is>
          <t>哥德堡女足</t>
        </is>
      </c>
      <c r="M211" s="47" t="n">
        <v>0.647752134015131</v>
      </c>
      <c r="N211" s="14" t="inlineStr">
        <is>
          <t>V4纸面入选-B</t>
        </is>
      </c>
      <c r="O211" s="14" t="inlineStr">
        <is>
          <t>2-1</t>
        </is>
      </c>
      <c r="P211" s="14" t="inlineStr">
        <is>
          <t>已结算</t>
        </is>
      </c>
      <c r="Q211" s="14" t="inlineStr">
        <is>
          <t>半黑</t>
        </is>
      </c>
      <c r="R211" s="48" t="n">
        <v>0.75</v>
      </c>
      <c r="S211" s="48" t="n">
        <v>0.375</v>
      </c>
      <c r="T211" s="14" t="inlineStr">
        <is>
          <t>D:\codex\v3_legacy\outputs\football_odds_trader\raw\titan007\20261004\20261004_135431_titan007_odds_snapshot.csv</t>
        </is>
      </c>
      <c r="U211" s="14">
        <f>IF(Q211="","",IF(Q211="待结算","待结算",IF(Q211="红","黑",IF(Q211="半红","半黑",IF(Q211="走","走",IF(Q211="半黑","半红","红"))))))</f>
        <v/>
      </c>
      <c r="V211" s="48">
        <f>IF(OR(U211="",U211="待结算"),"",IF(L211=LEFT(F211,FIND(" vs ",F211)-1),I211,G211))</f>
        <v/>
      </c>
      <c r="W211" s="48">
        <f>IF(OR(U211="",U211="待结算"),"",IF(U211="红",V211,IF(U211="半红",V211*0.5,IF(U211="走",0,IF(U211="半黑",-0.5,-1)))))</f>
        <v/>
      </c>
      <c r="X211" s="14" t="inlineStr">
        <is>
          <t>2917136</t>
        </is>
      </c>
      <c r="Y211" s="14" t="inlineStr">
        <is>
          <t>V4</t>
        </is>
      </c>
      <c r="Z211" s="14" t="inlineStr">
        <is>
          <t>prior-2026-10-04-v1</t>
        </is>
      </c>
      <c r="AA211" s="14" t="inlineStr">
        <is>
          <t>B</t>
        </is>
      </c>
      <c r="AB211" s="14" t="n">
        <v>0.647752134015131</v>
      </c>
      <c r="AC211" s="14" t="n">
        <v>0</v>
      </c>
      <c r="AD211" s="14" t="n">
        <v>0</v>
      </c>
      <c r="AE211" s="14" t="n">
        <v>0.2179846462166152</v>
      </c>
      <c r="AF211" s="14" t="n">
        <v>0.1342632197682539</v>
      </c>
      <c r="AG211" s="14" t="n">
        <v>0.2425585576347868</v>
      </c>
      <c r="AH211" s="14" t="n"/>
      <c r="AI211" s="14" t="n"/>
      <c r="AJ211" s="14" t="n">
        <v>0.2425585576347868</v>
      </c>
      <c r="AK211" s="14" t="n"/>
      <c r="AL211" s="14" t="n"/>
      <c r="AM211" s="14" t="n"/>
      <c r="AN211" s="14" t="inlineStr">
        <is>
          <t>EVALUATED</t>
        </is>
      </c>
      <c r="AO211" s="14" t="inlineStr">
        <is>
          <t>GIVING_VALIDATED_EDGE;BUCKET_PRIOR_ONLY;INTENT_INTERPRETATION_ONLY;FFL_OPTIONAL;EXPERT_MARKET</t>
        </is>
      </c>
      <c r="AP211" s="14" t="inlineStr">
        <is>
          <t>e19028e3a780a868c9d7</t>
        </is>
      </c>
      <c r="AQ211" s="14" t="n">
        <v>-1.25</v>
      </c>
      <c r="AR211" s="14" t="n">
        <v>0.75</v>
      </c>
      <c r="AS211" s="14" t="n">
        <v>-1.25</v>
      </c>
      <c r="AT211" s="14" t="n">
        <v>1.25</v>
      </c>
      <c r="AU211" s="14" t="n">
        <v>0.75</v>
      </c>
      <c r="AV211" s="14" t="n">
        <v>0.95</v>
      </c>
      <c r="AW211" s="14" t="inlineStr">
        <is>
          <t>2026-10-04T09:58:08.993953+08:00</t>
        </is>
      </c>
      <c r="AX211" s="14" t="inlineStr">
        <is>
          <t>Titan007 Next</t>
        </is>
      </c>
      <c r="AY211" s="14" t="inlineStr">
        <is>
          <t>V4 Shadow Only；real_money=false；新增冻结记录</t>
        </is>
      </c>
    </row>
    <row r="212" ht="22" customHeight="1" s="39">
      <c r="A212" s="14" t="inlineStr">
        <is>
          <t>2026-10-04</t>
        </is>
      </c>
      <c r="B212" s="14" t="inlineStr">
        <is>
          <t>2026-10-04 19:00:00</t>
        </is>
      </c>
      <c r="C212" s="14" t="inlineStr">
        <is>
          <t>UNKNOWN</t>
        </is>
      </c>
      <c r="D212" s="14" t="inlineStr">
        <is>
          <t>联赛</t>
        </is>
      </c>
      <c r="E212" s="14" t="inlineStr">
        <is>
          <t>英女冠</t>
        </is>
      </c>
      <c r="F212" s="14" t="inlineStr">
        <is>
          <t>达勒姆女足 vs 纽卡斯尔联女足</t>
        </is>
      </c>
      <c r="G212" s="26" t="n">
        <v>0.84</v>
      </c>
      <c r="H212" s="26" t="n">
        <v>1.75</v>
      </c>
      <c r="I212" s="26" t="n">
        <v>0.86</v>
      </c>
      <c r="J212" s="26" t="inlineStr">
        <is>
          <t>0.84/1.75/0.86</t>
        </is>
      </c>
      <c r="K212" s="14" t="inlineStr">
        <is>
          <t>V4-C｜EV 0.8388750758180259</t>
        </is>
      </c>
      <c r="L212" s="14" t="inlineStr">
        <is>
          <t>达勒姆女足</t>
        </is>
      </c>
      <c r="M212" s="47" t="n">
        <v>0.9991748199752897</v>
      </c>
      <c r="N212" s="14" t="inlineStr">
        <is>
          <t>V4纸面入选-C</t>
        </is>
      </c>
      <c r="O212" s="14" t="inlineStr">
        <is>
          <t>0-3</t>
        </is>
      </c>
      <c r="P212" s="14" t="inlineStr">
        <is>
          <t>已结算</t>
        </is>
      </c>
      <c r="Q212" s="14" t="inlineStr">
        <is>
          <t>黑</t>
        </is>
      </c>
      <c r="R212" s="48" t="n">
        <v>0.84</v>
      </c>
      <c r="S212" s="48" t="n">
        <v>0.42</v>
      </c>
      <c r="T212" s="14" t="inlineStr">
        <is>
          <t>D:\codex\v3_legacy\outputs\football_odds_trader\raw\titan007\20261004\20261004_135431_titan007_odds_snapshot.csv</t>
        </is>
      </c>
      <c r="U212" s="14">
        <f>IF(Q212="","",IF(Q212="待结算","待结算",IF(Q212="红","黑",IF(Q212="半红","半黑",IF(Q212="走","走",IF(Q212="半黑","半红","红"))))))</f>
        <v/>
      </c>
      <c r="V212" s="48">
        <f>IF(OR(U212="",U212="待结算"),"",IF(L212=LEFT(F212,FIND(" vs ",F212)-1),I212,G212))</f>
        <v/>
      </c>
      <c r="W212" s="48">
        <f>IF(OR(U212="",U212="待结算"),"",IF(U212="红",V212,IF(U212="半红",V212*0.5,IF(U212="走",0,IF(U212="半黑",-0.5,-1)))))</f>
        <v/>
      </c>
      <c r="X212" s="14" t="inlineStr">
        <is>
          <t>3052153</t>
        </is>
      </c>
      <c r="Y212" s="14" t="inlineStr">
        <is>
          <t>V4</t>
        </is>
      </c>
      <c r="Z212" s="14" t="inlineStr">
        <is>
          <t>prior-2026-10-04-v1</t>
        </is>
      </c>
      <c r="AA212" s="14" t="inlineStr">
        <is>
          <t>C</t>
        </is>
      </c>
      <c r="AB212" s="14" t="n">
        <v>0.9991748199752897</v>
      </c>
      <c r="AC212" s="14" t="n">
        <v>0</v>
      </c>
      <c r="AD212" s="14" t="n">
        <v>0</v>
      </c>
      <c r="AE212" s="14" t="n">
        <v>0.0007868141269856734</v>
      </c>
      <c r="AF212" s="14" t="n">
        <v>3.8365897724599e-05</v>
      </c>
      <c r="AG212" s="14" t="n">
        <v>0.8388750758180259</v>
      </c>
      <c r="AH212" s="14" t="n"/>
      <c r="AI212" s="14" t="n"/>
      <c r="AJ212" s="14" t="n">
        <v>0.8388750758180259</v>
      </c>
      <c r="AK212" s="14" t="n"/>
      <c r="AL212" s="14" t="n"/>
      <c r="AM212" s="14" t="n"/>
      <c r="AN212" s="14" t="inlineStr">
        <is>
          <t>EVALUATED</t>
        </is>
      </c>
      <c r="AO212" s="14" t="inlineStr">
        <is>
          <t>RECEIVING_VALIDATED_EDGE;BUCKET_PRIOR_ONLY;INTENT_INTERPRETATION_ONLY;FFL_OPTIONAL;EXPERT_MARKET</t>
        </is>
      </c>
      <c r="AP212" s="14" t="inlineStr">
        <is>
          <t>314fd340b96d35f531e7</t>
        </is>
      </c>
      <c r="AQ212" s="14" t="n">
        <v>1.75</v>
      </c>
      <c r="AR212" s="14" t="n">
        <v>0.84</v>
      </c>
      <c r="AS212" s="14" t="n">
        <v>-1.75</v>
      </c>
      <c r="AT212" s="14" t="n">
        <v>1.75</v>
      </c>
      <c r="AU212" s="14" t="n">
        <v>0.86</v>
      </c>
      <c r="AV212" s="14" t="n">
        <v>0.84</v>
      </c>
      <c r="AW212" s="14" t="inlineStr">
        <is>
          <t>2026-10-04T09:58:08.993953+08:00</t>
        </is>
      </c>
      <c r="AX212" s="14" t="inlineStr">
        <is>
          <t>Titan007 Next</t>
        </is>
      </c>
      <c r="AY212" s="14" t="inlineStr">
        <is>
          <t>V4 Shadow Only；real_money=false；新增冻结记录</t>
        </is>
      </c>
    </row>
    <row r="213" ht="22" customHeight="1" s="39">
      <c r="A213" s="14" t="inlineStr">
        <is>
          <t>2026-10-04</t>
        </is>
      </c>
      <c r="B213" s="14" t="inlineStr">
        <is>
          <t>2026-10-04 19:00:00</t>
        </is>
      </c>
      <c r="C213" s="14" t="inlineStr">
        <is>
          <t>CLUB_LEAGUE</t>
        </is>
      </c>
      <c r="D213" s="14" t="inlineStr">
        <is>
          <t>联赛</t>
        </is>
      </c>
      <c r="E213" s="14" t="inlineStr">
        <is>
          <t>挪丙</t>
        </is>
      </c>
      <c r="F213" s="14" t="inlineStr">
        <is>
          <t>斯塔贝克B队 vs 侯格辛特B队</t>
        </is>
      </c>
      <c r="G213" s="26" t="n">
        <v>0.84</v>
      </c>
      <c r="H213" s="26" t="n">
        <v>1</v>
      </c>
      <c r="I213" s="26" t="n">
        <v>0.86</v>
      </c>
      <c r="J213" s="26" t="inlineStr">
        <is>
          <t>0.84/1.0/0.86</t>
        </is>
      </c>
      <c r="K213" s="14" t="inlineStr">
        <is>
          <t>V4-B｜EV 0.25349402351392053</t>
        </is>
      </c>
      <c r="L213" s="14" t="inlineStr">
        <is>
          <t>侯格辛特B队</t>
        </is>
      </c>
      <c r="M213" s="47" t="n">
        <v>0.5520637426975858</v>
      </c>
      <c r="N213" s="14" t="inlineStr">
        <is>
          <t>V4纸面入选-B</t>
        </is>
      </c>
      <c r="O213" s="14" t="inlineStr">
        <is>
          <t>4-1</t>
        </is>
      </c>
      <c r="P213" s="14" t="inlineStr">
        <is>
          <t>已结算</t>
        </is>
      </c>
      <c r="Q213" s="14" t="inlineStr">
        <is>
          <t>黑</t>
        </is>
      </c>
      <c r="R213" s="48" t="n">
        <v>0.86</v>
      </c>
      <c r="S213" s="48" t="n">
        <v>0.43</v>
      </c>
      <c r="T213" s="14" t="inlineStr">
        <is>
          <t>D:\codex\v3_legacy\outputs\football_odds_trader\raw\titan007\20261004\20261004_135431_titan007_odds_snapshot.csv</t>
        </is>
      </c>
      <c r="U213" s="14">
        <f>IF(Q213="","",IF(Q213="待结算","待结算",IF(Q213="红","黑",IF(Q213="半红","半黑",IF(Q213="走","走",IF(Q213="半黑","半红","红"))))))</f>
        <v/>
      </c>
      <c r="V213" s="48">
        <f>IF(OR(U213="",U213="待结算"),"",IF(L213=LEFT(F213,FIND(" vs ",F213)-1),I213,G213))</f>
        <v/>
      </c>
      <c r="W213" s="48">
        <f>IF(OR(U213="",U213="待结算"),"",IF(U213="红",V213,IF(U213="半红",V213*0.5,IF(U213="走",0,IF(U213="半黑",-0.5,-1)))))</f>
        <v/>
      </c>
      <c r="X213" s="14" t="inlineStr">
        <is>
          <t>2968086</t>
        </is>
      </c>
      <c r="Y213" s="14" t="inlineStr">
        <is>
          <t>V4</t>
        </is>
      </c>
      <c r="Z213" s="14" t="inlineStr">
        <is>
          <t>prior-2026-10-04-v1</t>
        </is>
      </c>
      <c r="AA213" s="14" t="inlineStr">
        <is>
          <t>B</t>
        </is>
      </c>
      <c r="AB213" s="14" t="n">
        <v>0.5520637426975858</v>
      </c>
      <c r="AC213" s="14" t="n">
        <v>0</v>
      </c>
      <c r="AD213" s="14" t="n">
        <v>0.2266554620964108</v>
      </c>
      <c r="AE213" s="14" t="n">
        <v>0</v>
      </c>
      <c r="AF213" s="14" t="n">
        <v>0.2212807952060033</v>
      </c>
      <c r="AG213" s="14" t="n">
        <v>0.2534940235139205</v>
      </c>
      <c r="AH213" s="14" t="n"/>
      <c r="AI213" s="14" t="n"/>
      <c r="AJ213" s="14" t="n">
        <v>0.2534940235139205</v>
      </c>
      <c r="AK213" s="14" t="n"/>
      <c r="AL213" s="14" t="n"/>
      <c r="AM213" s="14" t="n"/>
      <c r="AN213" s="14" t="inlineStr">
        <is>
          <t>EVALUATED</t>
        </is>
      </c>
      <c r="AO213" s="14" t="inlineStr">
        <is>
          <t>RECEIVING_VALIDATED_EDGE;BUCKET_PRIOR_ONLY;INTENT_INTERPRETATION_ONLY;FFL_OPTIONAL;EXPERT_MARKET</t>
        </is>
      </c>
      <c r="AP213" s="14" t="inlineStr">
        <is>
          <t>b9b6052b6c6a112d1d41</t>
        </is>
      </c>
      <c r="AQ213" s="14" t="n">
        <v>1</v>
      </c>
      <c r="AR213" s="14" t="n">
        <v>0.86</v>
      </c>
      <c r="AS213" s="14" t="n">
        <v>-1</v>
      </c>
      <c r="AT213" s="14" t="n">
        <v>1</v>
      </c>
      <c r="AU213" s="14" t="n">
        <v>0.84</v>
      </c>
      <c r="AV213" s="14" t="n">
        <v>0.86</v>
      </c>
      <c r="AW213" s="14" t="inlineStr">
        <is>
          <t>2026-10-04T09:58:08.993953+08:00</t>
        </is>
      </c>
      <c r="AX213" s="14" t="inlineStr">
        <is>
          <t>Titan007 Next</t>
        </is>
      </c>
      <c r="AY213" s="14" t="inlineStr">
        <is>
          <t>V4 Shadow Only；real_money=false；新增冻结记录</t>
        </is>
      </c>
    </row>
    <row r="214" ht="22" customHeight="1" s="39">
      <c r="A214" s="14" t="inlineStr">
        <is>
          <t>2026-10-04</t>
        </is>
      </c>
      <c r="B214" s="14" t="inlineStr">
        <is>
          <t>2026-10-04 19:45:00</t>
        </is>
      </c>
      <c r="C214" s="14" t="inlineStr">
        <is>
          <t>CLUB_LEAGUE</t>
        </is>
      </c>
      <c r="D214" s="14" t="inlineStr">
        <is>
          <t>联赛</t>
        </is>
      </c>
      <c r="E214" s="14" t="inlineStr">
        <is>
          <t>希腊甲</t>
        </is>
      </c>
      <c r="F214" s="14" t="inlineStr">
        <is>
          <t>皮尔戈斯 vs 帕尼奥尼奥斯</t>
        </is>
      </c>
      <c r="G214" s="26" t="n">
        <v>0.93</v>
      </c>
      <c r="H214" s="26" t="n">
        <v>1</v>
      </c>
      <c r="I214" s="26" t="n">
        <v>0.77</v>
      </c>
      <c r="J214" s="26" t="inlineStr">
        <is>
          <t>0.93/1.0/0.77</t>
        </is>
      </c>
      <c r="K214" s="14" t="inlineStr">
        <is>
          <t>V4-B｜EV 0.8840534194559931</t>
        </is>
      </c>
      <c r="L214" s="14" t="inlineStr">
        <is>
          <t>皮尔戈斯</t>
        </is>
      </c>
      <c r="M214" s="47" t="n">
        <v>0.957365490218716</v>
      </c>
      <c r="N214" s="14" t="inlineStr">
        <is>
          <t>V4纸面入选-B</t>
        </is>
      </c>
      <c r="O214" s="14" t="inlineStr">
        <is>
          <t>2-0</t>
        </is>
      </c>
      <c r="P214" s="14" t="inlineStr">
        <is>
          <t>已结算</t>
        </is>
      </c>
      <c r="Q214" s="14" t="inlineStr">
        <is>
          <t>红</t>
        </is>
      </c>
      <c r="R214" s="48" t="n">
        <v>0.93</v>
      </c>
      <c r="S214" s="48" t="n">
        <v>0.465</v>
      </c>
      <c r="T214" s="14" t="inlineStr">
        <is>
          <t>D:\codex\v3_legacy\outputs\football_odds_trader\raw\titan007\20261004\20261004_135431_titan007_odds_snapshot.csv</t>
        </is>
      </c>
      <c r="U214" s="14">
        <f>IF(Q214="","",IF(Q214="待结算","待结算",IF(Q214="红","黑",IF(Q214="半红","半黑",IF(Q214="走","走",IF(Q214="半黑","半红","红"))))))</f>
        <v/>
      </c>
      <c r="V214" s="48">
        <f>IF(OR(U214="",U214="待结算"),"",IF(L214=LEFT(F214,FIND(" vs ",F214)-1),I214,G214))</f>
        <v/>
      </c>
      <c r="W214" s="48">
        <f>IF(OR(U214="",U214="待结算"),"",IF(U214="红",V214,IF(U214="半红",V214*0.5,IF(U214="走",0,IF(U214="半黑",-0.5,-1)))))</f>
        <v/>
      </c>
      <c r="X214" s="14" t="inlineStr">
        <is>
          <t>3077268</t>
        </is>
      </c>
      <c r="Y214" s="14" t="inlineStr">
        <is>
          <t>V4</t>
        </is>
      </c>
      <c r="Z214" s="14" t="inlineStr">
        <is>
          <t>prior-2026-10-04-v1</t>
        </is>
      </c>
      <c r="AA214" s="14" t="inlineStr">
        <is>
          <t>B</t>
        </is>
      </c>
      <c r="AB214" s="14" t="n">
        <v>0.957365490218716</v>
      </c>
      <c r="AC214" s="14" t="n">
        <v>0</v>
      </c>
      <c r="AD214" s="14" t="n">
        <v>0.0363380233338712</v>
      </c>
      <c r="AE214" s="14" t="n">
        <v>0</v>
      </c>
      <c r="AF214" s="14" t="n">
        <v>0.006296486447412802</v>
      </c>
      <c r="AG214" s="14" t="n">
        <v>0.8840534194559931</v>
      </c>
      <c r="AH214" s="14" t="n"/>
      <c r="AI214" s="14" t="n"/>
      <c r="AJ214" s="14" t="n">
        <v>0.8840534194559931</v>
      </c>
      <c r="AK214" s="14" t="n"/>
      <c r="AL214" s="14" t="n"/>
      <c r="AM214" s="14" t="n"/>
      <c r="AN214" s="14" t="inlineStr">
        <is>
          <t>EVALUATED</t>
        </is>
      </c>
      <c r="AO214" s="14" t="inlineStr">
        <is>
          <t>RECEIVING_VALIDATED_EDGE;BUCKET_PRIOR_ONLY;INTENT_INTERPRETATION_ONLY;FFL_OPTIONAL;EXPERT_MARKET</t>
        </is>
      </c>
      <c r="AP214" s="14" t="inlineStr">
        <is>
          <t>087f8587eca5927d3676</t>
        </is>
      </c>
      <c r="AQ214" s="14" t="n">
        <v>1</v>
      </c>
      <c r="AR214" s="14" t="n">
        <v>0.93</v>
      </c>
      <c r="AS214" s="14" t="n">
        <v>-1</v>
      </c>
      <c r="AT214" s="14" t="n">
        <v>1</v>
      </c>
      <c r="AU214" s="14" t="n">
        <v>0.77</v>
      </c>
      <c r="AV214" s="14" t="n">
        <v>0.93</v>
      </c>
      <c r="AW214" s="14" t="inlineStr">
        <is>
          <t>2026-10-04T09:58:08.993953+08:00</t>
        </is>
      </c>
      <c r="AX214" s="14" t="inlineStr">
        <is>
          <t>Titan007 Next</t>
        </is>
      </c>
      <c r="AY214" s="14" t="inlineStr">
        <is>
          <t>V4 Shadow Only；real_money=false；新增冻结记录</t>
        </is>
      </c>
    </row>
    <row r="215" ht="22" customHeight="1" s="39">
      <c r="A215" s="14" t="inlineStr">
        <is>
          <t>2026-10-04</t>
        </is>
      </c>
      <c r="B215" s="14" t="inlineStr">
        <is>
          <t>2026-10-04 20:00:00</t>
        </is>
      </c>
      <c r="C215" s="14" t="inlineStr">
        <is>
          <t>UNKNOWN</t>
        </is>
      </c>
      <c r="D215" s="14" t="inlineStr">
        <is>
          <t>联赛</t>
        </is>
      </c>
      <c r="E215" s="14" t="inlineStr">
        <is>
          <t>德地区北</t>
        </is>
      </c>
      <c r="F215" s="14" t="inlineStr">
        <is>
          <t>HSC汉诺威 vs 舒宁根</t>
        </is>
      </c>
      <c r="G215" s="26" t="n">
        <v>0.8100000000000001</v>
      </c>
      <c r="H215" s="26" t="n">
        <v>0.75</v>
      </c>
      <c r="I215" s="26" t="n">
        <v>0.95</v>
      </c>
      <c r="J215" s="26" t="inlineStr">
        <is>
          <t>0.81/0.75/0.95</t>
        </is>
      </c>
      <c r="K215" s="14" t="inlineStr">
        <is>
          <t>V4-C｜EV 0.5324481110912922</t>
        </is>
      </c>
      <c r="L215" s="14" t="inlineStr">
        <is>
          <t>HSC汉诺威</t>
        </is>
      </c>
      <c r="M215" s="47" t="n">
        <v>0.8115007821124779</v>
      </c>
      <c r="N215" s="14" t="inlineStr">
        <is>
          <t>V4纸面入选-C</t>
        </is>
      </c>
      <c r="O215" s="14" t="inlineStr">
        <is>
          <t>2-0</t>
        </is>
      </c>
      <c r="P215" s="14" t="inlineStr">
        <is>
          <t>已结算</t>
        </is>
      </c>
      <c r="Q215" s="14" t="inlineStr">
        <is>
          <t>红</t>
        </is>
      </c>
      <c r="R215" s="48" t="n">
        <v>0.8100000000000001</v>
      </c>
      <c r="S215" s="48" t="n">
        <v>0.405</v>
      </c>
      <c r="T215" s="14" t="inlineStr">
        <is>
          <t>D:\codex\v3_legacy\outputs\football_odds_trader\raw\titan007\20261004\20261004_135431_titan007_odds_snapshot.csv</t>
        </is>
      </c>
      <c r="U215" s="14">
        <f>IF(Q215="","",IF(Q215="待结算","待结算",IF(Q215="红","黑",IF(Q215="半红","半黑",IF(Q215="走","走",IF(Q215="半黑","半红","红"))))))</f>
        <v/>
      </c>
      <c r="V215" s="48">
        <f>IF(OR(U215="",U215="待结算"),"",IF(L215=LEFT(F215,FIND(" vs ",F215)-1),I215,G215))</f>
        <v/>
      </c>
      <c r="W215" s="48">
        <f>IF(OR(U215="",U215="待结算"),"",IF(U215="红",V215,IF(U215="半红",V215*0.5,IF(U215="走",0,IF(U215="半黑",-0.5,-1)))))</f>
        <v/>
      </c>
      <c r="X215" s="14" t="inlineStr">
        <is>
          <t>3043402</t>
        </is>
      </c>
      <c r="Y215" s="14" t="inlineStr">
        <is>
          <t>V4</t>
        </is>
      </c>
      <c r="Z215" s="14" t="inlineStr">
        <is>
          <t>prior-2026-10-04-v1</t>
        </is>
      </c>
      <c r="AA215" s="14" t="inlineStr">
        <is>
          <t>C</t>
        </is>
      </c>
      <c r="AB215" s="14" t="n">
        <v>0.8115007821124779</v>
      </c>
      <c r="AC215" s="14" t="n">
        <v>0</v>
      </c>
      <c r="AD215" s="14" t="n">
        <v>0</v>
      </c>
      <c r="AE215" s="14" t="n">
        <v>0.1272633909354144</v>
      </c>
      <c r="AF215" s="14" t="n">
        <v>0.06123582695210768</v>
      </c>
      <c r="AG215" s="14" t="n">
        <v>0.5324481110912922</v>
      </c>
      <c r="AH215" s="14" t="n"/>
      <c r="AI215" s="14" t="n"/>
      <c r="AJ215" s="14" t="n">
        <v>0.5324481110912922</v>
      </c>
      <c r="AK215" s="14" t="n"/>
      <c r="AL215" s="14" t="n"/>
      <c r="AM215" s="14" t="n"/>
      <c r="AN215" s="14" t="inlineStr">
        <is>
          <t>EVALUATED</t>
        </is>
      </c>
      <c r="AO215" s="14" t="inlineStr">
        <is>
          <t>RECEIVING_VALIDATED_EDGE;BUCKET_PRIOR_ONLY;INTENT_INTERPRETATION_ONLY;FFL_OPTIONAL;EXPERT_MARKET</t>
        </is>
      </c>
      <c r="AP215" s="14" t="inlineStr">
        <is>
          <t>ffa1f7593e8181ccff9a</t>
        </is>
      </c>
      <c r="AQ215" s="14" t="n">
        <v>0.75</v>
      </c>
      <c r="AR215" s="14" t="n">
        <v>0.8100000000000001</v>
      </c>
      <c r="AS215" s="14" t="n">
        <v>-0.75</v>
      </c>
      <c r="AT215" s="14" t="n">
        <v>0.75</v>
      </c>
      <c r="AU215" s="14" t="n">
        <v>0.95</v>
      </c>
      <c r="AV215" s="14" t="n">
        <v>0.8100000000000001</v>
      </c>
      <c r="AW215" s="14" t="inlineStr">
        <is>
          <t>2026-10-04T09:58:08.993953+08:00</t>
        </is>
      </c>
      <c r="AX215" s="14" t="inlineStr">
        <is>
          <t>Titan007 Next</t>
        </is>
      </c>
      <c r="AY215" s="14" t="inlineStr">
        <is>
          <t>V4 Shadow Only；real_money=false；新增冻结记录</t>
        </is>
      </c>
    </row>
    <row r="216" ht="22" customHeight="1" s="39">
      <c r="A216" s="14" t="inlineStr">
        <is>
          <t>2026-10-04</t>
        </is>
      </c>
      <c r="B216" s="14" t="inlineStr">
        <is>
          <t>2026-10-04 20:00:00</t>
        </is>
      </c>
      <c r="C216" s="14" t="inlineStr">
        <is>
          <t>CLUB_LEAGUE</t>
        </is>
      </c>
      <c r="D216" s="14" t="inlineStr">
        <is>
          <t>联赛</t>
        </is>
      </c>
      <c r="E216" s="14" t="inlineStr">
        <is>
          <t>挪乙</t>
        </is>
      </c>
      <c r="F216" s="14" t="inlineStr">
        <is>
          <t>特罗姆斯达伦 vs 利云格尔</t>
        </is>
      </c>
      <c r="G216" s="26" t="n">
        <v>0.82</v>
      </c>
      <c r="H216" s="26" t="n">
        <v>0.75</v>
      </c>
      <c r="I216" s="26" t="n">
        <v>0.88</v>
      </c>
      <c r="J216" s="26" t="inlineStr">
        <is>
          <t>0.82/0.75/0.88</t>
        </is>
      </c>
      <c r="K216" s="14" t="inlineStr">
        <is>
          <t>V4-B｜EV 0.46681023278629724</t>
        </is>
      </c>
      <c r="L216" s="14" t="inlineStr">
        <is>
          <t>特罗姆斯达伦</t>
        </is>
      </c>
      <c r="M216" s="47" t="n">
        <v>0.7646550109509417</v>
      </c>
      <c r="N216" s="14" t="inlineStr">
        <is>
          <t>V4纸面入选-B</t>
        </is>
      </c>
      <c r="O216" s="14" t="inlineStr">
        <is>
          <t>4-2</t>
        </is>
      </c>
      <c r="P216" s="14" t="inlineStr">
        <is>
          <t>已结算</t>
        </is>
      </c>
      <c r="Q216" s="14" t="inlineStr">
        <is>
          <t>红</t>
        </is>
      </c>
      <c r="R216" s="48" t="n">
        <v>0.82</v>
      </c>
      <c r="S216" s="48" t="n">
        <v>0.41</v>
      </c>
      <c r="T216" s="14" t="inlineStr">
        <is>
          <t>D:\codex\v3_legacy\outputs\football_odds_trader\raw\titan007\20261004\20261004_135431_titan007_odds_snapshot.csv</t>
        </is>
      </c>
      <c r="U216" s="14">
        <f>IF(Q216="","",IF(Q216="待结算","待结算",IF(Q216="红","黑",IF(Q216="半红","半黑",IF(Q216="走","走",IF(Q216="半黑","半红","红"))))))</f>
        <v/>
      </c>
      <c r="V216" s="48">
        <f>IF(OR(U216="",U216="待结算"),"",IF(L216=LEFT(F216,FIND(" vs ",F216)-1),I216,G216))</f>
        <v/>
      </c>
      <c r="W216" s="48">
        <f>IF(OR(U216="",U216="待结算"),"",IF(U216="红",V216,IF(U216="半红",V216*0.5,IF(U216="走",0,IF(U216="半黑",-0.5,-1)))))</f>
        <v/>
      </c>
      <c r="X216" s="14" t="inlineStr">
        <is>
          <t>2913543</t>
        </is>
      </c>
      <c r="Y216" s="14" t="inlineStr">
        <is>
          <t>V4</t>
        </is>
      </c>
      <c r="Z216" s="14" t="inlineStr">
        <is>
          <t>prior-2026-10-04-v1</t>
        </is>
      </c>
      <c r="AA216" s="14" t="inlineStr">
        <is>
          <t>B</t>
        </is>
      </c>
      <c r="AB216" s="14" t="n">
        <v>0.7646550109509417</v>
      </c>
      <c r="AC216" s="14" t="n">
        <v>0</v>
      </c>
      <c r="AD216" s="14" t="n">
        <v>0</v>
      </c>
      <c r="AE216" s="14" t="n">
        <v>0.1502762257111668</v>
      </c>
      <c r="AF216" s="14" t="n">
        <v>0.08506876333789154</v>
      </c>
      <c r="AG216" s="14" t="n">
        <v>0.4668102327862972</v>
      </c>
      <c r="AH216" s="14" t="n"/>
      <c r="AI216" s="14" t="n"/>
      <c r="AJ216" s="14" t="n">
        <v>0.4668102327862972</v>
      </c>
      <c r="AK216" s="14" t="n"/>
      <c r="AL216" s="14" t="n"/>
      <c r="AM216" s="14" t="n"/>
      <c r="AN216" s="14" t="inlineStr">
        <is>
          <t>EVALUATED</t>
        </is>
      </c>
      <c r="AO216" s="14" t="inlineStr">
        <is>
          <t>RECEIVING_VALIDATED_EDGE;BUCKET_PRIOR_ONLY;INTENT_INTERPRETATION_ONLY;FFL_OPTIONAL;EXPERT_MARKET</t>
        </is>
      </c>
      <c r="AP216" s="14" t="inlineStr">
        <is>
          <t>a91af157209fc3e373d3</t>
        </is>
      </c>
      <c r="AQ216" s="14" t="n">
        <v>0.75</v>
      </c>
      <c r="AR216" s="14" t="n">
        <v>0.82</v>
      </c>
      <c r="AS216" s="14" t="n">
        <v>-0.75</v>
      </c>
      <c r="AT216" s="14" t="n">
        <v>0.75</v>
      </c>
      <c r="AU216" s="14" t="n">
        <v>0.88</v>
      </c>
      <c r="AV216" s="14" t="n">
        <v>0.82</v>
      </c>
      <c r="AW216" s="14" t="inlineStr">
        <is>
          <t>2026-10-04T09:58:08.993953+08:00</t>
        </is>
      </c>
      <c r="AX216" s="14" t="inlineStr">
        <is>
          <t>Titan007 Next</t>
        </is>
      </c>
      <c r="AY216" s="14" t="inlineStr">
        <is>
          <t>V4 Shadow Only；real_money=false；新增冻结记录</t>
        </is>
      </c>
    </row>
    <row r="217" ht="22" customHeight="1" s="39">
      <c r="A217" s="14" t="inlineStr">
        <is>
          <t>2026-10-04</t>
        </is>
      </c>
      <c r="B217" s="14" t="inlineStr">
        <is>
          <t>2026-10-04 20:00:00</t>
        </is>
      </c>
      <c r="C217" s="14" t="inlineStr">
        <is>
          <t>CLUB_LEAGUE</t>
        </is>
      </c>
      <c r="D217" s="14" t="inlineStr">
        <is>
          <t>联赛</t>
        </is>
      </c>
      <c r="E217" s="14" t="inlineStr">
        <is>
          <t>丹麦乙</t>
        </is>
      </c>
      <c r="F217" s="14" t="inlineStr">
        <is>
          <t>齐斯泰兹 vs 罗斯基德</t>
        </is>
      </c>
      <c r="G217" s="26" t="n">
        <v>1</v>
      </c>
      <c r="H217" s="26" t="n">
        <v>0.5</v>
      </c>
      <c r="I217" s="26" t="n">
        <v>0.7</v>
      </c>
      <c r="J217" s="26" t="inlineStr">
        <is>
          <t>1.0/0.5/0.7</t>
        </is>
      </c>
      <c r="K217" s="14" t="inlineStr">
        <is>
          <t>V4-B｜EV 0.6225649005441726</t>
        </is>
      </c>
      <c r="L217" s="14" t="inlineStr">
        <is>
          <t>齐斯泰兹</t>
        </is>
      </c>
      <c r="M217" s="47" t="n">
        <v>0.8112824502720863</v>
      </c>
      <c r="N217" s="14" t="inlineStr">
        <is>
          <t>V4纸面入选-B</t>
        </is>
      </c>
      <c r="O217" s="14" t="inlineStr">
        <is>
          <t>0-2</t>
        </is>
      </c>
      <c r="P217" s="14" t="inlineStr">
        <is>
          <t>已结算</t>
        </is>
      </c>
      <c r="Q217" s="14" t="inlineStr">
        <is>
          <t>黑</t>
        </is>
      </c>
      <c r="R217" s="48" t="n">
        <v>1</v>
      </c>
      <c r="S217" s="48" t="n">
        <v>0.5</v>
      </c>
      <c r="T217" s="14" t="inlineStr">
        <is>
          <t>D:\codex\v3_legacy\outputs\football_odds_trader\raw\titan007\20261004\20261004_135431_titan007_odds_snapshot.csv</t>
        </is>
      </c>
      <c r="U217" s="14">
        <f>IF(Q217="","",IF(Q217="待结算","待结算",IF(Q217="红","黑",IF(Q217="半红","半黑",IF(Q217="走","走",IF(Q217="半黑","半红","红"))))))</f>
        <v/>
      </c>
      <c r="V217" s="48">
        <f>IF(OR(U217="",U217="待结算"),"",IF(L217=LEFT(F217,FIND(" vs ",F217)-1),I217,G217))</f>
        <v/>
      </c>
      <c r="W217" s="48">
        <f>IF(OR(U217="",U217="待结算"),"",IF(U217="红",V217,IF(U217="半红",V217*0.5,IF(U217="走",0,IF(U217="半黑",-0.5,-1)))))</f>
        <v/>
      </c>
      <c r="X217" s="14" t="inlineStr">
        <is>
          <t>3020905</t>
        </is>
      </c>
      <c r="Y217" s="14" t="inlineStr">
        <is>
          <t>V4</t>
        </is>
      </c>
      <c r="Z217" s="14" t="inlineStr">
        <is>
          <t>prior-2026-10-04-v1</t>
        </is>
      </c>
      <c r="AA217" s="14" t="inlineStr">
        <is>
          <t>B</t>
        </is>
      </c>
      <c r="AB217" s="14" t="n">
        <v>0.8112824502720863</v>
      </c>
      <c r="AC217" s="14" t="n">
        <v>0</v>
      </c>
      <c r="AD217" s="14" t="n">
        <v>0</v>
      </c>
      <c r="AE217" s="14" t="n">
        <v>0</v>
      </c>
      <c r="AF217" s="14" t="n">
        <v>0.1887175497279137</v>
      </c>
      <c r="AG217" s="14" t="n">
        <v>0.6225649005441726</v>
      </c>
      <c r="AH217" s="14" t="n"/>
      <c r="AI217" s="14" t="n"/>
      <c r="AJ217" s="14" t="n">
        <v>0.6225649005441726</v>
      </c>
      <c r="AK217" s="14" t="n"/>
      <c r="AL217" s="14" t="n"/>
      <c r="AM217" s="14" t="n"/>
      <c r="AN217" s="14" t="inlineStr">
        <is>
          <t>EVALUATED</t>
        </is>
      </c>
      <c r="AO217" s="14" t="inlineStr">
        <is>
          <t>RECEIVING_VALIDATED_EDGE;BUCKET_PRIOR_ONLY;INTENT_INTERPRETATION_ONLY;FFL_OPTIONAL;EXPERT_MARKET</t>
        </is>
      </c>
      <c r="AP217" s="14" t="inlineStr">
        <is>
          <t>947f8107b943f7764134</t>
        </is>
      </c>
      <c r="AQ217" s="14" t="n">
        <v>0.5</v>
      </c>
      <c r="AR217" s="14" t="n">
        <v>1</v>
      </c>
      <c r="AS217" s="14" t="n">
        <v>-0.5</v>
      </c>
      <c r="AT217" s="14" t="n">
        <v>0.5</v>
      </c>
      <c r="AU217" s="14" t="n">
        <v>0.7</v>
      </c>
      <c r="AV217" s="14" t="n">
        <v>1</v>
      </c>
      <c r="AW217" s="14" t="inlineStr">
        <is>
          <t>2026-10-04T09:58:08.993953+08:00</t>
        </is>
      </c>
      <c r="AX217" s="14" t="inlineStr">
        <is>
          <t>Titan007 Next</t>
        </is>
      </c>
      <c r="AY217" s="14" t="inlineStr">
        <is>
          <t>V4 Shadow Only；real_money=false；新增冻结记录</t>
        </is>
      </c>
    </row>
    <row r="218" ht="22" customHeight="1" s="39">
      <c r="A218" s="14" t="inlineStr">
        <is>
          <t>2026-10-04</t>
        </is>
      </c>
      <c r="B218" s="14" t="inlineStr">
        <is>
          <t>2026-10-04 20:00:00</t>
        </is>
      </c>
      <c r="C218" s="14" t="inlineStr">
        <is>
          <t>CLUB_LEAGUE</t>
        </is>
      </c>
      <c r="D218" s="14" t="inlineStr">
        <is>
          <t>联赛</t>
        </is>
      </c>
      <c r="E218" s="14" t="inlineStr">
        <is>
          <t>瑞典女超</t>
        </is>
      </c>
      <c r="F218" s="14" t="inlineStr">
        <is>
          <t>佐加顿斯女足 vs AIK索尔纳女足</t>
        </is>
      </c>
      <c r="G218" s="26" t="n">
        <v>0.95</v>
      </c>
      <c r="H218" s="26" t="n">
        <v>0.25</v>
      </c>
      <c r="I218" s="26" t="n">
        <v>0.75</v>
      </c>
      <c r="J218" s="26" t="inlineStr">
        <is>
          <t>0.95/0.25/0.75</t>
        </is>
      </c>
      <c r="K218" s="14" t="inlineStr">
        <is>
          <t>V4-B｜EV 0.26911347385615547</t>
        </is>
      </c>
      <c r="L218" s="14" t="inlineStr">
        <is>
          <t>佐加顿斯女足</t>
        </is>
      </c>
      <c r="M218" s="47" t="n">
        <v>0.5844844142951198</v>
      </c>
      <c r="N218" s="14" t="inlineStr">
        <is>
          <t>V4纸面入选-B</t>
        </is>
      </c>
      <c r="O218" s="14" t="inlineStr">
        <is>
          <t>2-1</t>
        </is>
      </c>
      <c r="P218" s="14" t="inlineStr">
        <is>
          <t>已结算</t>
        </is>
      </c>
      <c r="Q218" s="14" t="inlineStr">
        <is>
          <t>红</t>
        </is>
      </c>
      <c r="R218" s="48" t="n">
        <v>0.95</v>
      </c>
      <c r="S218" s="48" t="n">
        <v>0</v>
      </c>
      <c r="T218" s="14" t="inlineStr">
        <is>
          <t>D:\codex\v3_legacy\outputs\football_odds_trader\raw\titan007\20261004\20261004_135431_titan007_odds_snapshot.csv</t>
        </is>
      </c>
      <c r="U218" s="14">
        <f>IF(Q218="","",IF(Q218="待结算","待结算",IF(Q218="红","黑",IF(Q218="半红","半黑",IF(Q218="走","走",IF(Q218="半黑","半红","红"))))))</f>
        <v/>
      </c>
      <c r="V218" s="48">
        <f>IF(OR(U218="",U218="待结算"),"",IF(L218=LEFT(F218,FIND(" vs ",F218)-1),I218,G218))</f>
        <v/>
      </c>
      <c r="W218" s="48">
        <f>IF(OR(U218="",U218="待结算"),"",IF(U218="红",V218,IF(U218="半红",V218*0.5,IF(U218="走",0,IF(U218="半黑",-0.5,-1)))))</f>
        <v/>
      </c>
      <c r="X218" s="14" t="inlineStr">
        <is>
          <t>2911385</t>
        </is>
      </c>
      <c r="Y218" s="14" t="inlineStr">
        <is>
          <t>V4</t>
        </is>
      </c>
      <c r="Z218" s="14" t="inlineStr">
        <is>
          <t>prior-2026-10-04-v1</t>
        </is>
      </c>
      <c r="AA218" s="14" t="inlineStr">
        <is>
          <t>B</t>
        </is>
      </c>
      <c r="AB218" s="14" t="n">
        <v>0.4551155483144477</v>
      </c>
      <c r="AC218" s="14" t="n">
        <v>0.2587377319613441</v>
      </c>
      <c r="AD218" s="14" t="n">
        <v>0</v>
      </c>
      <c r="AE218" s="14" t="n">
        <v>0</v>
      </c>
      <c r="AF218" s="14" t="n">
        <v>0.2861467197242082</v>
      </c>
      <c r="AG218" s="14" t="n">
        <v>0.2691134738561555</v>
      </c>
      <c r="AH218" s="14" t="n"/>
      <c r="AI218" s="14" t="n"/>
      <c r="AJ218" s="14" t="n">
        <v>0.2691134738561555</v>
      </c>
      <c r="AK218" s="14" t="n"/>
      <c r="AL218" s="14" t="n"/>
      <c r="AM218" s="14" t="n"/>
      <c r="AN218" s="14" t="inlineStr">
        <is>
          <t>EVALUATED</t>
        </is>
      </c>
      <c r="AO218" s="14" t="inlineStr">
        <is>
          <t>RECEIVING_VALIDATED_EDGE;BUCKET_PRIOR_ONLY;INTENT_INTERPRETATION_ONLY;FFL_OPTIONAL;EXPERT_MARKET</t>
        </is>
      </c>
      <c r="AP218" s="14" t="inlineStr">
        <is>
          <t>3bc76b89d65facf9303f</t>
        </is>
      </c>
      <c r="AQ218" s="14" t="n">
        <v>0.25</v>
      </c>
      <c r="AR218" s="14" t="n">
        <v>0.95</v>
      </c>
      <c r="AS218" s="14" t="n">
        <v>-0.25</v>
      </c>
      <c r="AT218" s="14" t="n">
        <v>0.25</v>
      </c>
      <c r="AU218" s="14" t="n">
        <v>0.75</v>
      </c>
      <c r="AV218" s="14" t="n">
        <v>0.95</v>
      </c>
      <c r="AW218" s="14" t="inlineStr">
        <is>
          <t>2026-10-04T09:58:08.993953+08:00</t>
        </is>
      </c>
      <c r="AX218" s="14" t="inlineStr">
        <is>
          <t>Titan007 Next</t>
        </is>
      </c>
      <c r="AY218" s="14" t="inlineStr">
        <is>
          <t>V4 Shadow Only；real_money=false；新增冻结记录</t>
        </is>
      </c>
    </row>
    <row r="219" ht="22" customHeight="1" s="39">
      <c r="A219" s="14" t="inlineStr">
        <is>
          <t>2026-10-04</t>
        </is>
      </c>
      <c r="B219" s="14" t="inlineStr">
        <is>
          <t>2026-10-04 20:00:00</t>
        </is>
      </c>
      <c r="C219" s="14" t="inlineStr">
        <is>
          <t>CLUB_LEAGUE</t>
        </is>
      </c>
      <c r="D219" s="14" t="inlineStr">
        <is>
          <t>联赛</t>
        </is>
      </c>
      <c r="E219" s="14" t="inlineStr">
        <is>
          <t>丹女超</t>
        </is>
      </c>
      <c r="F219" s="14" t="inlineStr">
        <is>
          <t>北西兰女足 vs 靴尔科治女足</t>
        </is>
      </c>
      <c r="G219" s="26" t="n">
        <v>0.82</v>
      </c>
      <c r="H219" s="26" t="n">
        <v>0.25</v>
      </c>
      <c r="I219" s="26" t="n">
        <v>0.88</v>
      </c>
      <c r="J219" s="26" t="inlineStr">
        <is>
          <t>0.82/0.25/0.88</t>
        </is>
      </c>
      <c r="K219" s="14" t="inlineStr">
        <is>
          <t>V4-B｜EV 0.13687483251929128</t>
        </is>
      </c>
      <c r="L219" s="14" t="inlineStr">
        <is>
          <t>北西兰女足</t>
        </is>
      </c>
      <c r="M219" s="47" t="n">
        <v>0.5531595239261146</v>
      </c>
      <c r="N219" s="14" t="inlineStr">
        <is>
          <t>V4纸面入选-B</t>
        </is>
      </c>
      <c r="O219" s="14" t="inlineStr">
        <is>
          <t>2-2</t>
        </is>
      </c>
      <c r="P219" s="14" t="inlineStr">
        <is>
          <t>已结算</t>
        </is>
      </c>
      <c r="Q219" s="14" t="inlineStr">
        <is>
          <t>半红</t>
        </is>
      </c>
      <c r="R219" s="48" t="n">
        <v>0.82</v>
      </c>
      <c r="S219" s="48" t="n">
        <v>0</v>
      </c>
      <c r="T219" s="14" t="inlineStr">
        <is>
          <t>D:\codex\v3_legacy\outputs\football_odds_trader\raw\titan007\20261004\20261004_135431_titan007_odds_snapshot.csv</t>
        </is>
      </c>
      <c r="U219" s="14">
        <f>IF(Q219="","",IF(Q219="待结算","待结算",IF(Q219="红","黑",IF(Q219="半红","半黑",IF(Q219="走","走",IF(Q219="半黑","半红","红"))))))</f>
        <v/>
      </c>
      <c r="V219" s="48">
        <f>IF(OR(U219="",U219="待结算"),"",IF(L219=LEFT(F219,FIND(" vs ",F219)-1),I219,G219))</f>
        <v/>
      </c>
      <c r="W219" s="48">
        <f>IF(OR(U219="",U219="待结算"),"",IF(U219="红",V219,IF(U219="半红",V219*0.5,IF(U219="走",0,IF(U219="半黑",-0.5,-1)))))</f>
        <v/>
      </c>
      <c r="X219" s="14" t="inlineStr">
        <is>
          <t>3040406</t>
        </is>
      </c>
      <c r="Y219" s="14" t="inlineStr">
        <is>
          <t>V4</t>
        </is>
      </c>
      <c r="Z219" s="14" t="inlineStr">
        <is>
          <t>prior-2026-10-04-v1</t>
        </is>
      </c>
      <c r="AA219" s="14" t="inlineStr">
        <is>
          <t>B</t>
        </is>
      </c>
      <c r="AB219" s="14" t="n">
        <v>0.4230350249523519</v>
      </c>
      <c r="AC219" s="14" t="n">
        <v>0.2602489979475254</v>
      </c>
      <c r="AD219" s="14" t="n">
        <v>0</v>
      </c>
      <c r="AE219" s="14" t="n">
        <v>0</v>
      </c>
      <c r="AF219" s="14" t="n">
        <v>0.3167159771001227</v>
      </c>
      <c r="AG219" s="14" t="n">
        <v>0.1368748325192913</v>
      </c>
      <c r="AH219" s="14" t="n"/>
      <c r="AI219" s="14" t="n"/>
      <c r="AJ219" s="14" t="n">
        <v>0.1368748325192913</v>
      </c>
      <c r="AK219" s="14" t="n"/>
      <c r="AL219" s="14" t="n"/>
      <c r="AM219" s="14" t="n"/>
      <c r="AN219" s="14" t="inlineStr">
        <is>
          <t>EVALUATED</t>
        </is>
      </c>
      <c r="AO219" s="14" t="inlineStr">
        <is>
          <t>RECEIVING_VALIDATED_EDGE;BUCKET_PRIOR_ONLY;INTENT_INTERPRETATION_ONLY;FFL_OPTIONAL;EXPERT_MARKET</t>
        </is>
      </c>
      <c r="AP219" s="14" t="inlineStr">
        <is>
          <t>6ab87529cf631d41067a</t>
        </is>
      </c>
      <c r="AQ219" s="14" t="n">
        <v>0.25</v>
      </c>
      <c r="AR219" s="14" t="n">
        <v>0.82</v>
      </c>
      <c r="AS219" s="14" t="n">
        <v>-0.25</v>
      </c>
      <c r="AT219" s="14" t="n">
        <v>0.25</v>
      </c>
      <c r="AU219" s="14" t="n">
        <v>0.88</v>
      </c>
      <c r="AV219" s="14" t="n">
        <v>0.82</v>
      </c>
      <c r="AW219" s="14" t="inlineStr">
        <is>
          <t>2026-10-04T09:58:08.993953+08:00</t>
        </is>
      </c>
      <c r="AX219" s="14" t="inlineStr">
        <is>
          <t>Titan007 Next</t>
        </is>
      </c>
      <c r="AY219" s="14" t="inlineStr">
        <is>
          <t>V4 Shadow Only；real_money=false；新增冻结记录</t>
        </is>
      </c>
    </row>
    <row r="220" ht="22" customHeight="1" s="39">
      <c r="A220" s="14" t="inlineStr">
        <is>
          <t>2026-10-04</t>
        </is>
      </c>
      <c r="B220" s="14" t="inlineStr">
        <is>
          <t>2026-10-04 20:00:00</t>
        </is>
      </c>
      <c r="C220" s="14" t="inlineStr">
        <is>
          <t>CLUB_LEAGUE</t>
        </is>
      </c>
      <c r="D220" s="14" t="inlineStr">
        <is>
          <t>联赛</t>
        </is>
      </c>
      <c r="E220" s="14" t="inlineStr">
        <is>
          <t>印尼甲</t>
        </is>
      </c>
      <c r="F220" s="14" t="inlineStr">
        <is>
          <t>塞曼巴东 vs 北干巴鲁</t>
        </is>
      </c>
      <c r="G220" s="26" t="n">
        <v>0.95</v>
      </c>
      <c r="H220" s="26" t="n">
        <v>-0.75</v>
      </c>
      <c r="I220" s="26" t="n">
        <v>0.75</v>
      </c>
      <c r="J220" s="26" t="inlineStr">
        <is>
          <t>0.95/-0.75/0.75</t>
        </is>
      </c>
      <c r="K220" s="14" t="inlineStr">
        <is>
          <t>V4-B｜EV 0.24358753235436265</t>
        </is>
      </c>
      <c r="L220" s="14" t="inlineStr">
        <is>
          <t>塞曼巴东</t>
        </is>
      </c>
      <c r="M220" s="47" t="n">
        <v>0.5721397586363315</v>
      </c>
      <c r="N220" s="14" t="inlineStr">
        <is>
          <t>V4纸面入选-B</t>
        </is>
      </c>
      <c r="O220" s="14" t="inlineStr">
        <is>
          <t>0-1</t>
        </is>
      </c>
      <c r="P220" s="14" t="inlineStr">
        <is>
          <t>已结算</t>
        </is>
      </c>
      <c r="Q220" s="14" t="inlineStr">
        <is>
          <t>黑</t>
        </is>
      </c>
      <c r="R220" s="48" t="n">
        <v>0.95</v>
      </c>
      <c r="S220" s="48" t="n">
        <v>0.475</v>
      </c>
      <c r="T220" s="14" t="inlineStr">
        <is>
          <t>D:\codex\v3_legacy\outputs\football_odds_trader\raw\titan007\20261004\20261004_135431_titan007_odds_snapshot.csv</t>
        </is>
      </c>
      <c r="U220" s="14">
        <f>IF(Q220="","",IF(Q220="待结算","待结算",IF(Q220="红","黑",IF(Q220="半红","半黑",IF(Q220="走","走",IF(Q220="半黑","半红","红"))))))</f>
        <v/>
      </c>
      <c r="V220" s="48">
        <f>IF(OR(U220="",U220="待结算"),"",IF(L220=LEFT(F220,FIND(" vs ",F220)-1),I220,G220))</f>
        <v/>
      </c>
      <c r="W220" s="48">
        <f>IF(OR(U220="",U220="待结算"),"",IF(U220="红",V220,IF(U220="半红",V220*0.5,IF(U220="走",0,IF(U220="半黑",-0.5,-1)))))</f>
        <v/>
      </c>
      <c r="X220" s="14" t="inlineStr">
        <is>
          <t>3086199</t>
        </is>
      </c>
      <c r="Y220" s="14" t="inlineStr">
        <is>
          <t>V4</t>
        </is>
      </c>
      <c r="Z220" s="14" t="inlineStr">
        <is>
          <t>prior-2026-10-04-v1</t>
        </is>
      </c>
      <c r="AA220" s="14" t="inlineStr">
        <is>
          <t>B</t>
        </is>
      </c>
      <c r="AB220" s="14" t="n">
        <v>0.4442247556228151</v>
      </c>
      <c r="AC220" s="14" t="n">
        <v>0.2558300060270327</v>
      </c>
      <c r="AD220" s="14" t="n">
        <v>0</v>
      </c>
      <c r="AE220" s="14" t="n">
        <v>0</v>
      </c>
      <c r="AF220" s="14" t="n">
        <v>0.2999452383501522</v>
      </c>
      <c r="AG220" s="14" t="n">
        <v>0.2435875323543626</v>
      </c>
      <c r="AH220" s="14" t="n"/>
      <c r="AI220" s="14" t="n"/>
      <c r="AJ220" s="14" t="n">
        <v>0.2435875323543626</v>
      </c>
      <c r="AK220" s="14" t="n"/>
      <c r="AL220" s="14" t="n"/>
      <c r="AM220" s="14" t="n"/>
      <c r="AN220" s="14" t="inlineStr">
        <is>
          <t>EVALUATED</t>
        </is>
      </c>
      <c r="AO220" s="14" t="inlineStr">
        <is>
          <t>GIVING_VALIDATED_EDGE;BUCKET_PRIOR_ONLY;INTENT_INTERPRETATION_ONLY;FFL_OPTIONAL;EXPERT_MARKET</t>
        </is>
      </c>
      <c r="AP220" s="14" t="inlineStr">
        <is>
          <t>2e5016dade1ed8e5d519</t>
        </is>
      </c>
      <c r="AQ220" s="14" t="n">
        <v>-0.75</v>
      </c>
      <c r="AR220" s="14" t="n">
        <v>0.95</v>
      </c>
      <c r="AS220" s="14" t="n">
        <v>-0.75</v>
      </c>
      <c r="AT220" s="14" t="n">
        <v>0.75</v>
      </c>
      <c r="AU220" s="14" t="n">
        <v>0.95</v>
      </c>
      <c r="AV220" s="14" t="n">
        <v>0.75</v>
      </c>
      <c r="AW220" s="14" t="inlineStr">
        <is>
          <t>2026-10-04T09:58:08.993953+08:00</t>
        </is>
      </c>
      <c r="AX220" s="14" t="inlineStr">
        <is>
          <t>Titan007 Next</t>
        </is>
      </c>
      <c r="AY220" s="14" t="inlineStr">
        <is>
          <t>V4 Shadow Only；real_money=false；新增冻结记录</t>
        </is>
      </c>
    </row>
    <row r="221" ht="22" customHeight="1" s="39">
      <c r="A221" s="14" t="inlineStr">
        <is>
          <t>2026-10-04</t>
        </is>
      </c>
      <c r="B221" s="14" t="inlineStr">
        <is>
          <t>2026-10-04 20:00:00</t>
        </is>
      </c>
      <c r="C221" s="14" t="inlineStr">
        <is>
          <t>INTERNATIONAL_FRIENDLY</t>
        </is>
      </c>
      <c r="D221" s="14" t="inlineStr">
        <is>
          <t>联赛</t>
        </is>
      </c>
      <c r="E221" s="14" t="inlineStr">
        <is>
          <t>国际友谊</t>
        </is>
      </c>
      <c r="F221" s="14" t="inlineStr">
        <is>
          <t>丹麦U20 vs 美国U20</t>
        </is>
      </c>
      <c r="G221" s="26" t="n">
        <v>0.9</v>
      </c>
      <c r="H221" s="26" t="n">
        <v>0.25</v>
      </c>
      <c r="I221" s="26" t="n">
        <v>0.92</v>
      </c>
      <c r="J221" s="26" t="inlineStr">
        <is>
          <t>0.9/0.25/0.92</t>
        </is>
      </c>
      <c r="K221" s="14" t="inlineStr">
        <is>
          <t>V4-C｜EV 0.2413181640380696</t>
        </is>
      </c>
      <c r="L221" s="14" t="inlineStr">
        <is>
          <t>丹麦U20</t>
        </is>
      </c>
      <c r="M221" s="47" t="n">
        <v>0.5852981890352797</v>
      </c>
      <c r="N221" s="14" t="inlineStr">
        <is>
          <t>V4纸面入选-C</t>
        </is>
      </c>
      <c r="O221" s="14" t="inlineStr">
        <is>
          <t>3-3</t>
        </is>
      </c>
      <c r="P221" s="14" t="inlineStr">
        <is>
          <t>已结算</t>
        </is>
      </c>
      <c r="Q221" s="14" t="inlineStr">
        <is>
          <t>半红</t>
        </is>
      </c>
      <c r="R221" s="48" t="n">
        <v>0.9</v>
      </c>
      <c r="S221" s="48" t="n">
        <v>0</v>
      </c>
      <c r="T221" s="14" t="inlineStr">
        <is>
          <t>D:\codex\v3_legacy\outputs\football_odds_trader\raw\titan007\20261004\20261004_135431_titan007_odds_snapshot.csv</t>
        </is>
      </c>
      <c r="U221" s="14">
        <f>IF(Q221="","",IF(Q221="待结算","待结算",IF(Q221="红","黑",IF(Q221="半红","半黑",IF(Q221="走","走",IF(Q221="半黑","半红","红"))))))</f>
        <v/>
      </c>
      <c r="V221" s="48">
        <f>IF(OR(U221="",U221="待结算"),"",IF(L221=LEFT(F221,FIND(" vs ",F221)-1),I221,G221))</f>
        <v/>
      </c>
      <c r="W221" s="48">
        <f>IF(OR(U221="",U221="待结算"),"",IF(U221="红",V221,IF(U221="半红",V221*0.5,IF(U221="走",0,IF(U221="半黑",-0.5,-1)))))</f>
        <v/>
      </c>
      <c r="X221" s="14" t="inlineStr">
        <is>
          <t>3096449</t>
        </is>
      </c>
      <c r="Y221" s="14" t="inlineStr">
        <is>
          <t>V4</t>
        </is>
      </c>
      <c r="Z221" s="14" t="inlineStr">
        <is>
          <t>prior-2026-10-04-v1</t>
        </is>
      </c>
      <c r="AA221" s="14" t="inlineStr">
        <is>
          <t>C</t>
        </is>
      </c>
      <c r="AB221" s="14" t="n">
        <v>0.4560465841642418</v>
      </c>
      <c r="AC221" s="14" t="n">
        <v>0.258503209742076</v>
      </c>
      <c r="AD221" s="14" t="n">
        <v>0</v>
      </c>
      <c r="AE221" s="14" t="n">
        <v>0</v>
      </c>
      <c r="AF221" s="14" t="n">
        <v>0.2854502060936822</v>
      </c>
      <c r="AG221" s="14" t="n">
        <v>0.2413181640380696</v>
      </c>
      <c r="AH221" s="14" t="n"/>
      <c r="AI221" s="14" t="n"/>
      <c r="AJ221" s="14" t="n">
        <v>0.2413181640380696</v>
      </c>
      <c r="AK221" s="14" t="n"/>
      <c r="AL221" s="14" t="n"/>
      <c r="AM221" s="14" t="n"/>
      <c r="AN221" s="14" t="inlineStr">
        <is>
          <t>EVALUATED</t>
        </is>
      </c>
      <c r="AO221" s="14" t="inlineStr">
        <is>
          <t>RECEIVING_VALIDATED_EDGE;BUCKET_PRIOR_ONLY;INTENT_INTERPRETATION_ONLY;FFL_OPTIONAL;EXPERT_MARKET</t>
        </is>
      </c>
      <c r="AP221" s="14" t="inlineStr">
        <is>
          <t>fef544beb873c0467c60</t>
        </is>
      </c>
      <c r="AQ221" s="14" t="n">
        <v>0.25</v>
      </c>
      <c r="AR221" s="14" t="n">
        <v>0.9</v>
      </c>
      <c r="AS221" s="14" t="n">
        <v>-0.25</v>
      </c>
      <c r="AT221" s="14" t="n">
        <v>0.25</v>
      </c>
      <c r="AU221" s="14" t="n">
        <v>0.92</v>
      </c>
      <c r="AV221" s="14" t="n">
        <v>0.9</v>
      </c>
      <c r="AW221" s="14" t="inlineStr">
        <is>
          <t>2026-10-04T09:58:08.993953+08:00</t>
        </is>
      </c>
      <c r="AX221" s="14" t="inlineStr">
        <is>
          <t>Titan007 Next</t>
        </is>
      </c>
      <c r="AY221" s="14" t="inlineStr">
        <is>
          <t>V4 Shadow Only；real_money=false；新增冻结记录</t>
        </is>
      </c>
    </row>
    <row r="222" ht="22" customHeight="1" s="39">
      <c r="A222" s="14" t="inlineStr">
        <is>
          <t>2026-10-04</t>
        </is>
      </c>
      <c r="B222" s="14" t="inlineStr">
        <is>
          <t>2026-10-04 20:15:00</t>
        </is>
      </c>
      <c r="C222" s="14" t="inlineStr">
        <is>
          <t>CLUB_LEAGUE</t>
        </is>
      </c>
      <c r="D222" s="14" t="inlineStr">
        <is>
          <t>联赛</t>
        </is>
      </c>
      <c r="E222" s="14" t="inlineStr">
        <is>
          <t>西协甲</t>
        </is>
      </c>
      <c r="F222" s="14" t="inlineStr">
        <is>
          <t>韦斯卡 vs CE欧罗巴</t>
        </is>
      </c>
      <c r="G222" s="26" t="n">
        <v>0.76</v>
      </c>
      <c r="H222" s="26" t="n">
        <v>-0.75</v>
      </c>
      <c r="I222" s="26" t="n">
        <v>0.9399999999999999</v>
      </c>
      <c r="J222" s="26" t="inlineStr">
        <is>
          <t>0.76/-0.75/0.94</t>
        </is>
      </c>
      <c r="K222" s="14" t="inlineStr">
        <is>
          <t>V4-B｜EV 0.21186365279410102</t>
        </is>
      </c>
      <c r="L222" s="14" t="inlineStr">
        <is>
          <t>韦斯卡</t>
        </is>
      </c>
      <c r="M222" s="47" t="n">
        <v>0.6167756755262424</v>
      </c>
      <c r="N222" s="14" t="inlineStr">
        <is>
          <t>V4纸面入选-B</t>
        </is>
      </c>
      <c r="O222" s="14" t="inlineStr">
        <is>
          <t>3-1</t>
        </is>
      </c>
      <c r="P222" s="14" t="inlineStr">
        <is>
          <t>已结算</t>
        </is>
      </c>
      <c r="Q222" s="14" t="inlineStr">
        <is>
          <t>红</t>
        </is>
      </c>
      <c r="R222" s="48" t="n">
        <v>0.76</v>
      </c>
      <c r="S222" s="48" t="n">
        <v>0.38</v>
      </c>
      <c r="T222" s="14" t="inlineStr">
        <is>
          <t>D:\codex\v3_legacy\outputs\football_odds_trader\raw\titan007\20261004\20261004_135431_titan007_odds_snapshot.csv</t>
        </is>
      </c>
      <c r="U222" s="14">
        <f>IF(Q222="","",IF(Q222="待结算","待结算",IF(Q222="红","黑",IF(Q222="半红","半黑",IF(Q222="走","走",IF(Q222="半黑","半红","红"))))))</f>
        <v/>
      </c>
      <c r="V222" s="48">
        <f>IF(OR(U222="",U222="待结算"),"",IF(L222=LEFT(F222,FIND(" vs ",F222)-1),I222,G222))</f>
        <v/>
      </c>
      <c r="W222" s="48">
        <f>IF(OR(U222="",U222="待结算"),"",IF(U222="红",V222,IF(U222="半红",V222*0.5,IF(U222="走",0,IF(U222="半黑",-0.5,-1)))))</f>
        <v/>
      </c>
      <c r="X222" s="14" t="inlineStr">
        <is>
          <t>3014918</t>
        </is>
      </c>
      <c r="Y222" s="14" t="inlineStr">
        <is>
          <t>V4</t>
        </is>
      </c>
      <c r="Z222" s="14" t="inlineStr">
        <is>
          <t>prior-2026-10-04-v1</t>
        </is>
      </c>
      <c r="AA222" s="14" t="inlineStr">
        <is>
          <t>B</t>
        </is>
      </c>
      <c r="AB222" s="14" t="n">
        <v>0.4904372116583277</v>
      </c>
      <c r="AC222" s="14" t="n">
        <v>0.2526769277358292</v>
      </c>
      <c r="AD222" s="14" t="n">
        <v>0</v>
      </c>
      <c r="AE222" s="14" t="n">
        <v>0</v>
      </c>
      <c r="AF222" s="14" t="n">
        <v>0.2568858606058431</v>
      </c>
      <c r="AG222" s="14" t="n">
        <v>0.211863652794101</v>
      </c>
      <c r="AH222" s="14" t="n"/>
      <c r="AI222" s="14" t="n"/>
      <c r="AJ222" s="14" t="n">
        <v>0.211863652794101</v>
      </c>
      <c r="AK222" s="14" t="n"/>
      <c r="AL222" s="14" t="n"/>
      <c r="AM222" s="14" t="n"/>
      <c r="AN222" s="14" t="inlineStr">
        <is>
          <t>EVALUATED</t>
        </is>
      </c>
      <c r="AO222" s="14" t="inlineStr">
        <is>
          <t>GIVING_VALIDATED_EDGE;BUCKET_PRIOR_ONLY;INTENT_INTERPRETATION_ONLY;FFL_OPTIONAL;EXPERT_MARKET</t>
        </is>
      </c>
      <c r="AP222" s="14" t="inlineStr">
        <is>
          <t>131e5dc67c3e05f11b2b</t>
        </is>
      </c>
      <c r="AQ222" s="14" t="n">
        <v>-0.75</v>
      </c>
      <c r="AR222" s="14" t="n">
        <v>0.76</v>
      </c>
      <c r="AS222" s="14" t="n">
        <v>-0.75</v>
      </c>
      <c r="AT222" s="14" t="n">
        <v>0.75</v>
      </c>
      <c r="AU222" s="14" t="n">
        <v>0.76</v>
      </c>
      <c r="AV222" s="14" t="n">
        <v>0.9399999999999999</v>
      </c>
      <c r="AW222" s="14" t="inlineStr">
        <is>
          <t>2026-10-04T09:58:08.993953+08:00</t>
        </is>
      </c>
      <c r="AX222" s="14" t="inlineStr">
        <is>
          <t>Titan007 Next</t>
        </is>
      </c>
      <c r="AY222" s="14" t="inlineStr">
        <is>
          <t>V4 Shadow Only；real_money=false；新增冻结记录</t>
        </is>
      </c>
    </row>
    <row r="223" ht="22" customHeight="1" s="39">
      <c r="A223" s="14" t="inlineStr">
        <is>
          <t>2026-10-04</t>
        </is>
      </c>
      <c r="B223" s="14" t="inlineStr">
        <is>
          <t>2026-10-04 20:30:00</t>
        </is>
      </c>
      <c r="C223" s="14" t="inlineStr">
        <is>
          <t>CLUB_LEAGUE</t>
        </is>
      </c>
      <c r="D223" s="14" t="inlineStr">
        <is>
          <t>联赛</t>
        </is>
      </c>
      <c r="E223" s="14" t="inlineStr">
        <is>
          <t>意丙</t>
        </is>
      </c>
      <c r="F223" s="14" t="inlineStr">
        <is>
          <t>圭多尼亚 vs 皮内托</t>
        </is>
      </c>
      <c r="G223" s="26" t="n">
        <v>0.89</v>
      </c>
      <c r="H223" s="26" t="n">
        <v>-0.25</v>
      </c>
      <c r="I223" s="26" t="n">
        <v>0.8100000000000001</v>
      </c>
      <c r="J223" s="26" t="inlineStr">
        <is>
          <t>0.89/-0.25/0.81</t>
        </is>
      </c>
      <c r="K223" s="14" t="inlineStr">
        <is>
          <t>V4-B｜EV 0.08415872216238404</t>
        </is>
      </c>
      <c r="L223" s="14" t="inlineStr">
        <is>
          <t>圭多尼亚</t>
        </is>
      </c>
      <c r="M223" s="47" t="n">
        <v>0.5068672638593258</v>
      </c>
      <c r="N223" s="14" t="inlineStr">
        <is>
          <t>V4纸面入选-B</t>
        </is>
      </c>
      <c r="O223" s="14" t="inlineStr">
        <is>
          <t>1-0</t>
        </is>
      </c>
      <c r="P223" s="14" t="inlineStr">
        <is>
          <t>已结算</t>
        </is>
      </c>
      <c r="Q223" s="14" t="inlineStr">
        <is>
          <t>红</t>
        </is>
      </c>
      <c r="R223" s="48" t="n">
        <v>0.89</v>
      </c>
      <c r="S223" s="48" t="n">
        <v>0</v>
      </c>
      <c r="T223" s="14" t="inlineStr">
        <is>
          <t>D:\codex\v3_legacy\outputs\football_odds_trader\raw\titan007\20261004\20261004_135431_titan007_odds_snapshot.csv</t>
        </is>
      </c>
      <c r="U223" s="14">
        <f>IF(Q223="","",IF(Q223="待结算","待结算",IF(Q223="红","黑",IF(Q223="半红","半黑",IF(Q223="走","走",IF(Q223="半黑","半红","红"))))))</f>
        <v/>
      </c>
      <c r="V223" s="48">
        <f>IF(OR(U223="",U223="待结算"),"",IF(L223=LEFT(F223,FIND(" vs ",F223)-1),I223,G223))</f>
        <v/>
      </c>
      <c r="W223" s="48">
        <f>IF(OR(U223="",U223="待结算"),"",IF(U223="红",V223,IF(U223="半红",V223*0.5,IF(U223="走",0,IF(U223="半黑",-0.5,-1)))))</f>
        <v/>
      </c>
      <c r="X223" s="14" t="inlineStr">
        <is>
          <t>3050955</t>
        </is>
      </c>
      <c r="Y223" s="14" t="inlineStr">
        <is>
          <t>V4</t>
        </is>
      </c>
      <c r="Z223" s="14" t="inlineStr">
        <is>
          <t>prior-2026-10-04-v1</t>
        </is>
      </c>
      <c r="AA223" s="14" t="inlineStr">
        <is>
          <t>B</t>
        </is>
      </c>
      <c r="AB223" s="14" t="n">
        <v>0.5068672638593258</v>
      </c>
      <c r="AC223" s="14" t="n">
        <v>0</v>
      </c>
      <c r="AD223" s="14" t="n">
        <v>0</v>
      </c>
      <c r="AE223" s="14" t="n">
        <v>0.2523591869365165</v>
      </c>
      <c r="AF223" s="14" t="n">
        <v>0.2407735492041576</v>
      </c>
      <c r="AG223" s="14" t="n">
        <v>0.08415872216238404</v>
      </c>
      <c r="AH223" s="14" t="n"/>
      <c r="AI223" s="14" t="n"/>
      <c r="AJ223" s="14" t="n">
        <v>0.08415872216238404</v>
      </c>
      <c r="AK223" s="14" t="n"/>
      <c r="AL223" s="14" t="n"/>
      <c r="AM223" s="14" t="n"/>
      <c r="AN223" s="14" t="inlineStr">
        <is>
          <t>EVALUATED</t>
        </is>
      </c>
      <c r="AO223" s="14" t="inlineStr">
        <is>
          <t>GIVING_VALIDATED_EDGE;BUCKET_PRIOR_ONLY;INTENT_INTERPRETATION_ONLY;FFL_OPTIONAL;EXPERT_MARKET</t>
        </is>
      </c>
      <c r="AP223" s="14" t="inlineStr">
        <is>
          <t>2303447fd3abb931a972</t>
        </is>
      </c>
      <c r="AQ223" s="14" t="n">
        <v>-0.25</v>
      </c>
      <c r="AR223" s="14" t="n">
        <v>0.89</v>
      </c>
      <c r="AS223" s="14" t="n">
        <v>-0.25</v>
      </c>
      <c r="AT223" s="14" t="n">
        <v>0.25</v>
      </c>
      <c r="AU223" s="14" t="n">
        <v>0.89</v>
      </c>
      <c r="AV223" s="14" t="n">
        <v>0.8100000000000001</v>
      </c>
      <c r="AW223" s="14" t="inlineStr">
        <is>
          <t>2026-10-04T09:58:08.993953+08:00</t>
        </is>
      </c>
      <c r="AX223" s="14" t="inlineStr">
        <is>
          <t>Titan007 Next</t>
        </is>
      </c>
      <c r="AY223" s="14" t="inlineStr">
        <is>
          <t>V4 Shadow Only；real_money=false；新增冻结记录</t>
        </is>
      </c>
    </row>
    <row r="224" ht="22" customHeight="1" s="39">
      <c r="A224" s="14" t="inlineStr">
        <is>
          <t>2026-10-04</t>
        </is>
      </c>
      <c r="B224" s="14" t="inlineStr">
        <is>
          <t>2026-10-04 20:30:00</t>
        </is>
      </c>
      <c r="C224" s="14" t="inlineStr">
        <is>
          <t>CLUB_LEAGUE</t>
        </is>
      </c>
      <c r="D224" s="14" t="inlineStr">
        <is>
          <t>联赛</t>
        </is>
      </c>
      <c r="E224" s="14" t="inlineStr">
        <is>
          <t>意丙</t>
        </is>
      </c>
      <c r="F224" s="14" t="inlineStr">
        <is>
          <t>皮阿尼斯 vs 拉维纳</t>
        </is>
      </c>
      <c r="G224" s="26" t="n">
        <v>0.85</v>
      </c>
      <c r="H224" s="26" t="n">
        <v>0.75</v>
      </c>
      <c r="I224" s="26" t="n">
        <v>0.85</v>
      </c>
      <c r="J224" s="26" t="inlineStr">
        <is>
          <t>0.85/0.75/0.85</t>
        </is>
      </c>
      <c r="K224" s="14" t="inlineStr">
        <is>
          <t>V4-B｜EV 0.6175112355024797</t>
        </is>
      </c>
      <c r="L224" s="14" t="inlineStr">
        <is>
          <t>皮阿尼斯</t>
        </is>
      </c>
      <c r="M224" s="47" t="n">
        <v>0.8446127646161412</v>
      </c>
      <c r="N224" s="14" t="inlineStr">
        <is>
          <t>V4纸面入选-B</t>
        </is>
      </c>
      <c r="O224" s="14" t="inlineStr">
        <is>
          <t>2-1</t>
        </is>
      </c>
      <c r="P224" s="14" t="inlineStr">
        <is>
          <t>已结算</t>
        </is>
      </c>
      <c r="Q224" s="14" t="inlineStr">
        <is>
          <t>红</t>
        </is>
      </c>
      <c r="R224" s="48" t="n">
        <v>0.85</v>
      </c>
      <c r="S224" s="48" t="n">
        <v>0.425</v>
      </c>
      <c r="T224" s="14" t="inlineStr">
        <is>
          <t>D:\codex\v3_legacy\outputs\football_odds_trader\raw\titan007\20261004\20261004_135431_titan007_odds_snapshot.csv</t>
        </is>
      </c>
      <c r="U224" s="14">
        <f>IF(Q224="","",IF(Q224="待结算","待结算",IF(Q224="红","黑",IF(Q224="半红","半黑",IF(Q224="走","走",IF(Q224="半黑","半红","红"))))))</f>
        <v/>
      </c>
      <c r="V224" s="48">
        <f>IF(OR(U224="",U224="待结算"),"",IF(L224=LEFT(F224,FIND(" vs ",F224)-1),I224,G224))</f>
        <v/>
      </c>
      <c r="W224" s="48">
        <f>IF(OR(U224="",U224="待结算"),"",IF(U224="红",V224,IF(U224="半红",V224*0.5,IF(U224="走",0,IF(U224="半黑",-0.5,-1)))))</f>
        <v/>
      </c>
      <c r="X224" s="14" t="inlineStr">
        <is>
          <t>3050958</t>
        </is>
      </c>
      <c r="Y224" s="14" t="inlineStr">
        <is>
          <t>V4</t>
        </is>
      </c>
      <c r="Z224" s="14" t="inlineStr">
        <is>
          <t>prior-2026-10-04-v1</t>
        </is>
      </c>
      <c r="AA224" s="14" t="inlineStr">
        <is>
          <t>B</t>
        </is>
      </c>
      <c r="AB224" s="14" t="n">
        <v>0.8446127646161412</v>
      </c>
      <c r="AC224" s="14" t="n">
        <v>0</v>
      </c>
      <c r="AD224" s="14" t="n">
        <v>0</v>
      </c>
      <c r="AE224" s="14" t="n">
        <v>0.1099552419252369</v>
      </c>
      <c r="AF224" s="14" t="n">
        <v>0.04543199345862185</v>
      </c>
      <c r="AG224" s="14" t="n">
        <v>0.6175112355024797</v>
      </c>
      <c r="AH224" s="14" t="n"/>
      <c r="AI224" s="14" t="n"/>
      <c r="AJ224" s="14" t="n">
        <v>0.6175112355024797</v>
      </c>
      <c r="AK224" s="14" t="n"/>
      <c r="AL224" s="14" t="n"/>
      <c r="AM224" s="14" t="n"/>
      <c r="AN224" s="14" t="inlineStr">
        <is>
          <t>EVALUATED</t>
        </is>
      </c>
      <c r="AO224" s="14" t="inlineStr">
        <is>
          <t>RECEIVING_VALIDATED_EDGE;BUCKET_PRIOR_ONLY;INTENT_INTERPRETATION_ONLY;FFL_OPTIONAL;EXPERT_MARKET</t>
        </is>
      </c>
      <c r="AP224" s="14" t="inlineStr">
        <is>
          <t>5129b3dd4bed523c8cf8</t>
        </is>
      </c>
      <c r="AQ224" s="14" t="n">
        <v>0.75</v>
      </c>
      <c r="AR224" s="14" t="n">
        <v>0.85</v>
      </c>
      <c r="AS224" s="14" t="n">
        <v>-0.75</v>
      </c>
      <c r="AT224" s="14" t="n">
        <v>0.75</v>
      </c>
      <c r="AU224" s="14" t="n">
        <v>0.85</v>
      </c>
      <c r="AV224" s="14" t="n">
        <v>0.85</v>
      </c>
      <c r="AW224" s="14" t="inlineStr">
        <is>
          <t>2026-10-04T09:58:08.993953+08:00</t>
        </is>
      </c>
      <c r="AX224" s="14" t="inlineStr">
        <is>
          <t>Titan007 Next</t>
        </is>
      </c>
      <c r="AY224" s="14" t="inlineStr">
        <is>
          <t>V4 Shadow Only；real_money=false；新增冻结记录</t>
        </is>
      </c>
    </row>
    <row r="225" ht="22" customHeight="1" s="39">
      <c r="A225" s="14" t="inlineStr">
        <is>
          <t>2026-10-04</t>
        </is>
      </c>
      <c r="B225" s="14" t="inlineStr">
        <is>
          <t>2026-10-04 21:00:00</t>
        </is>
      </c>
      <c r="C225" s="14" t="inlineStr">
        <is>
          <t>NATIONAL_OFFICIAL</t>
        </is>
      </c>
      <c r="D225" s="14" t="inlineStr">
        <is>
          <t>联赛</t>
        </is>
      </c>
      <c r="E225" s="14" t="inlineStr">
        <is>
          <t>欧国联</t>
        </is>
      </c>
      <c r="F225" s="14" t="inlineStr">
        <is>
          <t>阿塞拜疆 vs 立陶宛</t>
        </is>
      </c>
      <c r="G225" s="26" t="n">
        <v>1.04</v>
      </c>
      <c r="H225" s="26" t="n">
        <v>-0.25</v>
      </c>
      <c r="I225" s="26" t="n">
        <v>0.84</v>
      </c>
      <c r="J225" s="26" t="inlineStr">
        <is>
          <t>1.04/-0.25/0.84</t>
        </is>
      </c>
      <c r="K225" s="14" t="inlineStr">
        <is>
          <t>V4-B｜EV 0.10904305678546067</t>
        </is>
      </c>
      <c r="L225" s="14" t="inlineStr">
        <is>
          <t>阿塞拜疆</t>
        </is>
      </c>
      <c r="M225" s="47" t="n">
        <v>0.4805233005469962</v>
      </c>
      <c r="N225" s="14" t="inlineStr">
        <is>
          <t>V4纸面入选-B</t>
        </is>
      </c>
      <c r="O225" s="14" t="inlineStr">
        <is>
          <t>1-0</t>
        </is>
      </c>
      <c r="P225" s="14" t="inlineStr">
        <is>
          <t>已结算</t>
        </is>
      </c>
      <c r="Q225" s="14" t="inlineStr">
        <is>
          <t>红</t>
        </is>
      </c>
      <c r="R225" s="48" t="n">
        <v>1.04</v>
      </c>
      <c r="S225" s="48" t="n">
        <v>0</v>
      </c>
      <c r="T225" s="14" t="inlineStr">
        <is>
          <t>D:\codex\v3_legacy\outputs\football_odds_trader\raw\titan007\20261004\20261004_135431_titan007_odds_snapshot.csv</t>
        </is>
      </c>
      <c r="U225" s="14">
        <f>IF(Q225="","",IF(Q225="待结算","待结算",IF(Q225="红","黑",IF(Q225="半红","半黑",IF(Q225="走","走",IF(Q225="半黑","半红","红"))))))</f>
        <v/>
      </c>
      <c r="V225" s="48">
        <f>IF(OR(U225="",U225="待结算"),"",IF(L225=LEFT(F225,FIND(" vs ",F225)-1),I225,G225))</f>
        <v/>
      </c>
      <c r="W225" s="48">
        <f>IF(OR(U225="",U225="待结算"),"",IF(U225="红",V225,IF(U225="半红",V225*0.5,IF(U225="走",0,IF(U225="半黑",-0.5,-1)))))</f>
        <v/>
      </c>
      <c r="X225" s="14" t="inlineStr">
        <is>
          <t>2981577</t>
        </is>
      </c>
      <c r="Y225" s="14" t="inlineStr">
        <is>
          <t>V4</t>
        </is>
      </c>
      <c r="Z225" s="14" t="inlineStr">
        <is>
          <t>prior-2026-10-04-v1</t>
        </is>
      </c>
      <c r="AA225" s="14" t="inlineStr">
        <is>
          <t>B</t>
        </is>
      </c>
      <c r="AB225" s="14" t="n">
        <v>0.4805233005469962</v>
      </c>
      <c r="AC225" s="14" t="n">
        <v>0</v>
      </c>
      <c r="AD225" s="14" t="n">
        <v>0</v>
      </c>
      <c r="AE225" s="14" t="n">
        <v>0.2575510473391769</v>
      </c>
      <c r="AF225" s="14" t="n">
        <v>0.261925652113827</v>
      </c>
      <c r="AG225" s="14" t="n">
        <v>0.1090430567854607</v>
      </c>
      <c r="AH225" s="14" t="n"/>
      <c r="AI225" s="14" t="n"/>
      <c r="AJ225" s="14" t="n">
        <v>0.1090430567854607</v>
      </c>
      <c r="AK225" s="14" t="n"/>
      <c r="AL225" s="14" t="n"/>
      <c r="AM225" s="14" t="n"/>
      <c r="AN225" s="14" t="inlineStr">
        <is>
          <t>EVALUATED</t>
        </is>
      </c>
      <c r="AO225" s="14" t="inlineStr">
        <is>
          <t>GIVING_VALIDATED_EDGE;BUCKET_PRIOR_ONLY;INTENT_INTERPRETATION_ONLY;FFL_OPTIONAL;EXPERT_MARKET</t>
        </is>
      </c>
      <c r="AP225" s="14" t="inlineStr">
        <is>
          <t>5558e517cf71a5f44d78</t>
        </is>
      </c>
      <c r="AQ225" s="14" t="n">
        <v>-0.25</v>
      </c>
      <c r="AR225" s="14" t="n">
        <v>1.04</v>
      </c>
      <c r="AS225" s="14" t="n">
        <v>-0.25</v>
      </c>
      <c r="AT225" s="14" t="n">
        <v>0.25</v>
      </c>
      <c r="AU225" s="14" t="n">
        <v>1.04</v>
      </c>
      <c r="AV225" s="14" t="n">
        <v>0.84</v>
      </c>
      <c r="AW225" s="14" t="inlineStr">
        <is>
          <t>2026-10-04T09:58:08.993953+08:00</t>
        </is>
      </c>
      <c r="AX225" s="14" t="inlineStr">
        <is>
          <t>Titan007 Next</t>
        </is>
      </c>
      <c r="AY225" s="14" t="inlineStr">
        <is>
          <t>V4 Shadow Only；real_money=false；新增冻结记录</t>
        </is>
      </c>
    </row>
    <row r="226" ht="22" customHeight="1" s="39">
      <c r="A226" s="14" t="inlineStr">
        <is>
          <t>2026-10-04</t>
        </is>
      </c>
      <c r="B226" s="14" t="inlineStr">
        <is>
          <t>2026-10-04 21:00:00</t>
        </is>
      </c>
      <c r="C226" s="14" t="inlineStr">
        <is>
          <t>CLUB_LEAGUE</t>
        </is>
      </c>
      <c r="D226" s="14" t="inlineStr">
        <is>
          <t>联赛</t>
        </is>
      </c>
      <c r="E226" s="14" t="inlineStr">
        <is>
          <t>英总女超</t>
        </is>
      </c>
      <c r="F226" s="14" t="inlineStr">
        <is>
          <t>阿斯顿维拉女足 vs 水晶宫女足</t>
        </is>
      </c>
      <c r="G226" s="26" t="n">
        <v>1.11</v>
      </c>
      <c r="H226" s="26" t="n">
        <v>-1</v>
      </c>
      <c r="I226" s="26" t="n">
        <v>0.6</v>
      </c>
      <c r="J226" s="26" t="inlineStr">
        <is>
          <t>1.11/-1.0/0.6</t>
        </is>
      </c>
      <c r="K226" s="14" t="inlineStr">
        <is>
          <t>V4-B｜EV 0.07458894307201669</t>
        </is>
      </c>
      <c r="L226" s="14" t="inlineStr">
        <is>
          <t>阿斯顿维拉女足</t>
        </is>
      </c>
      <c r="M226" s="47" t="n">
        <v>0.3880616179117783</v>
      </c>
      <c r="N226" s="14" t="inlineStr">
        <is>
          <t>V4纸面入选-B</t>
        </is>
      </c>
      <c r="O226" s="14" t="inlineStr">
        <is>
          <t>1-1</t>
        </is>
      </c>
      <c r="P226" s="14" t="inlineStr">
        <is>
          <t>已结算</t>
        </is>
      </c>
      <c r="Q226" s="14" t="inlineStr">
        <is>
          <t>黑</t>
        </is>
      </c>
      <c r="R226" s="48" t="n">
        <v>1.11</v>
      </c>
      <c r="S226" s="48" t="n">
        <v>0.555</v>
      </c>
      <c r="T226" s="14" t="inlineStr">
        <is>
          <t>D:\codex\v3_legacy\outputs\football_odds_trader\raw\titan007\20261004\20261004_135431_titan007_odds_snapshot.csv</t>
        </is>
      </c>
      <c r="U226" s="14">
        <f>IF(Q226="","",IF(Q226="待结算","待结算",IF(Q226="红","黑",IF(Q226="半红","半黑",IF(Q226="走","走",IF(Q226="半黑","半红","红"))))))</f>
        <v/>
      </c>
      <c r="V226" s="48">
        <f>IF(OR(U226="",U226="待结算"),"",IF(L226=LEFT(F226,FIND(" vs ",F226)-1),I226,G226))</f>
        <v/>
      </c>
      <c r="W226" s="48">
        <f>IF(OR(U226="",U226="待结算"),"",IF(U226="红",V226,IF(U226="半红",V226*0.5,IF(U226="走",0,IF(U226="半黑",-0.5,-1)))))</f>
        <v/>
      </c>
      <c r="X226" s="14" t="inlineStr">
        <is>
          <t>3051977</t>
        </is>
      </c>
      <c r="Y226" s="14" t="inlineStr">
        <is>
          <t>V4</t>
        </is>
      </c>
      <c r="Z226" s="14" t="inlineStr">
        <is>
          <t>prior-2026-10-04-v1</t>
        </is>
      </c>
      <c r="AA226" s="14" t="inlineStr">
        <is>
          <t>B</t>
        </is>
      </c>
      <c r="AB226" s="14" t="n">
        <v>0.3880616179117783</v>
      </c>
      <c r="AC226" s="14" t="n">
        <v>0</v>
      </c>
      <c r="AD226" s="14" t="n">
        <v>0.2557789292781644</v>
      </c>
      <c r="AE226" s="14" t="n">
        <v>0</v>
      </c>
      <c r="AF226" s="14" t="n">
        <v>0.3561594528100573</v>
      </c>
      <c r="AG226" s="14" t="n">
        <v>0.07458894307201669</v>
      </c>
      <c r="AH226" s="14" t="n"/>
      <c r="AI226" s="14" t="n"/>
      <c r="AJ226" s="14" t="n">
        <v>0.07458894307201669</v>
      </c>
      <c r="AK226" s="14" t="n"/>
      <c r="AL226" s="14" t="n"/>
      <c r="AM226" s="14" t="n"/>
      <c r="AN226" s="14" t="inlineStr">
        <is>
          <t>EVALUATED</t>
        </is>
      </c>
      <c r="AO226" s="14" t="inlineStr">
        <is>
          <t>GIVING_VALIDATED_EDGE;BUCKET_PRIOR_ONLY;INTENT_INTERPRETATION_ONLY;FFL_OPTIONAL;EXPERT_MARKET</t>
        </is>
      </c>
      <c r="AP226" s="14" t="inlineStr">
        <is>
          <t>8c42289c0122ab38dc7d</t>
        </is>
      </c>
      <c r="AQ226" s="14" t="n">
        <v>-1</v>
      </c>
      <c r="AR226" s="14" t="n">
        <v>1.11</v>
      </c>
      <c r="AS226" s="14" t="n">
        <v>-1</v>
      </c>
      <c r="AT226" s="14" t="n">
        <v>1</v>
      </c>
      <c r="AU226" s="14" t="n">
        <v>1.11</v>
      </c>
      <c r="AV226" s="14" t="n">
        <v>0.6</v>
      </c>
      <c r="AW226" s="14" t="inlineStr">
        <is>
          <t>2026-10-04T09:58:08.993953+08:00</t>
        </is>
      </c>
      <c r="AX226" s="14" t="inlineStr">
        <is>
          <t>Titan007 Next</t>
        </is>
      </c>
      <c r="AY226" s="14" t="inlineStr">
        <is>
          <t>V4 Shadow Only；real_money=false；新增冻结记录</t>
        </is>
      </c>
    </row>
    <row r="227" ht="22" customHeight="1" s="39">
      <c r="A227" s="14" t="inlineStr">
        <is>
          <t>2026-10-04</t>
        </is>
      </c>
      <c r="B227" s="14" t="inlineStr">
        <is>
          <t>2026-10-04 21:00:00</t>
        </is>
      </c>
      <c r="C227" s="14" t="inlineStr">
        <is>
          <t>CLUB_LEAGUE</t>
        </is>
      </c>
      <c r="D227" s="14" t="inlineStr">
        <is>
          <t>联赛</t>
        </is>
      </c>
      <c r="E227" s="14" t="inlineStr">
        <is>
          <t>英总女超</t>
        </is>
      </c>
      <c r="F227" s="14" t="inlineStr">
        <is>
          <t>布莱顿女足 vs 查尔顿竞技女足</t>
        </is>
      </c>
      <c r="G227" s="26" t="n">
        <v>0.88</v>
      </c>
      <c r="H227" s="26" t="n">
        <v>-2</v>
      </c>
      <c r="I227" s="26" t="n">
        <v>0.82</v>
      </c>
      <c r="J227" s="26" t="inlineStr">
        <is>
          <t>0.88/-2.0/0.82</t>
        </is>
      </c>
      <c r="K227" s="14" t="inlineStr">
        <is>
          <t>V4-B｜EV 0.15861539587749063</t>
        </is>
      </c>
      <c r="L227" s="14" t="inlineStr">
        <is>
          <t>布莱顿女足</t>
        </is>
      </c>
      <c r="M227" s="47" t="n">
        <v>0.4868082472622985</v>
      </c>
      <c r="N227" s="14" t="inlineStr">
        <is>
          <t>V4纸面入选-B</t>
        </is>
      </c>
      <c r="O227" s="14" t="inlineStr">
        <is>
          <t>5-1</t>
        </is>
      </c>
      <c r="P227" s="14" t="inlineStr">
        <is>
          <t>已结算</t>
        </is>
      </c>
      <c r="Q227" s="14" t="inlineStr">
        <is>
          <t>红</t>
        </is>
      </c>
      <c r="R227" s="48" t="n">
        <v>0.88</v>
      </c>
      <c r="S227" s="48" t="n">
        <v>0.44</v>
      </c>
      <c r="T227" s="14" t="inlineStr">
        <is>
          <t>D:\codex\v3_legacy\outputs\football_odds_trader\raw\titan007\20261004\20261004_135431_titan007_odds_snapshot.csv</t>
        </is>
      </c>
      <c r="U227" s="14">
        <f>IF(Q227="","",IF(Q227="待结算","待结算",IF(Q227="红","黑",IF(Q227="半红","半黑",IF(Q227="走","走",IF(Q227="半黑","半红","红"))))))</f>
        <v/>
      </c>
      <c r="V227" s="48">
        <f>IF(OR(U227="",U227="待结算"),"",IF(L227=LEFT(F227,FIND(" vs ",F227)-1),I227,G227))</f>
        <v/>
      </c>
      <c r="W227" s="48">
        <f>IF(OR(U227="",U227="待结算"),"",IF(U227="红",V227,IF(U227="半红",V227*0.5,IF(U227="走",0,IF(U227="半黑",-0.5,-1)))))</f>
        <v/>
      </c>
      <c r="X227" s="14" t="inlineStr">
        <is>
          <t>3051978</t>
        </is>
      </c>
      <c r="Y227" s="14" t="inlineStr">
        <is>
          <t>V4</t>
        </is>
      </c>
      <c r="Z227" s="14" t="inlineStr">
        <is>
          <t>prior-2026-10-04-v1</t>
        </is>
      </c>
      <c r="AA227" s="14" t="inlineStr">
        <is>
          <t>B</t>
        </is>
      </c>
      <c r="AB227" s="14" t="n">
        <v>0.4868082472622985</v>
      </c>
      <c r="AC227" s="14" t="n">
        <v>0</v>
      </c>
      <c r="AD227" s="14" t="n">
        <v>0.2434158910243694</v>
      </c>
      <c r="AE227" s="14" t="n">
        <v>0</v>
      </c>
      <c r="AF227" s="14" t="n">
        <v>0.2697758617133321</v>
      </c>
      <c r="AG227" s="14" t="n">
        <v>0.1586153958774906</v>
      </c>
      <c r="AH227" s="14" t="n"/>
      <c r="AI227" s="14" t="n"/>
      <c r="AJ227" s="14" t="n">
        <v>0.1586153958774906</v>
      </c>
      <c r="AK227" s="14" t="n"/>
      <c r="AL227" s="14" t="n"/>
      <c r="AM227" s="14" t="n"/>
      <c r="AN227" s="14" t="inlineStr">
        <is>
          <t>EVALUATED</t>
        </is>
      </c>
      <c r="AO227" s="14" t="inlineStr">
        <is>
          <t>GIVING_VALIDATED_EDGE;BUCKET_PRIOR_ONLY;INTENT_INTERPRETATION_ONLY;FFL_OPTIONAL;EXPERT_MARKET</t>
        </is>
      </c>
      <c r="AP227" s="14" t="inlineStr">
        <is>
          <t>aedeb5daeb8a87ea7b72</t>
        </is>
      </c>
      <c r="AQ227" s="14" t="n">
        <v>-2</v>
      </c>
      <c r="AR227" s="14" t="n">
        <v>0.88</v>
      </c>
      <c r="AS227" s="14" t="n">
        <v>-2</v>
      </c>
      <c r="AT227" s="14" t="n">
        <v>2</v>
      </c>
      <c r="AU227" s="14" t="n">
        <v>0.88</v>
      </c>
      <c r="AV227" s="14" t="n">
        <v>0.82</v>
      </c>
      <c r="AW227" s="14" t="inlineStr">
        <is>
          <t>2026-10-04T09:58:08.993953+08:00</t>
        </is>
      </c>
      <c r="AX227" s="14" t="inlineStr">
        <is>
          <t>Titan007 Next</t>
        </is>
      </c>
      <c r="AY227" s="14" t="inlineStr">
        <is>
          <t>V4 Shadow Only；real_money=false；新增冻结记录</t>
        </is>
      </c>
    </row>
    <row r="228" ht="22" customHeight="1" s="39">
      <c r="A228" s="14" t="inlineStr">
        <is>
          <t>2026-10-04</t>
        </is>
      </c>
      <c r="B228" s="14" t="inlineStr">
        <is>
          <t>2026-10-04 21:00:00</t>
        </is>
      </c>
      <c r="C228" s="14" t="inlineStr">
        <is>
          <t>CLUB_LEAGUE</t>
        </is>
      </c>
      <c r="D228" s="14" t="inlineStr">
        <is>
          <t>联赛</t>
        </is>
      </c>
      <c r="E228" s="14" t="inlineStr">
        <is>
          <t>英总女超</t>
        </is>
      </c>
      <c r="F228" s="14" t="inlineStr">
        <is>
          <t>西汉姆联女足 vs 切尔西女足</t>
        </is>
      </c>
      <c r="G228" s="26" t="n">
        <v>0.9399999999999999</v>
      </c>
      <c r="H228" s="26" t="n">
        <v>2</v>
      </c>
      <c r="I228" s="26" t="n">
        <v>0.76</v>
      </c>
      <c r="J228" s="26" t="inlineStr">
        <is>
          <t>0.94/2.0/0.76</t>
        </is>
      </c>
      <c r="K228" s="14" t="inlineStr">
        <is>
          <t>V4-B｜EV 0.9398011397369405</t>
        </is>
      </c>
      <c r="L228" s="14" t="inlineStr">
        <is>
          <t>西汉姆联女足</t>
        </is>
      </c>
      <c r="M228" s="47" t="n">
        <v>0.9997941449156835</v>
      </c>
      <c r="N228" s="14" t="inlineStr">
        <is>
          <t>V4纸面入选-B</t>
        </is>
      </c>
      <c r="O228" s="14" t="inlineStr">
        <is>
          <t>0-3</t>
        </is>
      </c>
      <c r="P228" s="14" t="inlineStr">
        <is>
          <t>已结算</t>
        </is>
      </c>
      <c r="Q228" s="14" t="inlineStr">
        <is>
          <t>黑</t>
        </is>
      </c>
      <c r="R228" s="48" t="n">
        <v>0.9399999999999999</v>
      </c>
      <c r="S228" s="48" t="n">
        <v>0.47</v>
      </c>
      <c r="T228" s="14" t="inlineStr">
        <is>
          <t>D:\codex\v3_legacy\outputs\football_odds_trader\raw\titan007\20261004\20261004_135431_titan007_odds_snapshot.csv</t>
        </is>
      </c>
      <c r="U228" s="14">
        <f>IF(Q228="","",IF(Q228="待结算","待结算",IF(Q228="红","黑",IF(Q228="半红","半黑",IF(Q228="走","走",IF(Q228="半黑","半红","红"))))))</f>
        <v/>
      </c>
      <c r="V228" s="48">
        <f>IF(OR(U228="",U228="待结算"),"",IF(L228=LEFT(F228,FIND(" vs ",F228)-1),I228,G228))</f>
        <v/>
      </c>
      <c r="W228" s="48">
        <f>IF(OR(U228="",U228="待结算"),"",IF(U228="红",V228,IF(U228="半红",V228*0.5,IF(U228="走",0,IF(U228="半黑",-0.5,-1)))))</f>
        <v/>
      </c>
      <c r="X228" s="14" t="inlineStr">
        <is>
          <t>3051980</t>
        </is>
      </c>
      <c r="Y228" s="14" t="inlineStr">
        <is>
          <t>V4</t>
        </is>
      </c>
      <c r="Z228" s="14" t="inlineStr">
        <is>
          <t>prior-2026-10-04-v1</t>
        </is>
      </c>
      <c r="AA228" s="14" t="inlineStr">
        <is>
          <t>B</t>
        </is>
      </c>
      <c r="AB228" s="14" t="n">
        <v>0.9997941449156835</v>
      </c>
      <c r="AC228" s="14" t="n">
        <v>0</v>
      </c>
      <c r="AD228" s="14" t="n">
        <v>0.000200498600514514</v>
      </c>
      <c r="AE228" s="14" t="n">
        <v>0</v>
      </c>
      <c r="AF228" s="14" t="n">
        <v>5.356483801945142e-06</v>
      </c>
      <c r="AG228" s="14" t="n">
        <v>0.9398011397369405</v>
      </c>
      <c r="AH228" s="14" t="n"/>
      <c r="AI228" s="14" t="n"/>
      <c r="AJ228" s="14" t="n">
        <v>0.9398011397369405</v>
      </c>
      <c r="AK228" s="14" t="n"/>
      <c r="AL228" s="14" t="n"/>
      <c r="AM228" s="14" t="n"/>
      <c r="AN228" s="14" t="inlineStr">
        <is>
          <t>EVALUATED</t>
        </is>
      </c>
      <c r="AO228" s="14" t="inlineStr">
        <is>
          <t>RECEIVING_VALIDATED_EDGE;BUCKET_PRIOR_ONLY;INTENT_INTERPRETATION_ONLY;FFL_OPTIONAL;EXPERT_MARKET</t>
        </is>
      </c>
      <c r="AP228" s="14" t="inlineStr">
        <is>
          <t>45a7fa195cb9c28de52e</t>
        </is>
      </c>
      <c r="AQ228" s="14" t="n">
        <v>2</v>
      </c>
      <c r="AR228" s="14" t="n">
        <v>0.9399999999999999</v>
      </c>
      <c r="AS228" s="14" t="n">
        <v>-2</v>
      </c>
      <c r="AT228" s="14" t="n">
        <v>2</v>
      </c>
      <c r="AU228" s="14" t="n">
        <v>0.76</v>
      </c>
      <c r="AV228" s="14" t="n">
        <v>0.9399999999999999</v>
      </c>
      <c r="AW228" s="14" t="inlineStr">
        <is>
          <t>2026-10-04T09:58:08.993953+08:00</t>
        </is>
      </c>
      <c r="AX228" s="14" t="inlineStr">
        <is>
          <t>Titan007 Next</t>
        </is>
      </c>
      <c r="AY228" s="14" t="inlineStr">
        <is>
          <t>V4 Shadow Only；real_money=false；新增冻结记录</t>
        </is>
      </c>
    </row>
    <row r="229" ht="22" customHeight="1" s="39">
      <c r="A229" s="14" t="inlineStr">
        <is>
          <t>2026-10-04</t>
        </is>
      </c>
      <c r="B229" s="14" t="inlineStr">
        <is>
          <t>2026-10-04 21:00:00</t>
        </is>
      </c>
      <c r="C229" s="14" t="inlineStr">
        <is>
          <t>CLUB_LEAGUE</t>
        </is>
      </c>
      <c r="D229" s="14" t="inlineStr">
        <is>
          <t>联赛</t>
        </is>
      </c>
      <c r="E229" s="14" t="inlineStr">
        <is>
          <t>法女甲</t>
        </is>
      </c>
      <c r="F229" s="14" t="inlineStr">
        <is>
          <t>弗勒里91女足 vs 巴黎圣日耳曼女足</t>
        </is>
      </c>
      <c r="G229" s="26" t="n">
        <v>0.9</v>
      </c>
      <c r="H229" s="26" t="n">
        <v>1.25</v>
      </c>
      <c r="I229" s="26" t="n">
        <v>0.8</v>
      </c>
      <c r="J229" s="26" t="inlineStr">
        <is>
          <t>0.9/1.25/0.8</t>
        </is>
      </c>
      <c r="K229" s="14" t="inlineStr">
        <is>
          <t>V4-B｜EV 0.8768215114106945</t>
        </is>
      </c>
      <c r="L229" s="14" t="inlineStr">
        <is>
          <t>弗勒里91女足</t>
        </is>
      </c>
      <c r="M229" s="47" t="n">
        <v>0.9796371020307716</v>
      </c>
      <c r="N229" s="14" t="inlineStr">
        <is>
          <t>V4纸面入选-B</t>
        </is>
      </c>
      <c r="O229" s="14" t="inlineStr">
        <is>
          <t>1-3</t>
        </is>
      </c>
      <c r="P229" s="14" t="inlineStr">
        <is>
          <t>已结算</t>
        </is>
      </c>
      <c r="Q229" s="14" t="inlineStr">
        <is>
          <t>黑</t>
        </is>
      </c>
      <c r="R229" s="48" t="n">
        <v>0.9</v>
      </c>
      <c r="S229" s="48" t="n">
        <v>0.45</v>
      </c>
      <c r="T229" s="14" t="inlineStr">
        <is>
          <t>D:\codex\v3_legacy\outputs\football_odds_trader\raw\titan007\20261004\20261004_135431_titan007_odds_snapshot.csv</t>
        </is>
      </c>
      <c r="U229" s="14">
        <f>IF(Q229="","",IF(Q229="待结算","待结算",IF(Q229="红","黑",IF(Q229="半红","半黑",IF(Q229="走","走",IF(Q229="半黑","半红","红"))))))</f>
        <v/>
      </c>
      <c r="V229" s="48">
        <f>IF(OR(U229="",U229="待结算"),"",IF(L229=LEFT(F229,FIND(" vs ",F229)-1),I229,G229))</f>
        <v/>
      </c>
      <c r="W229" s="48">
        <f>IF(OR(U229="",U229="待结算"),"",IF(U229="红",V229,IF(U229="半红",V229*0.5,IF(U229="走",0,IF(U229="半黑",-0.5,-1)))))</f>
        <v/>
      </c>
      <c r="X229" s="14" t="inlineStr">
        <is>
          <t>3088635</t>
        </is>
      </c>
      <c r="Y229" s="14" t="inlineStr">
        <is>
          <t>V4</t>
        </is>
      </c>
      <c r="Z229" s="14" t="inlineStr">
        <is>
          <t>prior-2026-10-04-v1</t>
        </is>
      </c>
      <c r="AA229" s="14" t="inlineStr">
        <is>
          <t>B</t>
        </is>
      </c>
      <c r="AB229" s="14" t="n">
        <v>0.9641260844785432</v>
      </c>
      <c r="AC229" s="14" t="n">
        <v>0.03102203510445681</v>
      </c>
      <c r="AD229" s="14" t="n">
        <v>0</v>
      </c>
      <c r="AE229" s="14" t="n">
        <v>0</v>
      </c>
      <c r="AF229" s="14" t="n">
        <v>0.004851880417000022</v>
      </c>
      <c r="AG229" s="14" t="n">
        <v>0.8768215114106945</v>
      </c>
      <c r="AH229" s="14" t="n"/>
      <c r="AI229" s="14" t="n"/>
      <c r="AJ229" s="14" t="n">
        <v>0.8768215114106945</v>
      </c>
      <c r="AK229" s="14" t="n"/>
      <c r="AL229" s="14" t="n"/>
      <c r="AM229" s="14" t="n"/>
      <c r="AN229" s="14" t="inlineStr">
        <is>
          <t>EVALUATED</t>
        </is>
      </c>
      <c r="AO229" s="14" t="inlineStr">
        <is>
          <t>RECEIVING_VALIDATED_EDGE;BUCKET_PRIOR_ONLY;INTENT_INTERPRETATION_ONLY;FFL_OPTIONAL;EXPERT_MARKET</t>
        </is>
      </c>
      <c r="AP229" s="14" t="inlineStr">
        <is>
          <t>431bf3750a6e4c8d90ac</t>
        </is>
      </c>
      <c r="AQ229" s="14" t="n">
        <v>1.25</v>
      </c>
      <c r="AR229" s="14" t="n">
        <v>0.9</v>
      </c>
      <c r="AS229" s="14" t="n">
        <v>-1.25</v>
      </c>
      <c r="AT229" s="14" t="n">
        <v>1.25</v>
      </c>
      <c r="AU229" s="14" t="n">
        <v>0.8</v>
      </c>
      <c r="AV229" s="14" t="n">
        <v>0.9</v>
      </c>
      <c r="AW229" s="14" t="inlineStr">
        <is>
          <t>2026-10-04T09:58:08.993953+08:00</t>
        </is>
      </c>
      <c r="AX229" s="14" t="inlineStr">
        <is>
          <t>Titan007 Next</t>
        </is>
      </c>
      <c r="AY229" s="14" t="inlineStr">
        <is>
          <t>V4 Shadow Only；real_money=false；新增冻结记录</t>
        </is>
      </c>
    </row>
    <row r="230" ht="22" customHeight="1" s="39">
      <c r="A230" s="14" t="inlineStr">
        <is>
          <t>2026-10-04</t>
        </is>
      </c>
      <c r="B230" s="14" t="inlineStr">
        <is>
          <t>2026-10-04 21:00:00</t>
        </is>
      </c>
      <c r="C230" s="14" t="inlineStr">
        <is>
          <t>UNKNOWN</t>
        </is>
      </c>
      <c r="D230" s="14" t="inlineStr">
        <is>
          <t>联赛</t>
        </is>
      </c>
      <c r="E230" s="14" t="inlineStr">
        <is>
          <t>英女冠</t>
        </is>
      </c>
      <c r="F230" s="14" t="inlineStr">
        <is>
          <t>锡菲联女足 vs 叶士域治女足</t>
        </is>
      </c>
      <c r="G230" s="26" t="n">
        <v>0.9399999999999999</v>
      </c>
      <c r="H230" s="26" t="n">
        <v>0.25</v>
      </c>
      <c r="I230" s="26" t="n">
        <v>0.76</v>
      </c>
      <c r="J230" s="26" t="inlineStr">
        <is>
          <t>0.94/0.25/0.76</t>
        </is>
      </c>
      <c r="K230" s="14" t="inlineStr">
        <is>
          <t>V4-C｜EV 0.27613270159397363</t>
        </is>
      </c>
      <c r="L230" s="14" t="inlineStr">
        <is>
          <t>锡菲联女足</t>
        </is>
      </c>
      <c r="M230" s="47" t="n">
        <v>0.5914999874077327</v>
      </c>
      <c r="N230" s="14" t="inlineStr">
        <is>
          <t>V4纸面入选-C</t>
        </is>
      </c>
      <c r="O230" s="14" t="inlineStr">
        <is>
          <t>1-2</t>
        </is>
      </c>
      <c r="P230" s="14" t="inlineStr">
        <is>
          <t>已结算</t>
        </is>
      </c>
      <c r="Q230" s="14" t="inlineStr">
        <is>
          <t>黑</t>
        </is>
      </c>
      <c r="R230" s="48" t="n">
        <v>0.9399999999999999</v>
      </c>
      <c r="S230" s="48" t="n">
        <v>0</v>
      </c>
      <c r="T230" s="14" t="inlineStr">
        <is>
          <t>D:\codex\v3_legacy\outputs\football_odds_trader\raw\titan007\20261004\20261004_135431_titan007_odds_snapshot.csv</t>
        </is>
      </c>
      <c r="U230" s="14">
        <f>IF(Q230="","",IF(Q230="待结算","待结算",IF(Q230="红","黑",IF(Q230="半红","半黑",IF(Q230="走","走",IF(Q230="半黑","半红","红"))))))</f>
        <v/>
      </c>
      <c r="V230" s="48">
        <f>IF(OR(U230="",U230="待结算"),"",IF(L230=LEFT(F230,FIND(" vs ",F230)-1),I230,G230))</f>
        <v/>
      </c>
      <c r="W230" s="48">
        <f>IF(OR(U230="",U230="待结算"),"",IF(U230="红",V230,IF(U230="半红",V230*0.5,IF(U230="走",0,IF(U230="半黑",-0.5,-1)))))</f>
        <v/>
      </c>
      <c r="X230" s="14" t="inlineStr">
        <is>
          <t>3052156</t>
        </is>
      </c>
      <c r="Y230" s="14" t="inlineStr">
        <is>
          <t>V4</t>
        </is>
      </c>
      <c r="Z230" s="14" t="inlineStr">
        <is>
          <t>prior-2026-10-04-v1</t>
        </is>
      </c>
      <c r="AA230" s="14" t="inlineStr">
        <is>
          <t>C</t>
        </is>
      </c>
      <c r="AB230" s="14" t="n">
        <v>0.4628772613847605</v>
      </c>
      <c r="AC230" s="14" t="n">
        <v>0.2572454520459443</v>
      </c>
      <c r="AD230" s="14" t="n">
        <v>0</v>
      </c>
      <c r="AE230" s="14" t="n">
        <v>0</v>
      </c>
      <c r="AF230" s="14" t="n">
        <v>0.2798772865692951</v>
      </c>
      <c r="AG230" s="14" t="n">
        <v>0.2761327015939736</v>
      </c>
      <c r="AH230" s="14" t="n"/>
      <c r="AI230" s="14" t="n"/>
      <c r="AJ230" s="14" t="n">
        <v>0.2761327015939736</v>
      </c>
      <c r="AK230" s="14" t="n"/>
      <c r="AL230" s="14" t="n"/>
      <c r="AM230" s="14" t="n"/>
      <c r="AN230" s="14" t="inlineStr">
        <is>
          <t>EVALUATED</t>
        </is>
      </c>
      <c r="AO230" s="14" t="inlineStr">
        <is>
          <t>RECEIVING_VALIDATED_EDGE;BUCKET_PRIOR_ONLY;INTENT_INTERPRETATION_ONLY;FFL_OPTIONAL;EXPERT_MARKET</t>
        </is>
      </c>
      <c r="AP230" s="14" t="inlineStr">
        <is>
          <t>af5b3c4715c98d8ef1fc</t>
        </is>
      </c>
      <c r="AQ230" s="14" t="n">
        <v>0.25</v>
      </c>
      <c r="AR230" s="14" t="n">
        <v>0.9399999999999999</v>
      </c>
      <c r="AS230" s="14" t="n">
        <v>-0.25</v>
      </c>
      <c r="AT230" s="14" t="n">
        <v>0.25</v>
      </c>
      <c r="AU230" s="14" t="n">
        <v>0.76</v>
      </c>
      <c r="AV230" s="14" t="n">
        <v>0.9399999999999999</v>
      </c>
      <c r="AW230" s="14" t="inlineStr">
        <is>
          <t>2026-10-04T09:58:08.993953+08:00</t>
        </is>
      </c>
      <c r="AX230" s="14" t="inlineStr">
        <is>
          <t>Titan007 Next</t>
        </is>
      </c>
      <c r="AY230" s="14" t="inlineStr">
        <is>
          <t>V4 Shadow Only；real_money=false；新增冻结记录</t>
        </is>
      </c>
    </row>
    <row r="231" ht="22" customHeight="1" s="39">
      <c r="A231" s="14" t="inlineStr">
        <is>
          <t>2026-10-04</t>
        </is>
      </c>
      <c r="B231" s="14" t="inlineStr">
        <is>
          <t>2026-10-04 21:00:00</t>
        </is>
      </c>
      <c r="C231" s="14" t="inlineStr">
        <is>
          <t>CLUB_LEAGUE</t>
        </is>
      </c>
      <c r="D231" s="14" t="inlineStr">
        <is>
          <t>联赛</t>
        </is>
      </c>
      <c r="E231" s="14" t="inlineStr">
        <is>
          <t>意女甲</t>
        </is>
      </c>
      <c r="F231" s="14" t="inlineStr">
        <is>
          <t>AC米兰女足 vs 尤文图斯女足</t>
        </is>
      </c>
      <c r="G231" s="26" t="n">
        <v>0.95</v>
      </c>
      <c r="H231" s="26" t="n">
        <v>0.75</v>
      </c>
      <c r="I231" s="26" t="n">
        <v>0.75</v>
      </c>
      <c r="J231" s="26" t="inlineStr">
        <is>
          <t>0.95/0.75/0.75</t>
        </is>
      </c>
      <c r="K231" s="14" t="inlineStr">
        <is>
          <t>V4-B｜EV 0.674512477805907</t>
        </is>
      </c>
      <c r="L231" s="14" t="inlineStr">
        <is>
          <t>AC米兰女足</t>
        </is>
      </c>
      <c r="M231" s="47" t="n">
        <v>0.8282631579937051</v>
      </c>
      <c r="N231" s="14" t="inlineStr">
        <is>
          <t>V4纸面入选-B</t>
        </is>
      </c>
      <c r="O231" s="14" t="inlineStr">
        <is>
          <t>2-1</t>
        </is>
      </c>
      <c r="P231" s="14" t="inlineStr">
        <is>
          <t>已结算</t>
        </is>
      </c>
      <c r="Q231" s="14" t="inlineStr">
        <is>
          <t>红</t>
        </is>
      </c>
      <c r="R231" s="48" t="n">
        <v>0.95</v>
      </c>
      <c r="S231" s="48" t="n">
        <v>0.475</v>
      </c>
      <c r="T231" s="14" t="inlineStr">
        <is>
          <t>D:\codex\v3_legacy\outputs\football_odds_trader\raw\titan007\20261004\20261004_135431_titan007_odds_snapshot.csv</t>
        </is>
      </c>
      <c r="U231" s="14">
        <f>IF(Q231="","",IF(Q231="待结算","待结算",IF(Q231="红","黑",IF(Q231="半红","半黑",IF(Q231="走","走",IF(Q231="半黑","半红","红"))))))</f>
        <v/>
      </c>
      <c r="V231" s="48">
        <f>IF(OR(U231="",U231="待结算"),"",IF(L231=LEFT(F231,FIND(" vs ",F231)-1),I231,G231))</f>
        <v/>
      </c>
      <c r="W231" s="48">
        <f>IF(OR(U231="",U231="待结算"),"",IF(U231="红",V231,IF(U231="半红",V231*0.5,IF(U231="走",0,IF(U231="半黑",-0.5,-1)))))</f>
        <v/>
      </c>
      <c r="X231" s="14" t="inlineStr">
        <is>
          <t>3042384</t>
        </is>
      </c>
      <c r="Y231" s="14" t="inlineStr">
        <is>
          <t>V4</t>
        </is>
      </c>
      <c r="Z231" s="14" t="inlineStr">
        <is>
          <t>prior-2026-10-04-v1</t>
        </is>
      </c>
      <c r="AA231" s="14" t="inlineStr">
        <is>
          <t>B</t>
        </is>
      </c>
      <c r="AB231" s="14" t="n">
        <v>0.8282631579937051</v>
      </c>
      <c r="AC231" s="14" t="n">
        <v>0</v>
      </c>
      <c r="AD231" s="14" t="n">
        <v>0</v>
      </c>
      <c r="AE231" s="14" t="n">
        <v>0.1187986394363642</v>
      </c>
      <c r="AF231" s="14" t="n">
        <v>0.05293820256993084</v>
      </c>
      <c r="AG231" s="14" t="n">
        <v>0.674512477805907</v>
      </c>
      <c r="AH231" s="14" t="n"/>
      <c r="AI231" s="14" t="n"/>
      <c r="AJ231" s="14" t="n">
        <v>0.674512477805907</v>
      </c>
      <c r="AK231" s="14" t="n"/>
      <c r="AL231" s="14" t="n"/>
      <c r="AM231" s="14" t="n"/>
      <c r="AN231" s="14" t="inlineStr">
        <is>
          <t>EVALUATED</t>
        </is>
      </c>
      <c r="AO231" s="14" t="inlineStr">
        <is>
          <t>RECEIVING_VALIDATED_EDGE;BUCKET_PRIOR_ONLY;INTENT_INTERPRETATION_ONLY;FFL_OPTIONAL;EXPERT_MARKET</t>
        </is>
      </c>
      <c r="AP231" s="14" t="inlineStr">
        <is>
          <t>2198038306432c2782ba</t>
        </is>
      </c>
      <c r="AQ231" s="14" t="n">
        <v>0.75</v>
      </c>
      <c r="AR231" s="14" t="n">
        <v>0.95</v>
      </c>
      <c r="AS231" s="14" t="n">
        <v>-0.75</v>
      </c>
      <c r="AT231" s="14" t="n">
        <v>0.75</v>
      </c>
      <c r="AU231" s="14" t="n">
        <v>0.75</v>
      </c>
      <c r="AV231" s="14" t="n">
        <v>0.95</v>
      </c>
      <c r="AW231" s="14" t="inlineStr">
        <is>
          <t>2026-10-04T09:58:08.993953+08:00</t>
        </is>
      </c>
      <c r="AX231" s="14" t="inlineStr">
        <is>
          <t>Titan007 Next</t>
        </is>
      </c>
      <c r="AY231" s="14" t="inlineStr">
        <is>
          <t>V4 Shadow Only；real_money=false；新增冻结记录</t>
        </is>
      </c>
    </row>
    <row r="232" ht="22" customHeight="1" s="39">
      <c r="A232" s="14" t="inlineStr">
        <is>
          <t>2026-10-04</t>
        </is>
      </c>
      <c r="B232" s="14" t="inlineStr">
        <is>
          <t>2026-10-04 22:00:00</t>
        </is>
      </c>
      <c r="C232" s="14" t="inlineStr">
        <is>
          <t>CLUB_LEAGUE</t>
        </is>
      </c>
      <c r="D232" s="14" t="inlineStr">
        <is>
          <t>联赛</t>
        </is>
      </c>
      <c r="E232" s="14" t="inlineStr">
        <is>
          <t>挪乙</t>
        </is>
      </c>
      <c r="F232" s="14" t="inlineStr">
        <is>
          <t>特里格拉德 vs 祖克伦</t>
        </is>
      </c>
      <c r="G232" s="26" t="n">
        <v>0.82</v>
      </c>
      <c r="H232" s="26" t="n">
        <v>0.25</v>
      </c>
      <c r="I232" s="26" t="n">
        <v>0.88</v>
      </c>
      <c r="J232" s="26" t="inlineStr">
        <is>
          <t>0.82/0.25/0.88</t>
        </is>
      </c>
      <c r="K232" s="14" t="inlineStr">
        <is>
          <t>V4-B｜EV 0.09491265136584759</t>
        </is>
      </c>
      <c r="L232" s="14" t="inlineStr">
        <is>
          <t>特里格拉德</t>
        </is>
      </c>
      <c r="M232" s="47" t="n">
        <v>0.5297950205297001</v>
      </c>
      <c r="N232" s="14" t="inlineStr">
        <is>
          <t>V4纸面入选-B</t>
        </is>
      </c>
      <c r="O232" s="14" t="inlineStr">
        <is>
          <t>1-2</t>
        </is>
      </c>
      <c r="P232" s="14" t="inlineStr">
        <is>
          <t>已结算</t>
        </is>
      </c>
      <c r="Q232" s="14" t="inlineStr">
        <is>
          <t>黑</t>
        </is>
      </c>
      <c r="R232" s="48" t="n">
        <v>0.82</v>
      </c>
      <c r="S232" s="48" t="n">
        <v>0</v>
      </c>
      <c r="T232" s="14" t="inlineStr">
        <is>
          <t>D:\codex\v3_legacy\outputs\football_odds_trader\raw\titan007\20261004\20261004_135431_titan007_odds_snapshot.csv</t>
        </is>
      </c>
      <c r="U232" s="14">
        <f>IF(Q232="","",IF(Q232="待结算","待结算",IF(Q232="红","黑",IF(Q232="半红","半黑",IF(Q232="走","走",IF(Q232="半黑","半红","红"))))))</f>
        <v/>
      </c>
      <c r="V232" s="48">
        <f>IF(OR(U232="",U232="待结算"),"",IF(L232=LEFT(F232,FIND(" vs ",F232)-1),I232,G232))</f>
        <v/>
      </c>
      <c r="W232" s="48">
        <f>IF(OR(U232="",U232="待结算"),"",IF(U232="红",V232,IF(U232="半红",V232*0.5,IF(U232="走",0,IF(U232="半黑",-0.5,-1)))))</f>
        <v/>
      </c>
      <c r="X232" s="14" t="inlineStr">
        <is>
          <t>2913544</t>
        </is>
      </c>
      <c r="Y232" s="14" t="inlineStr">
        <is>
          <t>V4</t>
        </is>
      </c>
      <c r="Z232" s="14" t="inlineStr">
        <is>
          <t>prior-2026-10-04-v1</t>
        </is>
      </c>
      <c r="AA232" s="14" t="inlineStr">
        <is>
          <t>B</t>
        </is>
      </c>
      <c r="AB232" s="14" t="n">
        <v>0.3991093065279065</v>
      </c>
      <c r="AC232" s="14" t="n">
        <v>0.2613714280035871</v>
      </c>
      <c r="AD232" s="14" t="n">
        <v>0</v>
      </c>
      <c r="AE232" s="14" t="n">
        <v>0</v>
      </c>
      <c r="AF232" s="14" t="n">
        <v>0.3395192654685064</v>
      </c>
      <c r="AG232" s="14" t="n">
        <v>0.09491265136584759</v>
      </c>
      <c r="AH232" s="14" t="n"/>
      <c r="AI232" s="14" t="n"/>
      <c r="AJ232" s="14" t="n">
        <v>0.09491265136584759</v>
      </c>
      <c r="AK232" s="14" t="n"/>
      <c r="AL232" s="14" t="n"/>
      <c r="AM232" s="14" t="n"/>
      <c r="AN232" s="14" t="inlineStr">
        <is>
          <t>EVALUATED</t>
        </is>
      </c>
      <c r="AO232" s="14" t="inlineStr">
        <is>
          <t>RECEIVING_VALIDATED_EDGE;BUCKET_PRIOR_ONLY;INTENT_INTERPRETATION_ONLY;FFL_OPTIONAL;EXPERT_MARKET</t>
        </is>
      </c>
      <c r="AP232" s="14" t="inlineStr">
        <is>
          <t>3ea7658c0a4d6dc7a7cd</t>
        </is>
      </c>
      <c r="AQ232" s="14" t="n">
        <v>0.25</v>
      </c>
      <c r="AR232" s="14" t="n">
        <v>0.82</v>
      </c>
      <c r="AS232" s="14" t="n">
        <v>-0.25</v>
      </c>
      <c r="AT232" s="14" t="n">
        <v>0.25</v>
      </c>
      <c r="AU232" s="14" t="n">
        <v>0.88</v>
      </c>
      <c r="AV232" s="14" t="n">
        <v>0.82</v>
      </c>
      <c r="AW232" s="14" t="inlineStr">
        <is>
          <t>2026-10-04T09:58:08.993953+08:00</t>
        </is>
      </c>
      <c r="AX232" s="14" t="inlineStr">
        <is>
          <t>Titan007 Next</t>
        </is>
      </c>
      <c r="AY232" s="14" t="inlineStr">
        <is>
          <t>V4 Shadow Only；real_money=false；新增冻结记录</t>
        </is>
      </c>
    </row>
    <row r="233" ht="22" customHeight="1" s="39">
      <c r="A233" s="14" t="inlineStr">
        <is>
          <t>2026-10-04</t>
        </is>
      </c>
      <c r="B233" s="14" t="inlineStr">
        <is>
          <t>2026-10-04 22:00:00</t>
        </is>
      </c>
      <c r="C233" s="14" t="inlineStr">
        <is>
          <t>CLUB_LEAGUE</t>
        </is>
      </c>
      <c r="D233" s="14" t="inlineStr">
        <is>
          <t>联赛</t>
        </is>
      </c>
      <c r="E233" s="14" t="inlineStr">
        <is>
          <t>北爱超</t>
        </is>
      </c>
      <c r="F233" s="14" t="inlineStr">
        <is>
          <t>FC宾高 vs 科尔雷恩</t>
        </is>
      </c>
      <c r="G233" s="26" t="n">
        <v>0.9399999999999999</v>
      </c>
      <c r="H233" s="26" t="n">
        <v>1.75</v>
      </c>
      <c r="I233" s="26" t="n">
        <v>0.76</v>
      </c>
      <c r="J233" s="26" t="inlineStr">
        <is>
          <t>0.94/1.75/0.76</t>
        </is>
      </c>
      <c r="K233" s="14" t="inlineStr">
        <is>
          <t>V4-B｜EV 0.9393893643219539</t>
        </is>
      </c>
      <c r="L233" s="14" t="inlineStr">
        <is>
          <t>FC宾高</t>
        </is>
      </c>
      <c r="M233" s="47" t="n">
        <v>0.9995809357366855</v>
      </c>
      <c r="N233" s="14" t="inlineStr">
        <is>
          <t>V4纸面入选-B</t>
        </is>
      </c>
      <c r="O233" s="14" t="inlineStr">
        <is>
          <t>2-3</t>
        </is>
      </c>
      <c r="P233" s="14" t="inlineStr">
        <is>
          <t>已结算</t>
        </is>
      </c>
      <c r="Q233" s="14" t="inlineStr">
        <is>
          <t>红</t>
        </is>
      </c>
      <c r="R233" s="48" t="n">
        <v>0.9399999999999999</v>
      </c>
      <c r="S233" s="48" t="n">
        <v>0.47</v>
      </c>
      <c r="T233" s="14" t="inlineStr">
        <is>
          <t>D:\codex\v3_legacy\outputs\football_odds_trader\raw\titan007\20261004\20261004_135431_titan007_odds_snapshot.csv</t>
        </is>
      </c>
      <c r="U233" s="14">
        <f>IF(Q233="","",IF(Q233="待结算","待结算",IF(Q233="红","黑",IF(Q233="半红","半黑",IF(Q233="走","走",IF(Q233="半黑","半红","红"))))))</f>
        <v/>
      </c>
      <c r="V233" s="48">
        <f>IF(OR(U233="",U233="待结算"),"",IF(L233=LEFT(F233,FIND(" vs ",F233)-1),I233,G233))</f>
        <v/>
      </c>
      <c r="W233" s="48">
        <f>IF(OR(U233="",U233="待结算"),"",IF(U233="红",V233,IF(U233="半红",V233*0.5,IF(U233="走",0,IF(U233="半黑",-0.5,-1)))))</f>
        <v/>
      </c>
      <c r="X233" s="14" t="inlineStr">
        <is>
          <t>3011613</t>
        </is>
      </c>
      <c r="Y233" s="14" t="inlineStr">
        <is>
          <t>V4</t>
        </is>
      </c>
      <c r="Z233" s="14" t="inlineStr">
        <is>
          <t>prior-2026-10-04-v1</t>
        </is>
      </c>
      <c r="AA233" s="14" t="inlineStr">
        <is>
          <t>B</t>
        </is>
      </c>
      <c r="AB233" s="14" t="n">
        <v>0.9995809357366855</v>
      </c>
      <c r="AC233" s="14" t="n">
        <v>0</v>
      </c>
      <c r="AD233" s="14" t="n">
        <v>0</v>
      </c>
      <c r="AE233" s="14" t="n">
        <v>0.0004046979855681713</v>
      </c>
      <c r="AF233" s="14" t="n">
        <v>1.436627774642869e-05</v>
      </c>
      <c r="AG233" s="14" t="n">
        <v>0.9393893643219539</v>
      </c>
      <c r="AH233" s="14" t="n"/>
      <c r="AI233" s="14" t="n"/>
      <c r="AJ233" s="14" t="n">
        <v>0.9393893643219539</v>
      </c>
      <c r="AK233" s="14" t="n"/>
      <c r="AL233" s="14" t="n"/>
      <c r="AM233" s="14" t="n"/>
      <c r="AN233" s="14" t="inlineStr">
        <is>
          <t>EVALUATED</t>
        </is>
      </c>
      <c r="AO233" s="14" t="inlineStr">
        <is>
          <t>RECEIVING_VALIDATED_EDGE;BUCKET_PRIOR_ONLY;INTENT_INTERPRETATION_ONLY;FFL_OPTIONAL;EXPERT_MARKET</t>
        </is>
      </c>
      <c r="AP233" s="14" t="inlineStr">
        <is>
          <t>0e753b08298a18cd83f9</t>
        </is>
      </c>
      <c r="AQ233" s="14" t="n">
        <v>1.75</v>
      </c>
      <c r="AR233" s="14" t="n">
        <v>0.9399999999999999</v>
      </c>
      <c r="AS233" s="14" t="n">
        <v>-1.75</v>
      </c>
      <c r="AT233" s="14" t="n">
        <v>1.75</v>
      </c>
      <c r="AU233" s="14" t="n">
        <v>0.76</v>
      </c>
      <c r="AV233" s="14" t="n">
        <v>0.9399999999999999</v>
      </c>
      <c r="AW233" s="14" t="inlineStr">
        <is>
          <t>2026-10-04T09:58:08.993953+08:00</t>
        </is>
      </c>
      <c r="AX233" s="14" t="inlineStr">
        <is>
          <t>Titan007 Next</t>
        </is>
      </c>
      <c r="AY233" s="14" t="inlineStr">
        <is>
          <t>V4 Shadow Only；real_money=false；新增冻结记录</t>
        </is>
      </c>
    </row>
    <row r="234" ht="22" customHeight="1" s="39">
      <c r="A234" s="14" t="inlineStr">
        <is>
          <t>2026-10-04</t>
        </is>
      </c>
      <c r="B234" s="14" t="inlineStr">
        <is>
          <t>2026-10-04 22:00:00</t>
        </is>
      </c>
      <c r="C234" s="14" t="inlineStr">
        <is>
          <t>CLUB_LEAGUE</t>
        </is>
      </c>
      <c r="D234" s="14" t="inlineStr">
        <is>
          <t>联赛</t>
        </is>
      </c>
      <c r="E234" s="14" t="inlineStr">
        <is>
          <t>捷丙</t>
        </is>
      </c>
      <c r="F234" s="14" t="inlineStr">
        <is>
          <t>布拉格斯拉维亚C队 vs 波夫塔维</t>
        </is>
      </c>
      <c r="G234" s="26" t="n">
        <v>0.95</v>
      </c>
      <c r="H234" s="26" t="n">
        <v>-1</v>
      </c>
      <c r="I234" s="26" t="n">
        <v>0.75</v>
      </c>
      <c r="J234" s="26" t="inlineStr">
        <is>
          <t>0.95/-1.0/0.75</t>
        </is>
      </c>
      <c r="K234" s="14" t="inlineStr">
        <is>
          <t>V4-B｜EV 0.18542347417007132</t>
        </is>
      </c>
      <c r="L234" s="14" t="inlineStr">
        <is>
          <t>布拉格斯拉维亚C队</t>
        </is>
      </c>
      <c r="M234" s="47" t="n">
        <v>0.4789083132028273</v>
      </c>
      <c r="N234" s="14" t="inlineStr">
        <is>
          <t>V4纸面入选-B</t>
        </is>
      </c>
      <c r="O234" s="14" t="inlineStr">
        <is>
          <t>4-0</t>
        </is>
      </c>
      <c r="P234" s="14" t="inlineStr">
        <is>
          <t>已结算</t>
        </is>
      </c>
      <c r="Q234" s="14" t="inlineStr">
        <is>
          <t>红</t>
        </is>
      </c>
      <c r="R234" s="48" t="n">
        <v>0.95</v>
      </c>
      <c r="S234" s="48" t="n">
        <v>0.475</v>
      </c>
      <c r="T234" s="14" t="inlineStr">
        <is>
          <t>D:\codex\v3_legacy\outputs\football_odds_trader\raw\titan007\20261004\20261004_135431_titan007_odds_snapshot.csv</t>
        </is>
      </c>
      <c r="U234" s="14">
        <f>IF(Q234="","",IF(Q234="待结算","待结算",IF(Q234="红","黑",IF(Q234="半红","半黑",IF(Q234="走","走",IF(Q234="半黑","半红","红"))))))</f>
        <v/>
      </c>
      <c r="V234" s="48">
        <f>IF(OR(U234="",U234="待结算"),"",IF(L234=LEFT(F234,FIND(" vs ",F234)-1),I234,G234))</f>
        <v/>
      </c>
      <c r="W234" s="48">
        <f>IF(OR(U234="",U234="待结算"),"",IF(U234="红",V234,IF(U234="半红",V234*0.5,IF(U234="走",0,IF(U234="半黑",-0.5,-1)))))</f>
        <v/>
      </c>
      <c r="X234" s="14" t="inlineStr">
        <is>
          <t>3009396</t>
        </is>
      </c>
      <c r="Y234" s="14" t="inlineStr">
        <is>
          <t>V4</t>
        </is>
      </c>
      <c r="Z234" s="14" t="inlineStr">
        <is>
          <t>prior-2026-10-04-v1</t>
        </is>
      </c>
      <c r="AA234" s="14" t="inlineStr">
        <is>
          <t>B</t>
        </is>
      </c>
      <c r="AB234" s="14" t="n">
        <v>0.4789083132028273</v>
      </c>
      <c r="AC234" s="14" t="n">
        <v>0</v>
      </c>
      <c r="AD234" s="14" t="n">
        <v>0.251552263424558</v>
      </c>
      <c r="AE234" s="14" t="n">
        <v>0</v>
      </c>
      <c r="AF234" s="14" t="n">
        <v>0.2695394233726146</v>
      </c>
      <c r="AG234" s="14" t="n">
        <v>0.1854234741700713</v>
      </c>
      <c r="AH234" s="14" t="n"/>
      <c r="AI234" s="14" t="n"/>
      <c r="AJ234" s="14" t="n">
        <v>0.1854234741700713</v>
      </c>
      <c r="AK234" s="14" t="n"/>
      <c r="AL234" s="14" t="n"/>
      <c r="AM234" s="14" t="n"/>
      <c r="AN234" s="14" t="inlineStr">
        <is>
          <t>EVALUATED</t>
        </is>
      </c>
      <c r="AO234" s="14" t="inlineStr">
        <is>
          <t>GIVING_VALIDATED_EDGE;BUCKET_PRIOR_ONLY;INTENT_INTERPRETATION_ONLY;FFL_OPTIONAL;EXPERT_MARKET</t>
        </is>
      </c>
      <c r="AP234" s="14" t="inlineStr">
        <is>
          <t>801b2880ceff768b73e8</t>
        </is>
      </c>
      <c r="AQ234" s="14" t="n">
        <v>-1</v>
      </c>
      <c r="AR234" s="14" t="n">
        <v>0.95</v>
      </c>
      <c r="AS234" s="14" t="n">
        <v>-1</v>
      </c>
      <c r="AT234" s="14" t="n">
        <v>1</v>
      </c>
      <c r="AU234" s="14" t="n">
        <v>0.95</v>
      </c>
      <c r="AV234" s="14" t="n">
        <v>0.75</v>
      </c>
      <c r="AW234" s="14" t="inlineStr">
        <is>
          <t>2026-10-04T09:58:08.993953+08:00</t>
        </is>
      </c>
      <c r="AX234" s="14" t="inlineStr">
        <is>
          <t>Titan007 Next</t>
        </is>
      </c>
      <c r="AY234" s="14" t="inlineStr">
        <is>
          <t>V4 Shadow Only；real_money=false；新增冻结记录</t>
        </is>
      </c>
    </row>
    <row r="235" ht="22" customHeight="1" s="39">
      <c r="A235" s="14" t="inlineStr">
        <is>
          <t>2026-10-04</t>
        </is>
      </c>
      <c r="B235" s="14" t="inlineStr">
        <is>
          <t>2026-10-04 22:00:00</t>
        </is>
      </c>
      <c r="C235" s="14" t="inlineStr">
        <is>
          <t>CLUB_LEAGUE</t>
        </is>
      </c>
      <c r="D235" s="14" t="inlineStr">
        <is>
          <t>联赛</t>
        </is>
      </c>
      <c r="E235" s="14" t="inlineStr">
        <is>
          <t>捷丙</t>
        </is>
      </c>
      <c r="F235" s="14" t="inlineStr">
        <is>
          <t>索科尔布洛赞尼 vs 索史尔扎普</t>
        </is>
      </c>
      <c r="G235" s="26" t="n">
        <v>0.9399999999999999</v>
      </c>
      <c r="H235" s="26" t="n">
        <v>1</v>
      </c>
      <c r="I235" s="26" t="n">
        <v>0.76</v>
      </c>
      <c r="J235" s="26" t="inlineStr">
        <is>
          <t>0.94/1.0/0.76</t>
        </is>
      </c>
      <c r="K235" s="14" t="inlineStr">
        <is>
          <t>V4-B｜EV 0.8058100220613058</t>
        </is>
      </c>
      <c r="L235" s="14" t="inlineStr">
        <is>
          <t>索科尔布洛赞尼</t>
        </is>
      </c>
      <c r="M235" s="47" t="n">
        <v>0.8875405357224991</v>
      </c>
      <c r="N235" s="14" t="inlineStr">
        <is>
          <t>V4纸面入选-B</t>
        </is>
      </c>
      <c r="O235" s="14" t="inlineStr">
        <is>
          <t>0-0</t>
        </is>
      </c>
      <c r="P235" s="14" t="inlineStr">
        <is>
          <t>已结算</t>
        </is>
      </c>
      <c r="Q235" s="14" t="inlineStr">
        <is>
          <t>红</t>
        </is>
      </c>
      <c r="R235" s="48" t="n">
        <v>0.9399999999999999</v>
      </c>
      <c r="S235" s="48" t="n">
        <v>0.47</v>
      </c>
      <c r="T235" s="14" t="inlineStr">
        <is>
          <t>D:\codex\v3_legacy\outputs\football_odds_trader\raw\titan007\20261004\20261004_135431_titan007_odds_snapshot.csv</t>
        </is>
      </c>
      <c r="U235" s="14">
        <f>IF(Q235="","",IF(Q235="待结算","待结算",IF(Q235="红","黑",IF(Q235="半红","半黑",IF(Q235="走","走",IF(Q235="半黑","半红","红"))))))</f>
        <v/>
      </c>
      <c r="V235" s="48">
        <f>IF(OR(U235="",U235="待结算"),"",IF(L235=LEFT(F235,FIND(" vs ",F235)-1),I235,G235))</f>
        <v/>
      </c>
      <c r="W235" s="48">
        <f>IF(OR(U235="",U235="待结算"),"",IF(U235="红",V235,IF(U235="半红",V235*0.5,IF(U235="走",0,IF(U235="半黑",-0.5,-1)))))</f>
        <v/>
      </c>
      <c r="X235" s="14" t="inlineStr">
        <is>
          <t>3009512</t>
        </is>
      </c>
      <c r="Y235" s="14" t="inlineStr">
        <is>
          <t>V4</t>
        </is>
      </c>
      <c r="Z235" s="14" t="inlineStr">
        <is>
          <t>prior-2026-10-04-v1</t>
        </is>
      </c>
      <c r="AA235" s="14" t="inlineStr">
        <is>
          <t>B</t>
        </is>
      </c>
      <c r="AB235" s="14" t="n">
        <v>0.8875405357224991</v>
      </c>
      <c r="AC235" s="14" t="n">
        <v>0</v>
      </c>
      <c r="AD235" s="14" t="n">
        <v>0.08398138275965765</v>
      </c>
      <c r="AE235" s="14" t="n">
        <v>0</v>
      </c>
      <c r="AF235" s="14" t="n">
        <v>0.02847808151784332</v>
      </c>
      <c r="AG235" s="14" t="n">
        <v>0.8058100220613058</v>
      </c>
      <c r="AH235" s="14" t="n"/>
      <c r="AI235" s="14" t="n"/>
      <c r="AJ235" s="14" t="n">
        <v>0.8058100220613058</v>
      </c>
      <c r="AK235" s="14" t="n"/>
      <c r="AL235" s="14" t="n"/>
      <c r="AM235" s="14" t="n"/>
      <c r="AN235" s="14" t="inlineStr">
        <is>
          <t>EVALUATED</t>
        </is>
      </c>
      <c r="AO235" s="14" t="inlineStr">
        <is>
          <t>RECEIVING_VALIDATED_EDGE;BUCKET_PRIOR_ONLY;INTENT_INTERPRETATION_ONLY;FFL_OPTIONAL;EXPERT_MARKET</t>
        </is>
      </c>
      <c r="AP235" s="14" t="inlineStr">
        <is>
          <t>4251d4ba4615aed76d1c</t>
        </is>
      </c>
      <c r="AQ235" s="14" t="n">
        <v>1</v>
      </c>
      <c r="AR235" s="14" t="n">
        <v>0.9399999999999999</v>
      </c>
      <c r="AS235" s="14" t="n">
        <v>-1</v>
      </c>
      <c r="AT235" s="14" t="n">
        <v>1</v>
      </c>
      <c r="AU235" s="14" t="n">
        <v>0.76</v>
      </c>
      <c r="AV235" s="14" t="n">
        <v>0.9399999999999999</v>
      </c>
      <c r="AW235" s="14" t="inlineStr">
        <is>
          <t>2026-10-04T09:58:08.993953+08:00</t>
        </is>
      </c>
      <c r="AX235" s="14" t="inlineStr">
        <is>
          <t>Titan007 Next</t>
        </is>
      </c>
      <c r="AY235" s="14" t="inlineStr">
        <is>
          <t>V4 Shadow Only；real_money=false；新增冻结记录</t>
        </is>
      </c>
    </row>
    <row r="236" ht="22" customHeight="1" s="39">
      <c r="A236" s="14" t="inlineStr">
        <is>
          <t>2026-10-04</t>
        </is>
      </c>
      <c r="B236" s="14" t="inlineStr">
        <is>
          <t>2026-10-04 22:00:00</t>
        </is>
      </c>
      <c r="C236" s="14" t="inlineStr">
        <is>
          <t>CLUB_LEAGUE</t>
        </is>
      </c>
      <c r="D236" s="14" t="inlineStr">
        <is>
          <t>联赛</t>
        </is>
      </c>
      <c r="E236" s="14" t="inlineStr">
        <is>
          <t>捷丙</t>
        </is>
      </c>
      <c r="F236" s="14" t="inlineStr">
        <is>
          <t>泽尼特卡斯拉夫 vs 韦尔科哈姆雷</t>
        </is>
      </c>
      <c r="G236" s="26" t="n">
        <v>0.76</v>
      </c>
      <c r="H236" s="26" t="n">
        <v>-0.5</v>
      </c>
      <c r="I236" s="26" t="n">
        <v>0.9399999999999999</v>
      </c>
      <c r="J236" s="26" t="inlineStr">
        <is>
          <t>0.76/-0.5/0.94</t>
        </is>
      </c>
      <c r="K236" s="14" t="inlineStr">
        <is>
          <t>V4-C｜EV 0.06493734699334625</t>
        </is>
      </c>
      <c r="L236" s="14" t="inlineStr">
        <is>
          <t>泽尼特卡斯拉夫</t>
        </is>
      </c>
      <c r="M236" s="47" t="n">
        <v>0.6050780380644013</v>
      </c>
      <c r="N236" s="14" t="inlineStr">
        <is>
          <t>V4纸面入选-C</t>
        </is>
      </c>
      <c r="O236" s="14" t="inlineStr">
        <is>
          <t>2-1</t>
        </is>
      </c>
      <c r="P236" s="14" t="inlineStr">
        <is>
          <t>已结算</t>
        </is>
      </c>
      <c r="Q236" s="14" t="inlineStr">
        <is>
          <t>红</t>
        </is>
      </c>
      <c r="R236" s="48" t="n">
        <v>0.76</v>
      </c>
      <c r="S236" s="48" t="n">
        <v>0.38</v>
      </c>
      <c r="T236" s="14" t="inlineStr">
        <is>
          <t>D:\codex\v3_legacy\outputs\football_odds_trader\raw\titan007\20261004\20261004_135431_titan007_odds_snapshot.csv</t>
        </is>
      </c>
      <c r="U236" s="14">
        <f>IF(Q236="","",IF(Q236="待结算","待结算",IF(Q236="红","黑",IF(Q236="半红","半黑",IF(Q236="走","走",IF(Q236="半黑","半红","红"))))))</f>
        <v/>
      </c>
      <c r="V236" s="48">
        <f>IF(OR(U236="",U236="待结算"),"",IF(L236=LEFT(F236,FIND(" vs ",F236)-1),I236,G236))</f>
        <v/>
      </c>
      <c r="W236" s="48">
        <f>IF(OR(U236="",U236="待结算"),"",IF(U236="红",V236,IF(U236="半红",V236*0.5,IF(U236="走",0,IF(U236="半黑",-0.5,-1)))))</f>
        <v/>
      </c>
      <c r="X236" s="14" t="inlineStr">
        <is>
          <t>3009513</t>
        </is>
      </c>
      <c r="Y236" s="14" t="inlineStr">
        <is>
          <t>V4</t>
        </is>
      </c>
      <c r="Z236" s="14" t="inlineStr">
        <is>
          <t>prior-2026-10-04-v1</t>
        </is>
      </c>
      <c r="AA236" s="14" t="inlineStr">
        <is>
          <t>C</t>
        </is>
      </c>
      <c r="AB236" s="14" t="n">
        <v>0.6050780380644013</v>
      </c>
      <c r="AC236" s="14" t="n">
        <v>0</v>
      </c>
      <c r="AD236" s="14" t="n">
        <v>0</v>
      </c>
      <c r="AE236" s="14" t="n">
        <v>0</v>
      </c>
      <c r="AF236" s="14" t="n">
        <v>0.3949219619355988</v>
      </c>
      <c r="AG236" s="14" t="n">
        <v>0.06493734699334625</v>
      </c>
      <c r="AH236" s="14" t="n"/>
      <c r="AI236" s="14" t="n"/>
      <c r="AJ236" s="14" t="n">
        <v>0.06493734699334625</v>
      </c>
      <c r="AK236" s="14" t="n"/>
      <c r="AL236" s="14" t="n"/>
      <c r="AM236" s="14" t="n"/>
      <c r="AN236" s="14" t="inlineStr">
        <is>
          <t>EVALUATED</t>
        </is>
      </c>
      <c r="AO236" s="14" t="inlineStr">
        <is>
          <t>GIVING_VALIDATED_EDGE;BUCKET_PRIOR_ONLY;INTENT_INTERPRETATION_ONLY;FFL_OPTIONAL;EXPERT_MARKET</t>
        </is>
      </c>
      <c r="AP236" s="14" t="inlineStr">
        <is>
          <t>595694edc54383cd4a29</t>
        </is>
      </c>
      <c r="AQ236" s="14" t="n">
        <v>-0.5</v>
      </c>
      <c r="AR236" s="14" t="n">
        <v>0.76</v>
      </c>
      <c r="AS236" s="14" t="n">
        <v>-0.5</v>
      </c>
      <c r="AT236" s="14" t="n">
        <v>0.5</v>
      </c>
      <c r="AU236" s="14" t="n">
        <v>0.76</v>
      </c>
      <c r="AV236" s="14" t="n">
        <v>0.9399999999999999</v>
      </c>
      <c r="AW236" s="14" t="inlineStr">
        <is>
          <t>2026-10-04T09:58:08.993953+08:00</t>
        </is>
      </c>
      <c r="AX236" s="14" t="inlineStr">
        <is>
          <t>Titan007 Next</t>
        </is>
      </c>
      <c r="AY236" s="14" t="inlineStr">
        <is>
          <t>V4 Shadow Only；real_money=false；新增冻结记录</t>
        </is>
      </c>
    </row>
    <row r="237" ht="22" customHeight="1" s="39">
      <c r="A237" s="14" t="inlineStr">
        <is>
          <t>2026-10-04</t>
        </is>
      </c>
      <c r="B237" s="14" t="inlineStr">
        <is>
          <t>2026-10-04 22:00:00</t>
        </is>
      </c>
      <c r="C237" s="14" t="inlineStr">
        <is>
          <t>UNKNOWN</t>
        </is>
      </c>
      <c r="D237" s="14" t="inlineStr">
        <is>
          <t>联赛</t>
        </is>
      </c>
      <c r="E237" s="14" t="inlineStr">
        <is>
          <t>西丁</t>
        </is>
      </c>
      <c r="F237" s="14" t="inlineStr">
        <is>
          <t>莱万特体育会 vs 克维伦特</t>
        </is>
      </c>
      <c r="G237" s="26" t="n">
        <v>0.77</v>
      </c>
      <c r="H237" s="26" t="n">
        <v>-0.75</v>
      </c>
      <c r="I237" s="26" t="n">
        <v>0.93</v>
      </c>
      <c r="J237" s="26" t="inlineStr">
        <is>
          <t>0.77/-0.75/0.93</t>
        </is>
      </c>
      <c r="K237" s="14" t="inlineStr">
        <is>
          <t>V4-C｜EV 0.10074318979696217</t>
        </is>
      </c>
      <c r="L237" s="14" t="inlineStr">
        <is>
          <t>莱万特体育会</t>
        </is>
      </c>
      <c r="M237" s="47" t="n">
        <v>0.5492789194393568</v>
      </c>
      <c r="N237" s="14" t="inlineStr">
        <is>
          <t>V4纸面入选-C</t>
        </is>
      </c>
      <c r="O237" s="14" t="inlineStr">
        <is>
          <t>0-0</t>
        </is>
      </c>
      <c r="P237" s="14" t="inlineStr">
        <is>
          <t>已结算</t>
        </is>
      </c>
      <c r="Q237" s="14" t="inlineStr">
        <is>
          <t>红半</t>
        </is>
      </c>
      <c r="R237" s="48" t="n">
        <v>0.77</v>
      </c>
      <c r="S237" s="48" t="n">
        <v>0.385</v>
      </c>
      <c r="T237" s="14" t="inlineStr">
        <is>
          <t>D:\codex\v3_legacy\outputs\football_odds_trader\raw\titan007\20261004\20261004_135431_titan007_odds_snapshot.csv</t>
        </is>
      </c>
      <c r="U237" s="14">
        <f>IF(Q237="","",IF(Q237="待结算","待结算",IF(Q237="红","黑",IF(Q237="半红","半黑",IF(Q237="走","走",IF(Q237="半黑","半红","红"))))))</f>
        <v/>
      </c>
      <c r="V237" s="48">
        <f>IF(OR(U237="",U237="待结算"),"",IF(L237=LEFT(F237,FIND(" vs ",F237)-1),I237,G237))</f>
        <v/>
      </c>
      <c r="W237" s="48">
        <f>IF(OR(U237="",U237="待结算"),"",IF(U237="红",V237,IF(U237="半红",V237*0.5,IF(U237="走",0,IF(U237="半黑",-0.5,-1)))))</f>
        <v/>
      </c>
      <c r="X237" s="14" t="inlineStr">
        <is>
          <t>3079930</t>
        </is>
      </c>
      <c r="Y237" s="14" t="inlineStr">
        <is>
          <t>V4</t>
        </is>
      </c>
      <c r="Z237" s="14" t="inlineStr">
        <is>
          <t>prior-2026-10-04-v1</t>
        </is>
      </c>
      <c r="AA237" s="14" t="inlineStr">
        <is>
          <t>C</t>
        </is>
      </c>
      <c r="AB237" s="14" t="n">
        <v>0.420759417050056</v>
      </c>
      <c r="AC237" s="14" t="n">
        <v>0.2570390047786015</v>
      </c>
      <c r="AD237" s="14" t="n">
        <v>0</v>
      </c>
      <c r="AE237" s="14" t="n">
        <v>0</v>
      </c>
      <c r="AF237" s="14" t="n">
        <v>0.3222015781713425</v>
      </c>
      <c r="AG237" s="14" t="n">
        <v>0.1007431897969622</v>
      </c>
      <c r="AH237" s="14" t="n"/>
      <c r="AI237" s="14" t="n"/>
      <c r="AJ237" s="14" t="n">
        <v>0.1007431897969622</v>
      </c>
      <c r="AK237" s="14" t="n"/>
      <c r="AL237" s="14" t="n"/>
      <c r="AM237" s="14" t="n"/>
      <c r="AN237" s="14" t="inlineStr">
        <is>
          <t>EVALUATED</t>
        </is>
      </c>
      <c r="AO237" s="14" t="inlineStr">
        <is>
          <t>GIVING_VALIDATED_EDGE;BUCKET_PRIOR_ONLY;INTENT_INTERPRETATION_ONLY;FFL_OPTIONAL;EXPERT_MARKET</t>
        </is>
      </c>
      <c r="AP237" s="14" t="inlineStr">
        <is>
          <t>7dd95df492bf50b34750</t>
        </is>
      </c>
      <c r="AQ237" s="14" t="n">
        <v>-0.75</v>
      </c>
      <c r="AR237" s="14" t="n">
        <v>0.77</v>
      </c>
      <c r="AS237" s="14" t="n">
        <v>-0.75</v>
      </c>
      <c r="AT237" s="14" t="n">
        <v>0.75</v>
      </c>
      <c r="AU237" s="14" t="n">
        <v>0.77</v>
      </c>
      <c r="AV237" s="14" t="n">
        <v>0.93</v>
      </c>
      <c r="AW237" s="14" t="inlineStr">
        <is>
          <t>2026-10-04T09:58:08.993953+08:00</t>
        </is>
      </c>
      <c r="AX237" s="14" t="inlineStr">
        <is>
          <t>Titan007 Next</t>
        </is>
      </c>
      <c r="AY237" s="14" t="inlineStr">
        <is>
          <t>V4 Shadow Only；real_money=false；新增冻结记录</t>
        </is>
      </c>
    </row>
    <row r="238" ht="22" customHeight="1" s="39">
      <c r="A238" s="14" t="inlineStr">
        <is>
          <t>2026-10-04</t>
        </is>
      </c>
      <c r="B238" s="14" t="inlineStr">
        <is>
          <t>2026-10-04 22:15:00</t>
        </is>
      </c>
      <c r="C238" s="14" t="inlineStr">
        <is>
          <t>CLUB_LEAGUE</t>
        </is>
      </c>
      <c r="D238" s="14" t="inlineStr">
        <is>
          <t>联赛</t>
        </is>
      </c>
      <c r="E238" s="14" t="inlineStr">
        <is>
          <t>西乙</t>
        </is>
      </c>
      <c r="F238" s="14" t="inlineStr">
        <is>
          <t>希洪竞技 vs 塞尔塔B队</t>
        </is>
      </c>
      <c r="G238" s="26" t="n">
        <v>0.96</v>
      </c>
      <c r="H238" s="26" t="n">
        <v>-1</v>
      </c>
      <c r="I238" s="26" t="n">
        <v>0.92</v>
      </c>
      <c r="J238" s="26" t="inlineStr">
        <is>
          <t>0.96/-1.0/0.92</t>
        </is>
      </c>
      <c r="K238" s="14" t="inlineStr">
        <is>
          <t>V4-B｜EV 0.16373410583510434</t>
        </is>
      </c>
      <c r="L238" s="14" t="inlineStr">
        <is>
          <t>希洪竞技</t>
        </is>
      </c>
      <c r="M238" s="47" t="n">
        <v>0.4639867510453507</v>
      </c>
      <c r="N238" s="14" t="inlineStr">
        <is>
          <t>V4纸面入选-B</t>
        </is>
      </c>
      <c r="O238" s="14" t="inlineStr">
        <is>
          <t>3-2</t>
        </is>
      </c>
      <c r="P238" s="14" t="inlineStr">
        <is>
          <t>已结算</t>
        </is>
      </c>
      <c r="Q238" s="14" t="inlineStr">
        <is>
          <t>走</t>
        </is>
      </c>
      <c r="R238" s="48" t="n">
        <v>0.96</v>
      </c>
      <c r="S238" s="48" t="n">
        <v>0.48</v>
      </c>
      <c r="T238" s="14" t="inlineStr">
        <is>
          <t>D:\codex\v3_legacy\outputs\football_odds_trader\raw\titan007\20261004\20261004_135431_titan007_odds_snapshot.csv</t>
        </is>
      </c>
      <c r="U238" s="14">
        <f>IF(Q238="","",IF(Q238="待结算","待结算",IF(Q238="红","黑",IF(Q238="半红","半黑",IF(Q238="走","走",IF(Q238="半黑","半红","红"))))))</f>
        <v/>
      </c>
      <c r="V238" s="48">
        <f>IF(OR(U238="",U238="待结算"),"",IF(L238=LEFT(F238,FIND(" vs ",F238)-1),I238,G238))</f>
        <v/>
      </c>
      <c r="W238" s="48">
        <f>IF(OR(U238="",U238="待结算"),"",IF(U238="红",V238,IF(U238="半红",V238*0.5,IF(U238="走",0,IF(U238="半黑",-0.5,-1)))))</f>
        <v/>
      </c>
      <c r="X238" s="14" t="inlineStr">
        <is>
          <t>3014108</t>
        </is>
      </c>
      <c r="Y238" s="14" t="inlineStr">
        <is>
          <t>V4</t>
        </is>
      </c>
      <c r="Z238" s="14" t="inlineStr">
        <is>
          <t>prior-2026-10-04-v1</t>
        </is>
      </c>
      <c r="AA238" s="14" t="inlineStr">
        <is>
          <t>B</t>
        </is>
      </c>
      <c r="AB238" s="14" t="n">
        <v>0.4639867510453507</v>
      </c>
      <c r="AC238" s="14" t="n">
        <v>0</v>
      </c>
      <c r="AD238" s="14" t="n">
        <v>0.254320073786217</v>
      </c>
      <c r="AE238" s="14" t="n">
        <v>0</v>
      </c>
      <c r="AF238" s="14" t="n">
        <v>0.2816931751684323</v>
      </c>
      <c r="AG238" s="14" t="n">
        <v>0.1637341058351043</v>
      </c>
      <c r="AH238" s="14" t="n"/>
      <c r="AI238" s="14" t="n"/>
      <c r="AJ238" s="14" t="n">
        <v>0.1637341058351043</v>
      </c>
      <c r="AK238" s="14" t="n"/>
      <c r="AL238" s="14" t="n"/>
      <c r="AM238" s="14" t="n"/>
      <c r="AN238" s="14" t="inlineStr">
        <is>
          <t>EVALUATED</t>
        </is>
      </c>
      <c r="AO238" s="14" t="inlineStr">
        <is>
          <t>GIVING_VALIDATED_EDGE;BUCKET_PRIOR_ONLY;INTENT_INTERPRETATION_ONLY;FFL_OPTIONAL;EXPERT_MARKET</t>
        </is>
      </c>
      <c r="AP238" s="14" t="inlineStr">
        <is>
          <t>80d8d3a698a8e5e89796</t>
        </is>
      </c>
      <c r="AQ238" s="14" t="n">
        <v>-1</v>
      </c>
      <c r="AR238" s="14" t="n">
        <v>0.96</v>
      </c>
      <c r="AS238" s="14" t="n">
        <v>-1</v>
      </c>
      <c r="AT238" s="14" t="n">
        <v>1</v>
      </c>
      <c r="AU238" s="14" t="n">
        <v>0.96</v>
      </c>
      <c r="AV238" s="14" t="n">
        <v>0.92</v>
      </c>
      <c r="AW238" s="14" t="inlineStr">
        <is>
          <t>2026-10-04T09:58:08.993953+08:00</t>
        </is>
      </c>
      <c r="AX238" s="14" t="inlineStr">
        <is>
          <t>Titan007 Next</t>
        </is>
      </c>
      <c r="AY238" s="14" t="inlineStr">
        <is>
          <t>V4 Shadow Only；real_money=false；新增冻结记录</t>
        </is>
      </c>
    </row>
    <row r="239" ht="22" customHeight="1" s="39">
      <c r="A239" s="14" t="inlineStr">
        <is>
          <t>2026-10-04</t>
        </is>
      </c>
      <c r="B239" s="14" t="inlineStr">
        <is>
          <t>2026-10-04 22:30:00</t>
        </is>
      </c>
      <c r="C239" s="14" t="inlineStr">
        <is>
          <t>CLUB_LEAGUE</t>
        </is>
      </c>
      <c r="D239" s="14" t="inlineStr">
        <is>
          <t>联赛</t>
        </is>
      </c>
      <c r="E239" s="14" t="inlineStr">
        <is>
          <t>西协甲</t>
        </is>
      </c>
      <c r="F239" s="14" t="inlineStr">
        <is>
          <t>萨莫拉 vs CD科瑞亚</t>
        </is>
      </c>
      <c r="G239" s="26" t="n">
        <v>0.82</v>
      </c>
      <c r="H239" s="26" t="n">
        <v>-0.75</v>
      </c>
      <c r="I239" s="26" t="n">
        <v>0.88</v>
      </c>
      <c r="J239" s="26" t="inlineStr">
        <is>
          <t>0.82/-0.75/0.88</t>
        </is>
      </c>
      <c r="K239" s="14" t="inlineStr">
        <is>
          <t>V4-C｜EV 0.0639489974859836</t>
        </is>
      </c>
      <c r="L239" s="14" t="inlineStr">
        <is>
          <t>萨莫拉</t>
        </is>
      </c>
      <c r="M239" s="47" t="n">
        <v>0.5139566531636819</v>
      </c>
      <c r="N239" s="14" t="inlineStr">
        <is>
          <t>V4纸面入选-C</t>
        </is>
      </c>
      <c r="O239" s="14" t="inlineStr">
        <is>
          <t>2-0</t>
        </is>
      </c>
      <c r="P239" s="14" t="inlineStr">
        <is>
          <t>已结算</t>
        </is>
      </c>
      <c r="Q239" s="14" t="inlineStr">
        <is>
          <t>红</t>
        </is>
      </c>
      <c r="R239" s="48" t="n">
        <v>0.82</v>
      </c>
      <c r="S239" s="48" t="n">
        <v>0.41</v>
      </c>
      <c r="T239" s="14" t="inlineStr">
        <is>
          <t>D:\codex\v3_legacy\outputs\football_odds_trader\raw\titan007\20261004\20261004_135431_titan007_odds_snapshot.csv</t>
        </is>
      </c>
      <c r="U239" s="14">
        <f>IF(Q239="","",IF(Q239="待结算","待结算",IF(Q239="红","黑",IF(Q239="半红","半黑",IF(Q239="走","走",IF(Q239="半黑","半红","红"))))))</f>
        <v/>
      </c>
      <c r="V239" s="48">
        <f>IF(OR(U239="",U239="待结算"),"",IF(L239=LEFT(F239,FIND(" vs ",F239)-1),I239,G239))</f>
        <v/>
      </c>
      <c r="W239" s="48">
        <f>IF(OR(U239="",U239="待结算"),"",IF(U239="红",V239,IF(U239="半红",V239*0.5,IF(U239="走",0,IF(U239="半黑",-0.5,-1)))))</f>
        <v/>
      </c>
      <c r="X239" s="14" t="inlineStr">
        <is>
          <t>3014543</t>
        </is>
      </c>
      <c r="Y239" s="14" t="inlineStr">
        <is>
          <t>V4</t>
        </is>
      </c>
      <c r="Z239" s="14" t="inlineStr">
        <is>
          <t>prior-2026-10-04-v1</t>
        </is>
      </c>
      <c r="AA239" s="14" t="inlineStr">
        <is>
          <t>C</t>
        </is>
      </c>
      <c r="AB239" s="14" t="n">
        <v>0.3854087644355992</v>
      </c>
      <c r="AC239" s="14" t="n">
        <v>0.2570957774561654</v>
      </c>
      <c r="AD239" s="14" t="n">
        <v>0</v>
      </c>
      <c r="AE239" s="14" t="n">
        <v>0</v>
      </c>
      <c r="AF239" s="14" t="n">
        <v>0.3574954581082355</v>
      </c>
      <c r="AG239" s="14" t="n">
        <v>0.06394899748598359</v>
      </c>
      <c r="AH239" s="14" t="n"/>
      <c r="AI239" s="14" t="n"/>
      <c r="AJ239" s="14" t="n">
        <v>0.06394899748598359</v>
      </c>
      <c r="AK239" s="14" t="n"/>
      <c r="AL239" s="14" t="n"/>
      <c r="AM239" s="14" t="n"/>
      <c r="AN239" s="14" t="inlineStr">
        <is>
          <t>EVALUATED</t>
        </is>
      </c>
      <c r="AO239" s="14" t="inlineStr">
        <is>
          <t>GIVING_VALIDATED_EDGE;BUCKET_PRIOR_ONLY;INTENT_INTERPRETATION_ONLY;FFL_OPTIONAL;EXPERT_MARKET</t>
        </is>
      </c>
      <c r="AP239" s="14" t="inlineStr">
        <is>
          <t>b1505fdc4c27dfa0a958</t>
        </is>
      </c>
      <c r="AQ239" s="14" t="n">
        <v>-0.75</v>
      </c>
      <c r="AR239" s="14" t="n">
        <v>0.82</v>
      </c>
      <c r="AS239" s="14" t="n">
        <v>-0.75</v>
      </c>
      <c r="AT239" s="14" t="n">
        <v>0.75</v>
      </c>
      <c r="AU239" s="14" t="n">
        <v>0.82</v>
      </c>
      <c r="AV239" s="14" t="n">
        <v>0.88</v>
      </c>
      <c r="AW239" s="14" t="inlineStr">
        <is>
          <t>2026-10-04T09:58:08.993953+08:00</t>
        </is>
      </c>
      <c r="AX239" s="14" t="inlineStr">
        <is>
          <t>Titan007 Next</t>
        </is>
      </c>
      <c r="AY239" s="14" t="inlineStr">
        <is>
          <t>V4 Shadow Only；real_money=false；新增冻结记录</t>
        </is>
      </c>
    </row>
    <row r="240" ht="22" customHeight="1" s="39">
      <c r="A240" s="14" t="inlineStr">
        <is>
          <t>2026-10-04</t>
        </is>
      </c>
      <c r="B240" s="14" t="inlineStr">
        <is>
          <t>2026-10-04 22:45:00</t>
        </is>
      </c>
      <c r="C240" s="14" t="inlineStr">
        <is>
          <t>CLUB_LEAGUE</t>
        </is>
      </c>
      <c r="D240" s="14" t="inlineStr">
        <is>
          <t>联赛</t>
        </is>
      </c>
      <c r="E240" s="14" t="inlineStr">
        <is>
          <t>荷女甲</t>
        </is>
      </c>
      <c r="F240" s="14" t="inlineStr">
        <is>
          <t>ADO海牙女足 vs PSV埃因霍温女足</t>
        </is>
      </c>
      <c r="G240" s="26" t="n">
        <v>0.92</v>
      </c>
      <c r="H240" s="26" t="n">
        <v>2</v>
      </c>
      <c r="I240" s="26" t="n">
        <v>0.78</v>
      </c>
      <c r="J240" s="26" t="inlineStr">
        <is>
          <t>0.92/2.0/0.78</t>
        </is>
      </c>
      <c r="K240" s="14" t="inlineStr">
        <is>
          <t>V4-B｜EV 0.9197995925445844</t>
        </is>
      </c>
      <c r="L240" s="14" t="inlineStr">
        <is>
          <t>ADO海牙女足</t>
        </is>
      </c>
      <c r="M240" s="47" t="n">
        <v>0.9997881585056012</v>
      </c>
      <c r="N240" s="14" t="inlineStr">
        <is>
          <t>V4纸面入选-B</t>
        </is>
      </c>
      <c r="O240" s="14" t="inlineStr">
        <is>
          <t>0-3</t>
        </is>
      </c>
      <c r="P240" s="14" t="inlineStr">
        <is>
          <t>已结算</t>
        </is>
      </c>
      <c r="Q240" s="14" t="inlineStr">
        <is>
          <t>黑</t>
        </is>
      </c>
      <c r="R240" s="48" t="n">
        <v>0.92</v>
      </c>
      <c r="S240" s="48" t="n">
        <v>0.46</v>
      </c>
      <c r="T240" s="14" t="inlineStr">
        <is>
          <t>D:\codex\v3_legacy\outputs\football_odds_trader\raw\titan007\20261004\20261004_135431_titan007_odds_snapshot.csv</t>
        </is>
      </c>
      <c r="U240" s="14">
        <f>IF(Q240="","",IF(Q240="待结算","待结算",IF(Q240="红","黑",IF(Q240="半红","半黑",IF(Q240="走","走",IF(Q240="半黑","半红","红"))))))</f>
        <v/>
      </c>
      <c r="V240" s="48">
        <f>IF(OR(U240="",U240="待结算"),"",IF(L240=LEFT(F240,FIND(" vs ",F240)-1),I240,G240))</f>
        <v/>
      </c>
      <c r="W240" s="48">
        <f>IF(OR(U240="",U240="待结算"),"",IF(U240="红",V240,IF(U240="半红",V240*0.5,IF(U240="走",0,IF(U240="半黑",-0.5,-1)))))</f>
        <v/>
      </c>
      <c r="X240" s="14" t="inlineStr">
        <is>
          <t>3017418</t>
        </is>
      </c>
      <c r="Y240" s="14" t="inlineStr">
        <is>
          <t>V4</t>
        </is>
      </c>
      <c r="Z240" s="14" t="inlineStr">
        <is>
          <t>prior-2026-10-04-v1</t>
        </is>
      </c>
      <c r="AA240" s="14" t="inlineStr">
        <is>
          <t>B</t>
        </is>
      </c>
      <c r="AB240" s="14" t="n">
        <v>0.9997881585056012</v>
      </c>
      <c r="AC240" s="14" t="n">
        <v>0</v>
      </c>
      <c r="AD240" s="14" t="n">
        <v>0.0002063282138301276</v>
      </c>
      <c r="AE240" s="14" t="n">
        <v>0</v>
      </c>
      <c r="AF240" s="14" t="n">
        <v>5.513280568701121e-06</v>
      </c>
      <c r="AG240" s="14" t="n">
        <v>0.9197995925445844</v>
      </c>
      <c r="AH240" s="14" t="n"/>
      <c r="AI240" s="14" t="n"/>
      <c r="AJ240" s="14" t="n">
        <v>0.9197995925445844</v>
      </c>
      <c r="AK240" s="14" t="n"/>
      <c r="AL240" s="14" t="n"/>
      <c r="AM240" s="14" t="n"/>
      <c r="AN240" s="14" t="inlineStr">
        <is>
          <t>EVALUATED</t>
        </is>
      </c>
      <c r="AO240" s="14" t="inlineStr">
        <is>
          <t>RECEIVING_VALIDATED_EDGE;BUCKET_PRIOR_ONLY;INTENT_INTERPRETATION_ONLY;FFL_OPTIONAL;EXPERT_MARKET</t>
        </is>
      </c>
      <c r="AP240" s="14" t="inlineStr">
        <is>
          <t>12df68f2d03fac787de7</t>
        </is>
      </c>
      <c r="AQ240" s="14" t="n">
        <v>2</v>
      </c>
      <c r="AR240" s="14" t="n">
        <v>0.92</v>
      </c>
      <c r="AS240" s="14" t="n">
        <v>-2</v>
      </c>
      <c r="AT240" s="14" t="n">
        <v>2</v>
      </c>
      <c r="AU240" s="14" t="n">
        <v>0.78</v>
      </c>
      <c r="AV240" s="14" t="n">
        <v>0.92</v>
      </c>
      <c r="AW240" s="14" t="inlineStr">
        <is>
          <t>2026-10-04T09:58:08.993953+08:00</t>
        </is>
      </c>
      <c r="AX240" s="14" t="inlineStr">
        <is>
          <t>Titan007 Next</t>
        </is>
      </c>
      <c r="AY240" s="14" t="inlineStr">
        <is>
          <t>V4 Shadow Only；real_money=false；新增冻结记录</t>
        </is>
      </c>
    </row>
    <row r="241" ht="22" customHeight="1" s="39">
      <c r="A241" s="14" t="inlineStr">
        <is>
          <t>2026-10-04</t>
        </is>
      </c>
      <c r="B241" s="14" t="inlineStr">
        <is>
          <t>2026-10-04 22:45:00</t>
        </is>
      </c>
      <c r="C241" s="14" t="inlineStr">
        <is>
          <t>CLUB_LEAGUE</t>
        </is>
      </c>
      <c r="D241" s="14" t="inlineStr">
        <is>
          <t>联赛</t>
        </is>
      </c>
      <c r="E241" s="14" t="inlineStr">
        <is>
          <t>荷女甲</t>
        </is>
      </c>
      <c r="F241" s="14" t="inlineStr">
        <is>
          <t>费耶诺德女足 vs 阿贾克斯女足</t>
        </is>
      </c>
      <c r="G241" s="26" t="n">
        <v>0.8</v>
      </c>
      <c r="H241" s="26" t="n">
        <v>1</v>
      </c>
      <c r="I241" s="26" t="n">
        <v>0.9</v>
      </c>
      <c r="J241" s="26" t="inlineStr">
        <is>
          <t>0.8/1.0/0.9</t>
        </is>
      </c>
      <c r="K241" s="14" t="inlineStr">
        <is>
          <t>V4-B｜EV 0.7003665656506716</t>
        </is>
      </c>
      <c r="L241" s="14" t="inlineStr">
        <is>
          <t>费耶诺德女足</t>
        </is>
      </c>
      <c r="M241" s="47" t="n">
        <v>0.9036474000852717</v>
      </c>
      <c r="N241" s="14" t="inlineStr">
        <is>
          <t>V4纸面入选-B</t>
        </is>
      </c>
      <c r="O241" s="14" t="inlineStr">
        <is>
          <t>1-4</t>
        </is>
      </c>
      <c r="P241" s="14" t="inlineStr">
        <is>
          <t>已结算</t>
        </is>
      </c>
      <c r="Q241" s="14" t="inlineStr">
        <is>
          <t>黑</t>
        </is>
      </c>
      <c r="R241" s="48" t="n">
        <v>0.8</v>
      </c>
      <c r="S241" s="48" t="n">
        <v>0.4</v>
      </c>
      <c r="T241" s="14" t="inlineStr">
        <is>
          <t>D:\codex\v3_legacy\outputs\football_odds_trader\raw\titan007\20261004\20261004_135431_titan007_odds_snapshot.csv</t>
        </is>
      </c>
      <c r="U241" s="14">
        <f>IF(Q241="","",IF(Q241="待结算","待结算",IF(Q241="红","黑",IF(Q241="半红","半黑",IF(Q241="走","走",IF(Q241="半黑","半红","红"))))))</f>
        <v/>
      </c>
      <c r="V241" s="48">
        <f>IF(OR(U241="",U241="待结算"),"",IF(L241=LEFT(F241,FIND(" vs ",F241)-1),I241,G241))</f>
        <v/>
      </c>
      <c r="W241" s="48">
        <f>IF(OR(U241="",U241="待结算"),"",IF(U241="红",V241,IF(U241="半红",V241*0.5,IF(U241="走",0,IF(U241="半黑",-0.5,-1)))))</f>
        <v/>
      </c>
      <c r="X241" s="14" t="inlineStr">
        <is>
          <t>3017419</t>
        </is>
      </c>
      <c r="Y241" s="14" t="inlineStr">
        <is>
          <t>V4</t>
        </is>
      </c>
      <c r="Z241" s="14" t="inlineStr">
        <is>
          <t>prior-2026-10-04-v1</t>
        </is>
      </c>
      <c r="AA241" s="14" t="inlineStr">
        <is>
          <t>B</t>
        </is>
      </c>
      <c r="AB241" s="14" t="n">
        <v>0.9036474000852717</v>
      </c>
      <c r="AC241" s="14" t="n">
        <v>0</v>
      </c>
      <c r="AD241" s="14" t="n">
        <v>0.07380124549718249</v>
      </c>
      <c r="AE241" s="14" t="n">
        <v>0</v>
      </c>
      <c r="AF241" s="14" t="n">
        <v>0.02255135441754583</v>
      </c>
      <c r="AG241" s="14" t="n">
        <v>0.7003665656506716</v>
      </c>
      <c r="AH241" s="14" t="n"/>
      <c r="AI241" s="14" t="n"/>
      <c r="AJ241" s="14" t="n">
        <v>0.7003665656506716</v>
      </c>
      <c r="AK241" s="14" t="n"/>
      <c r="AL241" s="14" t="n"/>
      <c r="AM241" s="14" t="n"/>
      <c r="AN241" s="14" t="inlineStr">
        <is>
          <t>EVALUATED</t>
        </is>
      </c>
      <c r="AO241" s="14" t="inlineStr">
        <is>
          <t>RECEIVING_VALIDATED_EDGE;BUCKET_PRIOR_ONLY;INTENT_INTERPRETATION_ONLY;FFL_OPTIONAL;EXPERT_MARKET</t>
        </is>
      </c>
      <c r="AP241" s="14" t="inlineStr">
        <is>
          <t>0e4e1e206a6ea8c27f2b</t>
        </is>
      </c>
      <c r="AQ241" s="14" t="n">
        <v>1</v>
      </c>
      <c r="AR241" s="14" t="n">
        <v>0.8</v>
      </c>
      <c r="AS241" s="14" t="n">
        <v>-1</v>
      </c>
      <c r="AT241" s="14" t="n">
        <v>1</v>
      </c>
      <c r="AU241" s="14" t="n">
        <v>0.9</v>
      </c>
      <c r="AV241" s="14" t="n">
        <v>0.8</v>
      </c>
      <c r="AW241" s="14" t="inlineStr">
        <is>
          <t>2026-10-04T09:58:08.993953+08:00</t>
        </is>
      </c>
      <c r="AX241" s="14" t="inlineStr">
        <is>
          <t>Titan007 Next</t>
        </is>
      </c>
      <c r="AY241" s="14" t="inlineStr">
        <is>
          <t>V4 Shadow Only；real_money=false；新增冻结记录</t>
        </is>
      </c>
    </row>
    <row r="242" ht="22" customHeight="1" s="39">
      <c r="A242" s="14" t="inlineStr">
        <is>
          <t>2026-10-04</t>
        </is>
      </c>
      <c r="B242" s="14" t="inlineStr">
        <is>
          <t>2026-10-04 23:00:00</t>
        </is>
      </c>
      <c r="C242" s="14" t="inlineStr">
        <is>
          <t>CLUB_LEAGUE</t>
        </is>
      </c>
      <c r="D242" s="14" t="inlineStr">
        <is>
          <t>联赛</t>
        </is>
      </c>
      <c r="E242" s="14" t="inlineStr">
        <is>
          <t>西协乙4</t>
        </is>
      </c>
      <c r="F242" s="14" t="inlineStr">
        <is>
          <t>马贝尔拉 vs 皇家贝蒂斯B队</t>
        </is>
      </c>
      <c r="G242" s="26" t="n">
        <v>0.73</v>
      </c>
      <c r="H242" s="26" t="n">
        <v>0.25</v>
      </c>
      <c r="I242" s="26" t="n">
        <v>0.97</v>
      </c>
      <c r="J242" s="26" t="inlineStr">
        <is>
          <t>0.73/0.25/0.97</t>
        </is>
      </c>
      <c r="K242" s="14" t="inlineStr">
        <is>
          <t>V4-B｜EV 0.16035380612142863</t>
        </is>
      </c>
      <c r="L242" s="14" t="inlineStr">
        <is>
          <t>马贝尔拉</t>
        </is>
      </c>
      <c r="M242" s="47" t="n">
        <v>0.5961682886800677</v>
      </c>
      <c r="N242" s="14" t="inlineStr">
        <is>
          <t>V4纸面入选-B</t>
        </is>
      </c>
      <c r="O242" s="14" t="inlineStr">
        <is>
          <t>0-2</t>
        </is>
      </c>
      <c r="P242" s="14" t="inlineStr">
        <is>
          <t>已结算</t>
        </is>
      </c>
      <c r="Q242" s="14" t="inlineStr">
        <is>
          <t>黑</t>
        </is>
      </c>
      <c r="R242" s="48" t="n">
        <v>0.73</v>
      </c>
      <c r="S242" s="48" t="n">
        <v>0</v>
      </c>
      <c r="T242" s="14" t="inlineStr">
        <is>
          <t>D:\codex\v3_legacy\outputs\football_odds_trader\raw\titan007\20261004\20261004_135431_titan007_odds_snapshot.csv</t>
        </is>
      </c>
      <c r="U242" s="14">
        <f>IF(Q242="","",IF(Q242="待结算","待结算",IF(Q242="红","黑",IF(Q242="半红","半黑",IF(Q242="走","走",IF(Q242="半黑","半红","红"))))))</f>
        <v/>
      </c>
      <c r="V242" s="48">
        <f>IF(OR(U242="",U242="待结算"),"",IF(L242=LEFT(F242,FIND(" vs ",F242)-1),I242,G242))</f>
        <v/>
      </c>
      <c r="W242" s="48">
        <f>IF(OR(U242="",U242="待结算"),"",IF(U242="红",V242,IF(U242="半红",V242*0.5,IF(U242="走",0,IF(U242="半黑",-0.5,-1)))))</f>
        <v/>
      </c>
      <c r="X242" s="14" t="inlineStr">
        <is>
          <t>3082989</t>
        </is>
      </c>
      <c r="Y242" s="14" t="inlineStr">
        <is>
          <t>V4</t>
        </is>
      </c>
      <c r="Z242" s="14" t="inlineStr">
        <is>
          <t>prior-2026-10-04-v1</t>
        </is>
      </c>
      <c r="AA242" s="14" t="inlineStr">
        <is>
          <t>B</t>
        </is>
      </c>
      <c r="AB242" s="14" t="n">
        <v>0.4671856219751561</v>
      </c>
      <c r="AC242" s="14" t="n">
        <v>0.2579653334098231</v>
      </c>
      <c r="AD242" s="14" t="n">
        <v>0</v>
      </c>
      <c r="AE242" s="14" t="n">
        <v>0</v>
      </c>
      <c r="AF242" s="14" t="n">
        <v>0.2748490446150207</v>
      </c>
      <c r="AG242" s="14" t="n">
        <v>0.1603538061214286</v>
      </c>
      <c r="AH242" s="14" t="n"/>
      <c r="AI242" s="14" t="n"/>
      <c r="AJ242" s="14" t="n">
        <v>0.1603538061214286</v>
      </c>
      <c r="AK242" s="14" t="n"/>
      <c r="AL242" s="14" t="n"/>
      <c r="AM242" s="14" t="n"/>
      <c r="AN242" s="14" t="inlineStr">
        <is>
          <t>EVALUATED</t>
        </is>
      </c>
      <c r="AO242" s="14" t="inlineStr">
        <is>
          <t>RECEIVING_VALIDATED_EDGE;BUCKET_PRIOR_ONLY;INTENT_INTERPRETATION_ONLY;FFL_OPTIONAL;EXPERT_MARKET</t>
        </is>
      </c>
      <c r="AP242" s="14" t="inlineStr">
        <is>
          <t>c0dc99edbc8cdb72f25f</t>
        </is>
      </c>
      <c r="AQ242" s="14" t="n">
        <v>0.25</v>
      </c>
      <c r="AR242" s="14" t="n">
        <v>0.73</v>
      </c>
      <c r="AS242" s="14" t="n">
        <v>-0.25</v>
      </c>
      <c r="AT242" s="14" t="n">
        <v>0.25</v>
      </c>
      <c r="AU242" s="14" t="n">
        <v>0.97</v>
      </c>
      <c r="AV242" s="14" t="n">
        <v>0.73</v>
      </c>
      <c r="AW242" s="14" t="inlineStr">
        <is>
          <t>2026-10-04T09:58:08.993953+08:00</t>
        </is>
      </c>
      <c r="AX242" s="14" t="inlineStr">
        <is>
          <t>Titan007 Next</t>
        </is>
      </c>
      <c r="AY242" s="14" t="inlineStr">
        <is>
          <t>V4 Shadow Only；real_money=false；新增冻结记录</t>
        </is>
      </c>
    </row>
    <row r="243" ht="22" customHeight="1" s="39">
      <c r="A243" s="14" t="inlineStr">
        <is>
          <t>2026-10-04</t>
        </is>
      </c>
      <c r="B243" s="14" t="inlineStr">
        <is>
          <t>2026-10-04 23:00:00</t>
        </is>
      </c>
      <c r="C243" s="14" t="inlineStr">
        <is>
          <t>CLUB_LEAGUE</t>
        </is>
      </c>
      <c r="D243" s="14" t="inlineStr">
        <is>
          <t>联赛</t>
        </is>
      </c>
      <c r="E243" s="14" t="inlineStr">
        <is>
          <t>西协乙2</t>
        </is>
      </c>
      <c r="F243" s="14" t="inlineStr">
        <is>
          <t>阿尔内多 vs 伊波罗</t>
        </is>
      </c>
      <c r="G243" s="26" t="n">
        <v>0.84</v>
      </c>
      <c r="H243" s="26" t="n">
        <v>1</v>
      </c>
      <c r="I243" s="26" t="n">
        <v>0.86</v>
      </c>
      <c r="J243" s="26" t="inlineStr">
        <is>
          <t>0.84/1.0/0.86</t>
        </is>
      </c>
      <c r="K243" s="14" t="inlineStr">
        <is>
          <t>V4-B｜EV 0.785161364066722</t>
        </is>
      </c>
      <c r="L243" s="14" t="inlineStr">
        <is>
          <t>阿尔内多</t>
        </is>
      </c>
      <c r="M243" s="47" t="n">
        <v>0.9457188655485194</v>
      </c>
      <c r="N243" s="14" t="inlineStr">
        <is>
          <t>V4纸面入选-B</t>
        </is>
      </c>
      <c r="O243" s="14" t="inlineStr">
        <is>
          <t>1-2</t>
        </is>
      </c>
      <c r="P243" s="14" t="inlineStr">
        <is>
          <t>已结算</t>
        </is>
      </c>
      <c r="Q243" s="14" t="inlineStr">
        <is>
          <t>走</t>
        </is>
      </c>
      <c r="R243" s="48" t="n">
        <v>0.84</v>
      </c>
      <c r="S243" s="48" t="n">
        <v>0.42</v>
      </c>
      <c r="T243" s="14" t="inlineStr">
        <is>
          <t>D:\codex\v3_legacy\outputs\football_odds_trader\raw\titan007\20261004\20261004_135431_titan007_odds_snapshot.csv</t>
        </is>
      </c>
      <c r="U243" s="14">
        <f>IF(Q243="","",IF(Q243="待结算","待结算",IF(Q243="红","黑",IF(Q243="半红","半黑",IF(Q243="走","走",IF(Q243="半黑","半红","红"))))))</f>
        <v/>
      </c>
      <c r="V243" s="48">
        <f>IF(OR(U243="",U243="待结算"),"",IF(L243=LEFT(F243,FIND(" vs ",F243)-1),I243,G243))</f>
        <v/>
      </c>
      <c r="W243" s="48">
        <f>IF(OR(U243="",U243="待结算"),"",IF(U243="红",V243,IF(U243="半红",V243*0.5,IF(U243="走",0,IF(U243="半黑",-0.5,-1)))))</f>
        <v/>
      </c>
      <c r="X243" s="14" t="inlineStr">
        <is>
          <t>3083292</t>
        </is>
      </c>
      <c r="Y243" s="14" t="inlineStr">
        <is>
          <t>V4</t>
        </is>
      </c>
      <c r="Z243" s="14" t="inlineStr">
        <is>
          <t>prior-2026-10-04-v1</t>
        </is>
      </c>
      <c r="AA243" s="14" t="inlineStr">
        <is>
          <t>B</t>
        </is>
      </c>
      <c r="AB243" s="14" t="n">
        <v>0.9457188655485194</v>
      </c>
      <c r="AC243" s="14" t="n">
        <v>0</v>
      </c>
      <c r="AD243" s="14" t="n">
        <v>0.04503865145744626</v>
      </c>
      <c r="AE243" s="14" t="n">
        <v>0</v>
      </c>
      <c r="AF243" s="14" t="n">
        <v>0.009242482994034275</v>
      </c>
      <c r="AG243" s="14" t="n">
        <v>0.785161364066722</v>
      </c>
      <c r="AH243" s="14" t="n"/>
      <c r="AI243" s="14" t="n"/>
      <c r="AJ243" s="14" t="n">
        <v>0.785161364066722</v>
      </c>
      <c r="AK243" s="14" t="n"/>
      <c r="AL243" s="14" t="n"/>
      <c r="AM243" s="14" t="n"/>
      <c r="AN243" s="14" t="inlineStr">
        <is>
          <t>EVALUATED</t>
        </is>
      </c>
      <c r="AO243" s="14" t="inlineStr">
        <is>
          <t>RECEIVING_VALIDATED_EDGE;BUCKET_PRIOR_ONLY;INTENT_INTERPRETATION_ONLY;FFL_OPTIONAL;EXPERT_MARKET</t>
        </is>
      </c>
      <c r="AP243" s="14" t="inlineStr">
        <is>
          <t>3f72562b30eee74bfc9c</t>
        </is>
      </c>
      <c r="AQ243" s="14" t="n">
        <v>1</v>
      </c>
      <c r="AR243" s="14" t="n">
        <v>0.84</v>
      </c>
      <c r="AS243" s="14" t="n">
        <v>-1</v>
      </c>
      <c r="AT243" s="14" t="n">
        <v>1</v>
      </c>
      <c r="AU243" s="14" t="n">
        <v>0.86</v>
      </c>
      <c r="AV243" s="14" t="n">
        <v>0.84</v>
      </c>
      <c r="AW243" s="14" t="inlineStr">
        <is>
          <t>2026-10-04T09:58:08.993953+08:00</t>
        </is>
      </c>
      <c r="AX243" s="14" t="inlineStr">
        <is>
          <t>Titan007 Next</t>
        </is>
      </c>
      <c r="AY243" s="14" t="inlineStr">
        <is>
          <t>V4 Shadow Only；real_money=false；新增冻结记录</t>
        </is>
      </c>
    </row>
    <row r="244" ht="22" customHeight="1" s="39">
      <c r="A244" s="14" t="inlineStr">
        <is>
          <t>2026-10-04</t>
        </is>
      </c>
      <c r="B244" s="14" t="inlineStr">
        <is>
          <t>2026-10-04 23:00:00</t>
        </is>
      </c>
      <c r="C244" s="14" t="inlineStr">
        <is>
          <t>CLUB_LEAGUE</t>
        </is>
      </c>
      <c r="D244" s="14" t="inlineStr">
        <is>
          <t>联赛</t>
        </is>
      </c>
      <c r="E244" s="14" t="inlineStr">
        <is>
          <t>西协乙2</t>
        </is>
      </c>
      <c r="F244" s="14" t="inlineStr">
        <is>
          <t>列乌斯 vs CE曼雷萨</t>
        </is>
      </c>
      <c r="G244" s="26" t="n">
        <v>0.88</v>
      </c>
      <c r="H244" s="26" t="n">
        <v>-0.5</v>
      </c>
      <c r="I244" s="26" t="n">
        <v>0.82</v>
      </c>
      <c r="J244" s="26" t="inlineStr">
        <is>
          <t>0.88/-0.5/0.82</t>
        </is>
      </c>
      <c r="K244" s="14" t="inlineStr">
        <is>
          <t>V4-C｜EV 0.05375018995315167</t>
        </is>
      </c>
      <c r="L244" s="14" t="inlineStr">
        <is>
          <t>列乌斯</t>
        </is>
      </c>
      <c r="M244" s="47" t="n">
        <v>0.5605054201878467</v>
      </c>
      <c r="N244" s="14" t="inlineStr">
        <is>
          <t>V4纸面入选-C</t>
        </is>
      </c>
      <c r="O244" s="14" t="inlineStr">
        <is>
          <t>1-4</t>
        </is>
      </c>
      <c r="P244" s="14" t="inlineStr">
        <is>
          <t>已结算</t>
        </is>
      </c>
      <c r="Q244" s="14" t="inlineStr">
        <is>
          <t>黑</t>
        </is>
      </c>
      <c r="R244" s="48" t="n">
        <v>0.88</v>
      </c>
      <c r="S244" s="48" t="n">
        <v>0.44</v>
      </c>
      <c r="T244" s="14" t="inlineStr">
        <is>
          <t>D:\codex\v3_legacy\outputs\football_odds_trader\raw\titan007\20261004\20261004_135431_titan007_odds_snapshot.csv</t>
        </is>
      </c>
      <c r="U244" s="14">
        <f>IF(Q244="","",IF(Q244="待结算","待结算",IF(Q244="红","黑",IF(Q244="半红","半黑",IF(Q244="走","走",IF(Q244="半黑","半红","红"))))))</f>
        <v/>
      </c>
      <c r="V244" s="48">
        <f>IF(OR(U244="",U244="待结算"),"",IF(L244=LEFT(F244,FIND(" vs ",F244)-1),I244,G244))</f>
        <v/>
      </c>
      <c r="W244" s="48">
        <f>IF(OR(U244="",U244="待结算"),"",IF(U244="红",V244,IF(U244="半红",V244*0.5,IF(U244="走",0,IF(U244="半黑",-0.5,-1)))))</f>
        <v/>
      </c>
      <c r="X244" s="14" t="inlineStr">
        <is>
          <t>3083297</t>
        </is>
      </c>
      <c r="Y244" s="14" t="inlineStr">
        <is>
          <t>V4</t>
        </is>
      </c>
      <c r="Z244" s="14" t="inlineStr">
        <is>
          <t>prior-2026-10-04-v1</t>
        </is>
      </c>
      <c r="AA244" s="14" t="inlineStr">
        <is>
          <t>C</t>
        </is>
      </c>
      <c r="AB244" s="14" t="n">
        <v>0.5605054201878467</v>
      </c>
      <c r="AC244" s="14" t="n">
        <v>0</v>
      </c>
      <c r="AD244" s="14" t="n">
        <v>0</v>
      </c>
      <c r="AE244" s="14" t="n">
        <v>0</v>
      </c>
      <c r="AF244" s="14" t="n">
        <v>0.4394945798121534</v>
      </c>
      <c r="AG244" s="14" t="n">
        <v>0.05375018995315167</v>
      </c>
      <c r="AH244" s="14" t="n"/>
      <c r="AI244" s="14" t="n"/>
      <c r="AJ244" s="14" t="n">
        <v>0.05375018995315167</v>
      </c>
      <c r="AK244" s="14" t="n"/>
      <c r="AL244" s="14" t="n"/>
      <c r="AM244" s="14" t="n"/>
      <c r="AN244" s="14" t="inlineStr">
        <is>
          <t>EVALUATED</t>
        </is>
      </c>
      <c r="AO244" s="14" t="inlineStr">
        <is>
          <t>GIVING_VALIDATED_EDGE;BUCKET_PRIOR_ONLY;INTENT_INTERPRETATION_ONLY;FFL_OPTIONAL;EXPERT_MARKET</t>
        </is>
      </c>
      <c r="AP244" s="14" t="inlineStr">
        <is>
          <t>5654c78eba92625c59a8</t>
        </is>
      </c>
      <c r="AQ244" s="14" t="n">
        <v>-0.5</v>
      </c>
      <c r="AR244" s="14" t="n">
        <v>0.88</v>
      </c>
      <c r="AS244" s="14" t="n">
        <v>-0.5</v>
      </c>
      <c r="AT244" s="14" t="n">
        <v>0.5</v>
      </c>
      <c r="AU244" s="14" t="n">
        <v>0.88</v>
      </c>
      <c r="AV244" s="14" t="n">
        <v>0.82</v>
      </c>
      <c r="AW244" s="14" t="inlineStr">
        <is>
          <t>2026-10-04T09:58:08.993953+08:00</t>
        </is>
      </c>
      <c r="AX244" s="14" t="inlineStr">
        <is>
          <t>Titan007 Next</t>
        </is>
      </c>
      <c r="AY244" s="14" t="inlineStr">
        <is>
          <t>V4 Shadow Only；real_money=false；新增冻结记录</t>
        </is>
      </c>
    </row>
    <row r="245" ht="22" customHeight="1" s="39">
      <c r="A245" s="14" t="inlineStr">
        <is>
          <t>2026-10-04</t>
        </is>
      </c>
      <c r="B245" s="14" t="inlineStr">
        <is>
          <t>2026-10-04 23:00:00</t>
        </is>
      </c>
      <c r="C245" s="14" t="inlineStr">
        <is>
          <t>CLUB_LEAGUE</t>
        </is>
      </c>
      <c r="D245" s="14" t="inlineStr">
        <is>
          <t>联赛</t>
        </is>
      </c>
      <c r="E245" s="14" t="inlineStr">
        <is>
          <t>西协乙5</t>
        </is>
      </c>
      <c r="F245" s="14" t="inlineStr">
        <is>
          <t>马德里体育会C队 vs 干昆斯</t>
        </is>
      </c>
      <c r="G245" s="26" t="n">
        <v>0.9</v>
      </c>
      <c r="H245" s="26" t="n">
        <v>0.25</v>
      </c>
      <c r="I245" s="26" t="n">
        <v>0.8</v>
      </c>
      <c r="J245" s="26" t="inlineStr">
        <is>
          <t>0.9/0.25/0.8</t>
        </is>
      </c>
      <c r="K245" s="14" t="inlineStr">
        <is>
          <t>V4-B｜EV 0.14572461417517274</t>
        </is>
      </c>
      <c r="L245" s="14" t="inlineStr">
        <is>
          <t>马德里体育会C队</t>
        </is>
      </c>
      <c r="M245" s="47" t="n">
        <v>0.5336127663586745</v>
      </c>
      <c r="N245" s="14" t="inlineStr">
        <is>
          <t>V4纸面入选-B</t>
        </is>
      </c>
      <c r="O245" s="14" t="inlineStr">
        <is>
          <t>3-2</t>
        </is>
      </c>
      <c r="P245" s="14" t="inlineStr">
        <is>
          <t>已结算</t>
        </is>
      </c>
      <c r="Q245" s="14" t="inlineStr">
        <is>
          <t>红</t>
        </is>
      </c>
      <c r="R245" s="48" t="n">
        <v>0.9</v>
      </c>
      <c r="S245" s="48" t="n">
        <v>0</v>
      </c>
      <c r="T245" s="14" t="inlineStr">
        <is>
          <t>D:\codex\v3_legacy\outputs\football_odds_trader\raw\titan007\20261004\20261004_135431_titan007_odds_snapshot.csv</t>
        </is>
      </c>
      <c r="U245" s="14">
        <f>IF(Q245="","",IF(Q245="待结算","待结算",IF(Q245="红","黑",IF(Q245="半红","半黑",IF(Q245="走","走",IF(Q245="半黑","半红","红"))))))</f>
        <v/>
      </c>
      <c r="V245" s="48">
        <f>IF(OR(U245="",U245="待结算"),"",IF(L245=LEFT(F245,FIND(" vs ",F245)-1),I245,G245))</f>
        <v/>
      </c>
      <c r="W245" s="48">
        <f>IF(OR(U245="",U245="待结算"),"",IF(U245="红",V245,IF(U245="半红",V245*0.5,IF(U245="走",0,IF(U245="半黑",-0.5,-1)))))</f>
        <v/>
      </c>
      <c r="X245" s="14" t="inlineStr">
        <is>
          <t>3083599</t>
        </is>
      </c>
      <c r="Y245" s="14" t="inlineStr">
        <is>
          <t>V4</t>
        </is>
      </c>
      <c r="Z245" s="14" t="inlineStr">
        <is>
          <t>prior-2026-10-04-v1</t>
        </is>
      </c>
      <c r="AA245" s="14" t="inlineStr">
        <is>
          <t>B</t>
        </is>
      </c>
      <c r="AB245" s="14" t="n">
        <v>0.4017524082649835</v>
      </c>
      <c r="AC245" s="14" t="n">
        <v>0.2637207161873821</v>
      </c>
      <c r="AD245" s="14" t="n">
        <v>0</v>
      </c>
      <c r="AE245" s="14" t="n">
        <v>0</v>
      </c>
      <c r="AF245" s="14" t="n">
        <v>0.3345268755476344</v>
      </c>
      <c r="AG245" s="14" t="n">
        <v>0.1457246141751727</v>
      </c>
      <c r="AH245" s="14" t="n"/>
      <c r="AI245" s="14" t="n"/>
      <c r="AJ245" s="14" t="n">
        <v>0.1457246141751727</v>
      </c>
      <c r="AK245" s="14" t="n"/>
      <c r="AL245" s="14" t="n"/>
      <c r="AM245" s="14" t="n"/>
      <c r="AN245" s="14" t="inlineStr">
        <is>
          <t>EVALUATED</t>
        </is>
      </c>
      <c r="AO245" s="14" t="inlineStr">
        <is>
          <t>RECEIVING_VALIDATED_EDGE;BUCKET_PRIOR_ONLY;INTENT_INTERPRETATION_ONLY;FFL_OPTIONAL;EXPERT_MARKET</t>
        </is>
      </c>
      <c r="AP245" s="14" t="inlineStr">
        <is>
          <t>ba017f9b588c315b7b9a</t>
        </is>
      </c>
      <c r="AQ245" s="14" t="n">
        <v>0.25</v>
      </c>
      <c r="AR245" s="14" t="n">
        <v>0.9</v>
      </c>
      <c r="AS245" s="14" t="n">
        <v>-0.25</v>
      </c>
      <c r="AT245" s="14" t="n">
        <v>0.25</v>
      </c>
      <c r="AU245" s="14" t="n">
        <v>0.8</v>
      </c>
      <c r="AV245" s="14" t="n">
        <v>0.9</v>
      </c>
      <c r="AW245" s="14" t="inlineStr">
        <is>
          <t>2026-10-04T09:58:08.993953+08:00</t>
        </is>
      </c>
      <c r="AX245" s="14" t="inlineStr">
        <is>
          <t>Titan007 Next</t>
        </is>
      </c>
      <c r="AY245" s="14" t="inlineStr">
        <is>
          <t>V4 Shadow Only；real_money=false；新增冻结记录</t>
        </is>
      </c>
    </row>
    <row r="246" ht="22" customHeight="1" s="39">
      <c r="A246" s="14" t="inlineStr">
        <is>
          <t>2026-10-04</t>
        </is>
      </c>
      <c r="B246" s="14" t="inlineStr">
        <is>
          <t>2026-10-04 23:00:00</t>
        </is>
      </c>
      <c r="C246" s="14" t="inlineStr">
        <is>
          <t>CLUB_LEAGUE</t>
        </is>
      </c>
      <c r="D246" s="14" t="inlineStr">
        <is>
          <t>联赛</t>
        </is>
      </c>
      <c r="E246" s="14" t="inlineStr">
        <is>
          <t>西协乙5</t>
        </is>
      </c>
      <c r="F246" s="14" t="inlineStr">
        <is>
          <t>托尔德西利亚斯 vs 叁蔓堤罗</t>
        </is>
      </c>
      <c r="G246" s="26" t="n">
        <v>0.73</v>
      </c>
      <c r="H246" s="26" t="n">
        <v>0.25</v>
      </c>
      <c r="I246" s="26" t="n">
        <v>0.97</v>
      </c>
      <c r="J246" s="26" t="inlineStr">
        <is>
          <t>0.73/0.25/0.97</t>
        </is>
      </c>
      <c r="K246" s="14" t="inlineStr">
        <is>
          <t>V4-C｜EV 0.05526977962867696</t>
        </is>
      </c>
      <c r="L246" s="14" t="inlineStr">
        <is>
          <t>托尔德西利亚斯</t>
        </is>
      </c>
      <c r="M246" s="47" t="n">
        <v>0.5336499632241267</v>
      </c>
      <c r="N246" s="14" t="inlineStr">
        <is>
          <t>V4纸面入选-C</t>
        </is>
      </c>
      <c r="O246" s="14" t="inlineStr">
        <is>
          <t>2-0</t>
        </is>
      </c>
      <c r="P246" s="14" t="inlineStr">
        <is>
          <t>已结算</t>
        </is>
      </c>
      <c r="Q246" s="14" t="inlineStr">
        <is>
          <t>红</t>
        </is>
      </c>
      <c r="R246" s="48" t="n">
        <v>0.73</v>
      </c>
      <c r="S246" s="48" t="n">
        <v>0</v>
      </c>
      <c r="T246" s="14" t="inlineStr">
        <is>
          <t>D:\codex\v3_legacy\outputs\football_odds_trader\raw\titan007\20261004\20261004_135431_titan007_odds_snapshot.csv</t>
        </is>
      </c>
      <c r="U246" s="14">
        <f>IF(Q246="","",IF(Q246="待结算","待结算",IF(Q246="红","黑",IF(Q246="半红","半黑",IF(Q246="走","走",IF(Q246="半黑","半红","红"))))))</f>
        <v/>
      </c>
      <c r="V246" s="48">
        <f>IF(OR(U246="",U246="待结算"),"",IF(L246=LEFT(F246,FIND(" vs ",F246)-1),I246,G246))</f>
        <v/>
      </c>
      <c r="W246" s="48">
        <f>IF(OR(U246="",U246="待结算"),"",IF(U246="红",V246,IF(U246="半红",V246*0.5,IF(U246="走",0,IF(U246="半黑",-0.5,-1)))))</f>
        <v/>
      </c>
      <c r="X246" s="14" t="inlineStr">
        <is>
          <t>3083600</t>
        </is>
      </c>
      <c r="Y246" s="14" t="inlineStr">
        <is>
          <t>V4</t>
        </is>
      </c>
      <c r="Z246" s="14" t="inlineStr">
        <is>
          <t>prior-2026-10-04-v1</t>
        </is>
      </c>
      <c r="AA246" s="14" t="inlineStr">
        <is>
          <t>C</t>
        </is>
      </c>
      <c r="AB246" s="14" t="n">
        <v>0.4015946199731888</v>
      </c>
      <c r="AC246" s="14" t="n">
        <v>0.2641106865018756</v>
      </c>
      <c r="AD246" s="14" t="n">
        <v>0</v>
      </c>
      <c r="AE246" s="14" t="n">
        <v>0</v>
      </c>
      <c r="AF246" s="14" t="n">
        <v>0.3342946935249355</v>
      </c>
      <c r="AG246" s="14" t="n">
        <v>0.05526977962867696</v>
      </c>
      <c r="AH246" s="14" t="n"/>
      <c r="AI246" s="14" t="n"/>
      <c r="AJ246" s="14" t="n">
        <v>0.05526977962867696</v>
      </c>
      <c r="AK246" s="14" t="n"/>
      <c r="AL246" s="14" t="n"/>
      <c r="AM246" s="14" t="n"/>
      <c r="AN246" s="14" t="inlineStr">
        <is>
          <t>EVALUATED</t>
        </is>
      </c>
      <c r="AO246" s="14" t="inlineStr">
        <is>
          <t>RECEIVING_VALIDATED_EDGE;BUCKET_PRIOR_ONLY;INTENT_INTERPRETATION_ONLY;FFL_OPTIONAL;EXPERT_MARKET</t>
        </is>
      </c>
      <c r="AP246" s="14" t="inlineStr">
        <is>
          <t>9bddf62b6b1cf3691086</t>
        </is>
      </c>
      <c r="AQ246" s="14" t="n">
        <v>0.25</v>
      </c>
      <c r="AR246" s="14" t="n">
        <v>0.73</v>
      </c>
      <c r="AS246" s="14" t="n">
        <v>-0.25</v>
      </c>
      <c r="AT246" s="14" t="n">
        <v>0.25</v>
      </c>
      <c r="AU246" s="14" t="n">
        <v>0.97</v>
      </c>
      <c r="AV246" s="14" t="n">
        <v>0.73</v>
      </c>
      <c r="AW246" s="14" t="inlineStr">
        <is>
          <t>2026-10-04T09:58:08.993953+08:00</t>
        </is>
      </c>
      <c r="AX246" s="14" t="inlineStr">
        <is>
          <t>Titan007 Next</t>
        </is>
      </c>
      <c r="AY246" s="14" t="inlineStr">
        <is>
          <t>V4 Shadow Only；real_money=false；新增冻结记录</t>
        </is>
      </c>
    </row>
    <row r="247" ht="22" customHeight="1" s="39">
      <c r="A247" s="14" t="inlineStr">
        <is>
          <t>2026-10-04</t>
        </is>
      </c>
      <c r="B247" s="14" t="inlineStr">
        <is>
          <t>2026-10-04 23:00:00</t>
        </is>
      </c>
      <c r="C247" s="14" t="inlineStr">
        <is>
          <t>CLUB_LEAGUE</t>
        </is>
      </c>
      <c r="D247" s="14" t="inlineStr">
        <is>
          <t>联赛</t>
        </is>
      </c>
      <c r="E247" s="14" t="inlineStr">
        <is>
          <t>瑞典乙北</t>
        </is>
      </c>
      <c r="F247" s="14" t="inlineStr">
        <is>
          <t>于默奥 vs 哈马比TFF</t>
        </is>
      </c>
      <c r="G247" s="26" t="n">
        <v>0.9399999999999999</v>
      </c>
      <c r="H247" s="26" t="n">
        <v>0.75</v>
      </c>
      <c r="I247" s="26" t="n">
        <v>0.76</v>
      </c>
      <c r="J247" s="26" t="inlineStr">
        <is>
          <t>0.94/0.75/0.76</t>
        </is>
      </c>
      <c r="K247" s="14" t="inlineStr">
        <is>
          <t>V4-B｜EV 0.7050142903698263</t>
        </is>
      </c>
      <c r="L247" s="14" t="inlineStr">
        <is>
          <t>于默奥</t>
        </is>
      </c>
      <c r="M247" s="47" t="n">
        <v>0.8516957347472163</v>
      </c>
      <c r="N247" s="14" t="inlineStr">
        <is>
          <t>V4纸面入选-B</t>
        </is>
      </c>
      <c r="O247" s="14" t="inlineStr">
        <is>
          <t>2-1</t>
        </is>
      </c>
      <c r="P247" s="14" t="inlineStr">
        <is>
          <t>已结算</t>
        </is>
      </c>
      <c r="Q247" s="14" t="inlineStr">
        <is>
          <t>红</t>
        </is>
      </c>
      <c r="R247" s="48" t="n">
        <v>0.9399999999999999</v>
      </c>
      <c r="S247" s="48" t="n">
        <v>0.47</v>
      </c>
      <c r="T247" s="14" t="inlineStr">
        <is>
          <t>D:\codex\v3_legacy\outputs\football_odds_trader\raw\titan007\20261004\20261004_135431_titan007_odds_snapshot.csv</t>
        </is>
      </c>
      <c r="U247" s="14">
        <f>IF(Q247="","",IF(Q247="待结算","待结算",IF(Q247="红","黑",IF(Q247="半红","半黑",IF(Q247="走","走",IF(Q247="半黑","半红","红"))))))</f>
        <v/>
      </c>
      <c r="V247" s="48">
        <f>IF(OR(U247="",U247="待结算"),"",IF(L247=LEFT(F247,FIND(" vs ",F247)-1),I247,G247))</f>
        <v/>
      </c>
      <c r="W247" s="48">
        <f>IF(OR(U247="",U247="待结算"),"",IF(U247="红",V247,IF(U247="半红",V247*0.5,IF(U247="走",0,IF(U247="半黑",-0.5,-1)))))</f>
        <v/>
      </c>
      <c r="X247" s="14" t="inlineStr">
        <is>
          <t>2920170</t>
        </is>
      </c>
      <c r="Y247" s="14" t="inlineStr">
        <is>
          <t>V4</t>
        </is>
      </c>
      <c r="Z247" s="14" t="inlineStr">
        <is>
          <t>prior-2026-10-04-v1</t>
        </is>
      </c>
      <c r="AA247" s="14" t="inlineStr">
        <is>
          <t>B</t>
        </is>
      </c>
      <c r="AB247" s="14" t="n">
        <v>0.8516957347472163</v>
      </c>
      <c r="AC247" s="14" t="n">
        <v>0</v>
      </c>
      <c r="AD247" s="14" t="n">
        <v>0</v>
      </c>
      <c r="AE247" s="14" t="n">
        <v>0.1054491299204535</v>
      </c>
      <c r="AF247" s="14" t="n">
        <v>0.04285513533233021</v>
      </c>
      <c r="AG247" s="14" t="n">
        <v>0.7050142903698263</v>
      </c>
      <c r="AH247" s="14" t="n"/>
      <c r="AI247" s="14" t="n"/>
      <c r="AJ247" s="14" t="n">
        <v>0.7050142903698263</v>
      </c>
      <c r="AK247" s="14" t="n"/>
      <c r="AL247" s="14" t="n"/>
      <c r="AM247" s="14" t="n"/>
      <c r="AN247" s="14" t="inlineStr">
        <is>
          <t>EVALUATED</t>
        </is>
      </c>
      <c r="AO247" s="14" t="inlineStr">
        <is>
          <t>RECEIVING_VALIDATED_EDGE;BUCKET_PRIOR_ONLY;INTENT_INTERPRETATION_ONLY;FFL_OPTIONAL;EXPERT_MARKET</t>
        </is>
      </c>
      <c r="AP247" s="14" t="inlineStr">
        <is>
          <t>5ddd50c51424d54eff96</t>
        </is>
      </c>
      <c r="AQ247" s="14" t="n">
        <v>0.75</v>
      </c>
      <c r="AR247" s="14" t="n">
        <v>0.9399999999999999</v>
      </c>
      <c r="AS247" s="14" t="n">
        <v>-0.75</v>
      </c>
      <c r="AT247" s="14" t="n">
        <v>0.75</v>
      </c>
      <c r="AU247" s="14" t="n">
        <v>0.76</v>
      </c>
      <c r="AV247" s="14" t="n">
        <v>0.9399999999999999</v>
      </c>
      <c r="AW247" s="14" t="inlineStr">
        <is>
          <t>2026-10-04T09:58:08.993953+08:00</t>
        </is>
      </c>
      <c r="AX247" s="14" t="inlineStr">
        <is>
          <t>Titan007 Next</t>
        </is>
      </c>
      <c r="AY247" s="14" t="inlineStr">
        <is>
          <t>V4 Shadow Only；real_money=false；新增冻结记录</t>
        </is>
      </c>
    </row>
    <row r="248" ht="22" customHeight="1" s="39">
      <c r="A248" s="14" t="inlineStr">
        <is>
          <t>2026-10-04</t>
        </is>
      </c>
      <c r="B248" s="14" t="inlineStr">
        <is>
          <t>2026-10-04 23:30:00</t>
        </is>
      </c>
      <c r="C248" s="14" t="inlineStr">
        <is>
          <t>UNKNOWN</t>
        </is>
      </c>
      <c r="D248" s="14" t="inlineStr">
        <is>
          <t>联赛</t>
        </is>
      </c>
      <c r="E248" s="14" t="inlineStr">
        <is>
          <t>西丁</t>
        </is>
      </c>
      <c r="F248" s="14" t="inlineStr">
        <is>
          <t>拉卡扎达 vs 科米利亚斯</t>
        </is>
      </c>
      <c r="G248" s="26" t="n">
        <v>0.75</v>
      </c>
      <c r="H248" s="26" t="n">
        <v>-0.75</v>
      </c>
      <c r="I248" s="26" t="n">
        <v>0.95</v>
      </c>
      <c r="J248" s="26" t="inlineStr">
        <is>
          <t>0.75/-0.75/0.95</t>
        </is>
      </c>
      <c r="K248" s="14" t="inlineStr">
        <is>
          <t>V4-C｜EV 0.0866383552288918</t>
        </is>
      </c>
      <c r="L248" s="14" t="inlineStr">
        <is>
          <t>拉卡扎达</t>
        </is>
      </c>
      <c r="M248" s="47" t="n">
        <v>0.5475548311345964</v>
      </c>
      <c r="N248" s="14" t="inlineStr">
        <is>
          <t>V4纸面入选-C</t>
        </is>
      </c>
      <c r="O248" s="14" t="inlineStr">
        <is>
          <t>1-0</t>
        </is>
      </c>
      <c r="P248" s="14" t="inlineStr">
        <is>
          <t>已结算</t>
        </is>
      </c>
      <c r="Q248" s="14" t="inlineStr">
        <is>
          <t>半红</t>
        </is>
      </c>
      <c r="R248" s="48" t="n">
        <v>0.75</v>
      </c>
      <c r="S248" s="48" t="n">
        <v>0.375</v>
      </c>
      <c r="T248" s="14" t="inlineStr">
        <is>
          <t>D:\codex\v3_legacy\outputs\football_odds_trader\raw\titan007\20261004\20261004_135431_titan007_odds_snapshot.csv</t>
        </is>
      </c>
      <c r="U248" s="14">
        <f>IF(Q248="","",IF(Q248="待结算","待结算",IF(Q248="红","黑",IF(Q248="半红","半黑",IF(Q248="走","走",IF(Q248="半黑","半红","红"))))))</f>
        <v/>
      </c>
      <c r="V248" s="48">
        <f>IF(OR(U248="",U248="待结算"),"",IF(L248=LEFT(F248,FIND(" vs ",F248)-1),I248,G248))</f>
        <v/>
      </c>
      <c r="W248" s="48">
        <f>IF(OR(U248="",U248="待结算"),"",IF(U248="红",V248,IF(U248="半红",V248*0.5,IF(U248="走",0,IF(U248="半黑",-0.5,-1)))))</f>
        <v/>
      </c>
      <c r="X248" s="14" t="inlineStr">
        <is>
          <t>3079621</t>
        </is>
      </c>
      <c r="Y248" s="14" t="inlineStr">
        <is>
          <t>V4</t>
        </is>
      </c>
      <c r="Z248" s="14" t="inlineStr">
        <is>
          <t>prior-2026-10-04-v1</t>
        </is>
      </c>
      <c r="AA248" s="14" t="inlineStr">
        <is>
          <t>C</t>
        </is>
      </c>
      <c r="AB248" s="14" t="n">
        <v>0.4191374303912482</v>
      </c>
      <c r="AC248" s="14" t="n">
        <v>0.2568348014866963</v>
      </c>
      <c r="AD248" s="14" t="n">
        <v>0</v>
      </c>
      <c r="AE248" s="14" t="n">
        <v>0</v>
      </c>
      <c r="AF248" s="14" t="n">
        <v>0.3240277681220555</v>
      </c>
      <c r="AG248" s="14" t="n">
        <v>0.08663835522889179</v>
      </c>
      <c r="AH248" s="14" t="n"/>
      <c r="AI248" s="14" t="n"/>
      <c r="AJ248" s="14" t="n">
        <v>0.08663835522889179</v>
      </c>
      <c r="AK248" s="14" t="n"/>
      <c r="AL248" s="14" t="n"/>
      <c r="AM248" s="14" t="n"/>
      <c r="AN248" s="14" t="inlineStr">
        <is>
          <t>EVALUATED</t>
        </is>
      </c>
      <c r="AO248" s="14" t="inlineStr">
        <is>
          <t>GIVING_VALIDATED_EDGE;BUCKET_PRIOR_ONLY;INTENT_INTERPRETATION_ONLY;FFL_OPTIONAL;EXPERT_MARKET</t>
        </is>
      </c>
      <c r="AP248" s="14" t="inlineStr">
        <is>
          <t>2b5607751a320a361a7a</t>
        </is>
      </c>
      <c r="AQ248" s="14" t="n">
        <v>-0.75</v>
      </c>
      <c r="AR248" s="14" t="n">
        <v>0.75</v>
      </c>
      <c r="AS248" s="14" t="n">
        <v>-0.75</v>
      </c>
      <c r="AT248" s="14" t="n">
        <v>0.75</v>
      </c>
      <c r="AU248" s="14" t="n">
        <v>0.75</v>
      </c>
      <c r="AV248" s="14" t="n">
        <v>0.95</v>
      </c>
      <c r="AW248" s="14" t="inlineStr">
        <is>
          <t>2026-10-04T09:58:08.993953+08:00</t>
        </is>
      </c>
      <c r="AX248" s="14" t="inlineStr">
        <is>
          <t>Titan007 Next</t>
        </is>
      </c>
      <c r="AY248" s="14" t="inlineStr">
        <is>
          <t>V4 Shadow Only；real_money=false；新增冻结记录</t>
        </is>
      </c>
    </row>
    <row r="249" ht="22" customHeight="1" s="39">
      <c r="A249" s="14" t="inlineStr">
        <is>
          <t>2026-10-04</t>
        </is>
      </c>
      <c r="B249" s="14" t="inlineStr">
        <is>
          <t>2026-10-04 23:30:00</t>
        </is>
      </c>
      <c r="C249" s="14" t="inlineStr">
        <is>
          <t>UNKNOWN</t>
        </is>
      </c>
      <c r="D249" s="14" t="inlineStr">
        <is>
          <t>联赛</t>
        </is>
      </c>
      <c r="E249" s="14" t="inlineStr">
        <is>
          <t>西丁</t>
        </is>
      </c>
      <c r="F249" s="14" t="inlineStr">
        <is>
          <t>昆坦拿 vs 比利亚体育</t>
        </is>
      </c>
      <c r="G249" s="26" t="n">
        <v>0.83</v>
      </c>
      <c r="H249" s="26" t="n">
        <v>-0.75</v>
      </c>
      <c r="I249" s="26" t="n">
        <v>0.87</v>
      </c>
      <c r="J249" s="26" t="inlineStr">
        <is>
          <t>0.83/-0.75/0.87</t>
        </is>
      </c>
      <c r="K249" s="14" t="inlineStr">
        <is>
          <t>V4-C｜EV 0.08802794036759914</t>
        </is>
      </c>
      <c r="L249" s="14" t="inlineStr">
        <is>
          <t>昆坦拿</t>
        </is>
      </c>
      <c r="M249" s="47" t="n">
        <v>0.5242227495152549</v>
      </c>
      <c r="N249" s="14" t="inlineStr">
        <is>
          <t>V4纸面入选-C</t>
        </is>
      </c>
      <c r="O249" s="14" t="inlineStr">
        <is>
          <t>0-2</t>
        </is>
      </c>
      <c r="P249" s="14" t="inlineStr">
        <is>
          <t>已结算</t>
        </is>
      </c>
      <c r="Q249" s="14" t="inlineStr">
        <is>
          <t>黑</t>
        </is>
      </c>
      <c r="R249" s="48" t="n">
        <v>0.83</v>
      </c>
      <c r="S249" s="48" t="n">
        <v>0.415</v>
      </c>
      <c r="T249" s="14" t="inlineStr">
        <is>
          <t>D:\codex\v3_legacy\outputs\football_odds_trader\raw\titan007\20261004\20261004_135431_titan007_odds_snapshot.csv</t>
        </is>
      </c>
      <c r="U249" s="14">
        <f>IF(Q249="","",IF(Q249="待结算","待结算",IF(Q249="红","黑",IF(Q249="半红","半黑",IF(Q249="走","走",IF(Q249="半黑","半红","红"))))))</f>
        <v/>
      </c>
      <c r="V249" s="48">
        <f>IF(OR(U249="",U249="待结算"),"",IF(L249=LEFT(F249,FIND(" vs ",F249)-1),I249,G249))</f>
        <v/>
      </c>
      <c r="W249" s="48">
        <f>IF(OR(U249="",U249="待结算"),"",IF(U249="红",V249,IF(U249="半红",V249*0.5,IF(U249="走",0,IF(U249="半黑",-0.5,-1)))))</f>
        <v/>
      </c>
      <c r="X249" s="14" t="inlineStr">
        <is>
          <t>3060312</t>
        </is>
      </c>
      <c r="Y249" s="14" t="inlineStr">
        <is>
          <t>V4</t>
        </is>
      </c>
      <c r="Z249" s="14" t="inlineStr">
        <is>
          <t>prior-2026-10-04-v1</t>
        </is>
      </c>
      <c r="AA249" s="14" t="inlineStr">
        <is>
          <t>C</t>
        </is>
      </c>
      <c r="AB249" s="14" t="n">
        <v>0.3955224407605724</v>
      </c>
      <c r="AC249" s="14" t="n">
        <v>0.2574006175093652</v>
      </c>
      <c r="AD249" s="14" t="n">
        <v>0</v>
      </c>
      <c r="AE249" s="14" t="n">
        <v>0</v>
      </c>
      <c r="AF249" s="14" t="n">
        <v>0.3470769417300624</v>
      </c>
      <c r="AG249" s="14" t="n">
        <v>0.08802794036759914</v>
      </c>
      <c r="AH249" s="14" t="n"/>
      <c r="AI249" s="14" t="n"/>
      <c r="AJ249" s="14" t="n">
        <v>0.08802794036759914</v>
      </c>
      <c r="AK249" s="14" t="n"/>
      <c r="AL249" s="14" t="n"/>
      <c r="AM249" s="14" t="n"/>
      <c r="AN249" s="14" t="inlineStr">
        <is>
          <t>EVALUATED</t>
        </is>
      </c>
      <c r="AO249" s="14" t="inlineStr">
        <is>
          <t>GIVING_VALIDATED_EDGE;BUCKET_PRIOR_ONLY;INTENT_INTERPRETATION_ONLY;FFL_OPTIONAL;EXPERT_MARKET</t>
        </is>
      </c>
      <c r="AP249" s="14" t="inlineStr">
        <is>
          <t>3b645d605524869b5b04</t>
        </is>
      </c>
      <c r="AQ249" s="14" t="n">
        <v>-0.75</v>
      </c>
      <c r="AR249" s="14" t="n">
        <v>0.83</v>
      </c>
      <c r="AS249" s="14" t="n">
        <v>-0.75</v>
      </c>
      <c r="AT249" s="14" t="n">
        <v>0.75</v>
      </c>
      <c r="AU249" s="14" t="n">
        <v>0.83</v>
      </c>
      <c r="AV249" s="14" t="n">
        <v>0.87</v>
      </c>
      <c r="AW249" s="14" t="inlineStr">
        <is>
          <t>2026-10-04T09:58:08.993953+08:00</t>
        </is>
      </c>
      <c r="AX249" s="14" t="inlineStr">
        <is>
          <t>Titan007 Next</t>
        </is>
      </c>
      <c r="AY249" s="14" t="inlineStr">
        <is>
          <t>V4 Shadow Only；real_money=false；新增冻结记录</t>
        </is>
      </c>
    </row>
    <row r="250" ht="22" customHeight="1" s="39">
      <c r="A250" s="14" t="inlineStr">
        <is>
          <t>2026-10-04</t>
        </is>
      </c>
      <c r="B250" s="14" t="inlineStr">
        <is>
          <t>2026-10-05 00:00:00</t>
        </is>
      </c>
      <c r="C250" s="14" t="inlineStr">
        <is>
          <t>NATIONAL_OFFICIAL</t>
        </is>
      </c>
      <c r="D250" s="14" t="inlineStr">
        <is>
          <t>联赛</t>
        </is>
      </c>
      <c r="E250" s="14" t="inlineStr">
        <is>
          <t>欧国联</t>
        </is>
      </c>
      <c r="F250" s="14" t="inlineStr">
        <is>
          <t>科索沃 vs 奥地利</t>
        </is>
      </c>
      <c r="G250" s="26" t="n">
        <v>0.99</v>
      </c>
      <c r="H250" s="26" t="n">
        <v>0.25</v>
      </c>
      <c r="I250" s="26" t="n">
        <v>0.89</v>
      </c>
      <c r="J250" s="26" t="inlineStr">
        <is>
          <t>0.99/0.25/0.89</t>
        </is>
      </c>
      <c r="K250" s="14" t="inlineStr">
        <is>
          <t>V4-B｜EV 0.38331391310610685</t>
        </is>
      </c>
      <c r="L250" s="14" t="inlineStr">
        <is>
          <t>科索沃</t>
        </is>
      </c>
      <c r="M250" s="47" t="n">
        <v>0.6321057599126028</v>
      </c>
      <c r="N250" s="14" t="inlineStr">
        <is>
          <t>V4纸面入选-B</t>
        </is>
      </c>
      <c r="O250" s="14" t="inlineStr">
        <is>
          <t>1-1</t>
        </is>
      </c>
      <c r="P250" s="14" t="inlineStr">
        <is>
          <t>已结算</t>
        </is>
      </c>
      <c r="Q250" s="14" t="inlineStr">
        <is>
          <t>半红</t>
        </is>
      </c>
      <c r="R250" s="48" t="n">
        <v>0.99</v>
      </c>
      <c r="S250" s="48" t="n">
        <v>0</v>
      </c>
      <c r="T250" s="14" t="inlineStr">
        <is>
          <t>D:\codex\v3_legacy\outputs\football_odds_trader\raw\titan007\20261004\20261004_135431_titan007_odds_snapshot.csv</t>
        </is>
      </c>
      <c r="U250" s="14">
        <f>IF(Q250="","",IF(Q250="待结算","待结算",IF(Q250="红","黑",IF(Q250="半红","半黑",IF(Q250="走","走",IF(Q250="半黑","半红","红"))))))</f>
        <v/>
      </c>
      <c r="V250" s="48">
        <f>IF(OR(U250="",U250="待结算"),"",IF(L250=LEFT(F250,FIND(" vs ",F250)-1),I250,G250))</f>
        <v/>
      </c>
      <c r="W250" s="48">
        <f>IF(OR(U250="",U250="待结算"),"",IF(U250="红",V250,IF(U250="半红",V250*0.5,IF(U250="走",0,IF(U250="半黑",-0.5,-1)))))</f>
        <v/>
      </c>
      <c r="X250" s="14" t="inlineStr">
        <is>
          <t>2981499</t>
        </is>
      </c>
      <c r="Y250" s="14" t="inlineStr">
        <is>
          <t>V4</t>
        </is>
      </c>
      <c r="Z250" s="14" t="inlineStr">
        <is>
          <t>prior-2026-10-04-v1</t>
        </is>
      </c>
      <c r="AA250" s="14" t="inlineStr">
        <is>
          <t>B</t>
        </is>
      </c>
      <c r="AB250" s="14" t="n">
        <v>0.5066823090325753</v>
      </c>
      <c r="AC250" s="14" t="n">
        <v>0.250846901760055</v>
      </c>
      <c r="AD250" s="14" t="n">
        <v>0</v>
      </c>
      <c r="AE250" s="14" t="n">
        <v>0</v>
      </c>
      <c r="AF250" s="14" t="n">
        <v>0.2424707892073699</v>
      </c>
      <c r="AG250" s="14" t="n">
        <v>0.3833139131061069</v>
      </c>
      <c r="AH250" s="14" t="n"/>
      <c r="AI250" s="14" t="n"/>
      <c r="AJ250" s="14" t="n">
        <v>0.3833139131061069</v>
      </c>
      <c r="AK250" s="14" t="n"/>
      <c r="AL250" s="14" t="n"/>
      <c r="AM250" s="14" t="n"/>
      <c r="AN250" s="14" t="inlineStr">
        <is>
          <t>EVALUATED</t>
        </is>
      </c>
      <c r="AO250" s="14" t="inlineStr">
        <is>
          <t>RECEIVING_VALIDATED_EDGE;BUCKET_PRIOR_ONLY;INTENT_INTERPRETATION_ONLY;FFL_OPTIONAL;EXPERT_MARKET</t>
        </is>
      </c>
      <c r="AP250" s="14" t="inlineStr">
        <is>
          <t>efd528eaf18f15201417</t>
        </is>
      </c>
      <c r="AQ250" s="14" t="n">
        <v>0.25</v>
      </c>
      <c r="AR250" s="14" t="n">
        <v>0.99</v>
      </c>
      <c r="AS250" s="14" t="n">
        <v>-0.25</v>
      </c>
      <c r="AT250" s="14" t="n">
        <v>0.25</v>
      </c>
      <c r="AU250" s="14" t="n">
        <v>0.89</v>
      </c>
      <c r="AV250" s="14" t="n">
        <v>0.99</v>
      </c>
      <c r="AW250" s="14" t="inlineStr">
        <is>
          <t>2026-10-04T09:58:08.993953+08:00</t>
        </is>
      </c>
      <c r="AX250" s="14" t="inlineStr">
        <is>
          <t>Titan007 Next</t>
        </is>
      </c>
      <c r="AY250" s="14" t="inlineStr">
        <is>
          <t>V4 Shadow Only；real_money=false；新增冻结记录</t>
        </is>
      </c>
    </row>
    <row r="251" ht="22" customHeight="1" s="39">
      <c r="A251" s="14" t="inlineStr">
        <is>
          <t>2026-10-04</t>
        </is>
      </c>
      <c r="B251" s="14" t="inlineStr">
        <is>
          <t>2026-10-05 00:00:00</t>
        </is>
      </c>
      <c r="C251" s="14" t="inlineStr">
        <is>
          <t>NATIONAL_OFFICIAL</t>
        </is>
      </c>
      <c r="D251" s="14" t="inlineStr">
        <is>
          <t>联赛</t>
        </is>
      </c>
      <c r="E251" s="14" t="inlineStr">
        <is>
          <t>欧国联</t>
        </is>
      </c>
      <c r="F251" s="14" t="inlineStr">
        <is>
          <t>马耳他 vs 安道尔</t>
        </is>
      </c>
      <c r="G251" s="26" t="n">
        <v>0.89</v>
      </c>
      <c r="H251" s="26" t="n">
        <v>-0.75</v>
      </c>
      <c r="I251" s="26" t="n">
        <v>0.99</v>
      </c>
      <c r="J251" s="26" t="inlineStr">
        <is>
          <t>0.89/-0.75/0.99</t>
        </is>
      </c>
      <c r="K251" s="14" t="inlineStr">
        <is>
          <t>V4-B｜EV 0.2601023284087615</t>
        </is>
      </c>
      <c r="L251" s="14" t="inlineStr">
        <is>
          <t>马耳他</t>
        </is>
      </c>
      <c r="M251" s="47" t="n">
        <v>0.5987607172106808</v>
      </c>
      <c r="N251" s="14" t="inlineStr">
        <is>
          <t>V4纸面入选-B</t>
        </is>
      </c>
      <c r="O251" s="14" t="inlineStr">
        <is>
          <t>1-0</t>
        </is>
      </c>
      <c r="P251" s="14" t="inlineStr">
        <is>
          <t>已结算</t>
        </is>
      </c>
      <c r="Q251" s="14" t="inlineStr">
        <is>
          <t>半红</t>
        </is>
      </c>
      <c r="R251" s="48" t="n">
        <v>0.89</v>
      </c>
      <c r="S251" s="48" t="n">
        <v>0.445</v>
      </c>
      <c r="T251" s="14" t="inlineStr">
        <is>
          <t>D:\codex\v3_legacy\outputs\football_odds_trader\raw\titan007\20261004\20261004_135431_titan007_odds_snapshot.csv</t>
        </is>
      </c>
      <c r="U251" s="14">
        <f>IF(Q251="","",IF(Q251="待结算","待结算",IF(Q251="红","黑",IF(Q251="半红","半黑",IF(Q251="走","走",IF(Q251="半黑","半红","红"))))))</f>
        <v/>
      </c>
      <c r="V251" s="48">
        <f>IF(OR(U251="",U251="待结算"),"",IF(L251=LEFT(F251,FIND(" vs ",F251)-1),I251,G251))</f>
        <v/>
      </c>
      <c r="W251" s="48">
        <f>IF(OR(U251="",U251="待结算"),"",IF(U251="红",V251,IF(U251="半红",V251*0.5,IF(U251="走",0,IF(U251="半黑",-0.5,-1)))))</f>
        <v/>
      </c>
      <c r="X251" s="14" t="inlineStr">
        <is>
          <t>2981578</t>
        </is>
      </c>
      <c r="Y251" s="14" t="inlineStr">
        <is>
          <t>V4</t>
        </is>
      </c>
      <c r="Z251" s="14" t="inlineStr">
        <is>
          <t>prior-2026-10-04-v1</t>
        </is>
      </c>
      <c r="AA251" s="14" t="inlineStr">
        <is>
          <t>B</t>
        </is>
      </c>
      <c r="AB251" s="14" t="n">
        <v>0.4703161443301062</v>
      </c>
      <c r="AC251" s="14" t="n">
        <v>0.2568891457611493</v>
      </c>
      <c r="AD251" s="14" t="n">
        <v>0</v>
      </c>
      <c r="AE251" s="14" t="n">
        <v>0</v>
      </c>
      <c r="AF251" s="14" t="n">
        <v>0.2727947099087445</v>
      </c>
      <c r="AG251" s="14" t="n">
        <v>0.2601023284087615</v>
      </c>
      <c r="AH251" s="14" t="n"/>
      <c r="AI251" s="14" t="n"/>
      <c r="AJ251" s="14" t="n">
        <v>0.2601023284087615</v>
      </c>
      <c r="AK251" s="14" t="n"/>
      <c r="AL251" s="14" t="n"/>
      <c r="AM251" s="14" t="n"/>
      <c r="AN251" s="14" t="inlineStr">
        <is>
          <t>EVALUATED</t>
        </is>
      </c>
      <c r="AO251" s="14" t="inlineStr">
        <is>
          <t>GIVING_VALIDATED_EDGE;BUCKET_PRIOR_ONLY;INTENT_INTERPRETATION_ONLY;FFL_OPTIONAL;EXPERT_MARKET</t>
        </is>
      </c>
      <c r="AP251" s="14" t="inlineStr">
        <is>
          <t>51a4242fdfb252cbf9c7</t>
        </is>
      </c>
      <c r="AQ251" s="14" t="n">
        <v>-0.75</v>
      </c>
      <c r="AR251" s="14" t="n">
        <v>0.89</v>
      </c>
      <c r="AS251" s="14" t="n">
        <v>-0.75</v>
      </c>
      <c r="AT251" s="14" t="n">
        <v>0.75</v>
      </c>
      <c r="AU251" s="14" t="n">
        <v>0.89</v>
      </c>
      <c r="AV251" s="14" t="n">
        <v>0.99</v>
      </c>
      <c r="AW251" s="14" t="inlineStr">
        <is>
          <t>2026-10-04T09:58:08.993953+08:00</t>
        </is>
      </c>
      <c r="AX251" s="14" t="inlineStr">
        <is>
          <t>Titan007 Next</t>
        </is>
      </c>
      <c r="AY251" s="14" t="inlineStr">
        <is>
          <t>V4 Shadow Only；real_money=false；新增冻结记录</t>
        </is>
      </c>
    </row>
    <row r="252" ht="22" customHeight="1" s="39">
      <c r="A252" s="14" t="inlineStr">
        <is>
          <t>2026-10-04</t>
        </is>
      </c>
      <c r="B252" s="14" t="inlineStr">
        <is>
          <t>2026-10-05 00:00:00</t>
        </is>
      </c>
      <c r="C252" s="14" t="inlineStr">
        <is>
          <t>CLUB_LEAGUE</t>
        </is>
      </c>
      <c r="D252" s="14" t="inlineStr">
        <is>
          <t>联赛</t>
        </is>
      </c>
      <c r="E252" s="14" t="inlineStr">
        <is>
          <t>西协乙2</t>
        </is>
      </c>
      <c r="F252" s="14" t="inlineStr">
        <is>
          <t>图德拉诺 vs 巴塞罗那B队</t>
        </is>
      </c>
      <c r="G252" s="26" t="n">
        <v>0.85</v>
      </c>
      <c r="H252" s="26" t="n">
        <v>0.5</v>
      </c>
      <c r="I252" s="26" t="n">
        <v>0.85</v>
      </c>
      <c r="J252" s="26" t="inlineStr">
        <is>
          <t>0.85/0.5/0.85</t>
        </is>
      </c>
      <c r="K252" s="14" t="inlineStr">
        <is>
          <t>V4-B｜EV 0.5114343244827059</t>
        </is>
      </c>
      <c r="L252" s="14" t="inlineStr">
        <is>
          <t>图德拉诺</t>
        </is>
      </c>
      <c r="M252" s="47" t="n">
        <v>0.8169915267474086</v>
      </c>
      <c r="N252" s="14" t="inlineStr">
        <is>
          <t>V4纸面入选-B</t>
        </is>
      </c>
      <c r="O252" s="14" t="inlineStr">
        <is>
          <t>1-2</t>
        </is>
      </c>
      <c r="P252" s="14" t="inlineStr">
        <is>
          <t>已结算</t>
        </is>
      </c>
      <c r="Q252" s="14" t="inlineStr">
        <is>
          <t>黑</t>
        </is>
      </c>
      <c r="R252" s="48" t="n">
        <v>0.85</v>
      </c>
      <c r="S252" s="48" t="n">
        <v>0.425</v>
      </c>
      <c r="T252" s="14" t="inlineStr">
        <is>
          <t>D:\codex\v3_legacy\outputs\football_odds_trader\raw\titan007\20261004\20261004_135431_titan007_odds_snapshot.csv</t>
        </is>
      </c>
      <c r="U252" s="14">
        <f>IF(Q252="","",IF(Q252="待结算","待结算",IF(Q252="红","黑",IF(Q252="半红","半黑",IF(Q252="走","走",IF(Q252="半黑","半红","红"))))))</f>
        <v/>
      </c>
      <c r="V252" s="48">
        <f>IF(OR(U252="",U252="待结算"),"",IF(L252=LEFT(F252,FIND(" vs ",F252)-1),I252,G252))</f>
        <v/>
      </c>
      <c r="W252" s="48">
        <f>IF(OR(U252="",U252="待结算"),"",IF(U252="红",V252,IF(U252="半红",V252*0.5,IF(U252="走",0,IF(U252="半黑",-0.5,-1)))))</f>
        <v/>
      </c>
      <c r="X252" s="14" t="inlineStr">
        <is>
          <t>3083299</t>
        </is>
      </c>
      <c r="Y252" s="14" t="inlineStr">
        <is>
          <t>V4</t>
        </is>
      </c>
      <c r="Z252" s="14" t="inlineStr">
        <is>
          <t>prior-2026-10-04-v1</t>
        </is>
      </c>
      <c r="AA252" s="14" t="inlineStr">
        <is>
          <t>B</t>
        </is>
      </c>
      <c r="AB252" s="14" t="n">
        <v>0.8169915267474086</v>
      </c>
      <c r="AC252" s="14" t="n">
        <v>0</v>
      </c>
      <c r="AD252" s="14" t="n">
        <v>0</v>
      </c>
      <c r="AE252" s="14" t="n">
        <v>0</v>
      </c>
      <c r="AF252" s="14" t="n">
        <v>0.1830084732525914</v>
      </c>
      <c r="AG252" s="14" t="n">
        <v>0.5114343244827059</v>
      </c>
      <c r="AH252" s="14" t="n"/>
      <c r="AI252" s="14" t="n"/>
      <c r="AJ252" s="14" t="n">
        <v>0.5114343244827059</v>
      </c>
      <c r="AK252" s="14" t="n"/>
      <c r="AL252" s="14" t="n"/>
      <c r="AM252" s="14" t="n"/>
      <c r="AN252" s="14" t="inlineStr">
        <is>
          <t>EVALUATED</t>
        </is>
      </c>
      <c r="AO252" s="14" t="inlineStr">
        <is>
          <t>RECEIVING_VALIDATED_EDGE;BUCKET_PRIOR_ONLY;INTENT_INTERPRETATION_ONLY;FFL_OPTIONAL;EXPERT_MARKET</t>
        </is>
      </c>
      <c r="AP252" s="14" t="inlineStr">
        <is>
          <t>7a5ff28f7be314cf9099</t>
        </is>
      </c>
      <c r="AQ252" s="14" t="n">
        <v>0.5</v>
      </c>
      <c r="AR252" s="14" t="n">
        <v>0.85</v>
      </c>
      <c r="AS252" s="14" t="n">
        <v>-0.5</v>
      </c>
      <c r="AT252" s="14" t="n">
        <v>0.5</v>
      </c>
      <c r="AU252" s="14" t="n">
        <v>0.85</v>
      </c>
      <c r="AV252" s="14" t="n">
        <v>0.85</v>
      </c>
      <c r="AW252" s="14" t="inlineStr">
        <is>
          <t>2026-10-04T09:58:08.993953+08:00</t>
        </is>
      </c>
      <c r="AX252" s="14" t="inlineStr">
        <is>
          <t>Titan007 Next</t>
        </is>
      </c>
      <c r="AY252" s="14" t="inlineStr">
        <is>
          <t>V4 Shadow Only；real_money=false；新增冻结记录</t>
        </is>
      </c>
    </row>
    <row r="253" ht="22" customHeight="1" s="39">
      <c r="A253" s="14" t="inlineStr">
        <is>
          <t>2026-10-04</t>
        </is>
      </c>
      <c r="B253" s="14" t="inlineStr">
        <is>
          <t>2026-10-05 00:00:00</t>
        </is>
      </c>
      <c r="C253" s="14" t="inlineStr">
        <is>
          <t>CLUB_LEAGUE</t>
        </is>
      </c>
      <c r="D253" s="14" t="inlineStr">
        <is>
          <t>联赛</t>
        </is>
      </c>
      <c r="E253" s="14" t="inlineStr">
        <is>
          <t>意女甲</t>
        </is>
      </c>
      <c r="F253" s="14" t="inlineStr">
        <is>
          <t>FC科莫女足 vs 国际米兰女足</t>
        </is>
      </c>
      <c r="G253" s="26" t="n">
        <v>0.86</v>
      </c>
      <c r="H253" s="26" t="n">
        <v>0.75</v>
      </c>
      <c r="I253" s="26" t="n">
        <v>0.84</v>
      </c>
      <c r="J253" s="26" t="inlineStr">
        <is>
          <t>0.86/0.75/0.84</t>
        </is>
      </c>
      <c r="K253" s="14" t="inlineStr">
        <is>
          <t>V4-B｜EV 0.6576965672066817</t>
        </is>
      </c>
      <c r="L253" s="14" t="inlineStr">
        <is>
          <t>FC科莫女足</t>
        </is>
      </c>
      <c r="M253" s="47" t="n">
        <v>0.8649106049306413</v>
      </c>
      <c r="N253" s="14" t="inlineStr">
        <is>
          <t>V4纸面入选-B</t>
        </is>
      </c>
      <c r="O253" s="14" t="inlineStr">
        <is>
          <t>0-2</t>
        </is>
      </c>
      <c r="P253" s="14" t="inlineStr">
        <is>
          <t>已结算</t>
        </is>
      </c>
      <c r="Q253" s="14" t="inlineStr">
        <is>
          <t>黑</t>
        </is>
      </c>
      <c r="R253" s="48" t="n">
        <v>0.86</v>
      </c>
      <c r="S253" s="48" t="n">
        <v>0.43</v>
      </c>
      <c r="T253" s="14" t="inlineStr">
        <is>
          <t>D:\codex\v3_legacy\outputs\football_odds_trader\raw\titan007\20261004\20261004_135431_titan007_odds_snapshot.csv</t>
        </is>
      </c>
      <c r="U253" s="14">
        <f>IF(Q253="","",IF(Q253="待结算","待结算",IF(Q253="红","黑",IF(Q253="半红","半黑",IF(Q253="走","走",IF(Q253="半黑","半红","红"))))))</f>
        <v/>
      </c>
      <c r="V253" s="48">
        <f>IF(OR(U253="",U253="待结算"),"",IF(L253=LEFT(F253,FIND(" vs ",F253)-1),I253,G253))</f>
        <v/>
      </c>
      <c r="W253" s="48">
        <f>IF(OR(U253="",U253="待结算"),"",IF(U253="红",V253,IF(U253="半红",V253*0.5,IF(U253="走",0,IF(U253="半黑",-0.5,-1)))))</f>
        <v/>
      </c>
      <c r="X253" s="14" t="inlineStr">
        <is>
          <t>3042386</t>
        </is>
      </c>
      <c r="Y253" s="14" t="inlineStr">
        <is>
          <t>V4</t>
        </is>
      </c>
      <c r="Z253" s="14" t="inlineStr">
        <is>
          <t>prior-2026-10-04-v1</t>
        </is>
      </c>
      <c r="AA253" s="14" t="inlineStr">
        <is>
          <t>B</t>
        </is>
      </c>
      <c r="AB253" s="14" t="n">
        <v>0.8649106049306413</v>
      </c>
      <c r="AC253" s="14" t="n">
        <v>0</v>
      </c>
      <c r="AD253" s="14" t="n">
        <v>0</v>
      </c>
      <c r="AE253" s="14" t="n">
        <v>0.09792568407137797</v>
      </c>
      <c r="AF253" s="14" t="n">
        <v>0.03716371099798071</v>
      </c>
      <c r="AG253" s="14" t="n">
        <v>0.6576965672066817</v>
      </c>
      <c r="AH253" s="14" t="n"/>
      <c r="AI253" s="14" t="n"/>
      <c r="AJ253" s="14" t="n">
        <v>0.6576965672066817</v>
      </c>
      <c r="AK253" s="14" t="n"/>
      <c r="AL253" s="14" t="n"/>
      <c r="AM253" s="14" t="n"/>
      <c r="AN253" s="14" t="inlineStr">
        <is>
          <t>EVALUATED</t>
        </is>
      </c>
      <c r="AO253" s="14" t="inlineStr">
        <is>
          <t>RECEIVING_VALIDATED_EDGE;BUCKET_PRIOR_ONLY;INTENT_INTERPRETATION_ONLY;FFL_OPTIONAL;EXPERT_MARKET</t>
        </is>
      </c>
      <c r="AP253" s="14" t="inlineStr">
        <is>
          <t>23f99f64f93597a537d7</t>
        </is>
      </c>
      <c r="AQ253" s="14" t="n">
        <v>0.75</v>
      </c>
      <c r="AR253" s="14" t="n">
        <v>0.86</v>
      </c>
      <c r="AS253" s="14" t="n">
        <v>-0.75</v>
      </c>
      <c r="AT253" s="14" t="n">
        <v>0.75</v>
      </c>
      <c r="AU253" s="14" t="n">
        <v>0.84</v>
      </c>
      <c r="AV253" s="14" t="n">
        <v>0.86</v>
      </c>
      <c r="AW253" s="14" t="inlineStr">
        <is>
          <t>2026-10-04T09:58:08.993953+08:00</t>
        </is>
      </c>
      <c r="AX253" s="14" t="inlineStr">
        <is>
          <t>Titan007 Next</t>
        </is>
      </c>
      <c r="AY253" s="14" t="inlineStr">
        <is>
          <t>V4 Shadow Only；real_money=false；新增冻结记录</t>
        </is>
      </c>
    </row>
    <row r="254" ht="22" customHeight="1" s="39">
      <c r="A254" s="14" t="inlineStr">
        <is>
          <t>2026-10-04</t>
        </is>
      </c>
      <c r="B254" s="14" t="inlineStr">
        <is>
          <t>2026-10-05 00:00:00</t>
        </is>
      </c>
      <c r="C254" s="14" t="inlineStr">
        <is>
          <t>CLUB_LEAGUE</t>
        </is>
      </c>
      <c r="D254" s="14" t="inlineStr">
        <is>
          <t>联赛</t>
        </is>
      </c>
      <c r="E254" s="14" t="inlineStr">
        <is>
          <t>乌拉乙</t>
        </is>
      </c>
      <c r="F254" s="14" t="inlineStr">
        <is>
          <t>芬斯 vs 蒙特维迪奥</t>
        </is>
      </c>
      <c r="G254" s="26" t="n">
        <v>0.71</v>
      </c>
      <c r="H254" s="26" t="n">
        <v>-0.75</v>
      </c>
      <c r="I254" s="26" t="n">
        <v>0.99</v>
      </c>
      <c r="J254" s="26" t="inlineStr">
        <is>
          <t>0.71/-0.75/0.99</t>
        </is>
      </c>
      <c r="K254" s="14" t="inlineStr">
        <is>
          <t>V4-B｜EV 0.07309228705741816</t>
        </is>
      </c>
      <c r="L254" s="14" t="inlineStr">
        <is>
          <t>芬斯</t>
        </is>
      </c>
      <c r="M254" s="47" t="n">
        <v>0.5521419035667596</v>
      </c>
      <c r="N254" s="14" t="inlineStr">
        <is>
          <t>V4纸面入选-B</t>
        </is>
      </c>
      <c r="O254" s="14" t="inlineStr">
        <is>
          <t>2-0</t>
        </is>
      </c>
      <c r="P254" s="14" t="inlineStr">
        <is>
          <t>已结算</t>
        </is>
      </c>
      <c r="Q254" s="14" t="inlineStr">
        <is>
          <t>红</t>
        </is>
      </c>
      <c r="R254" s="48" t="n">
        <v>0.71</v>
      </c>
      <c r="S254" s="48" t="n">
        <v>0.355</v>
      </c>
      <c r="T254" s="14" t="inlineStr">
        <is>
          <t>D:\codex\v3_legacy\outputs\football_odds_trader\raw\titan007\20261004\20261004_135431_titan007_odds_snapshot.csv</t>
        </is>
      </c>
      <c r="U254" s="14">
        <f>IF(Q254="","",IF(Q254="待结算","待结算",IF(Q254="红","黑",IF(Q254="半红","半黑",IF(Q254="走","走",IF(Q254="半黑","半红","红"))))))</f>
        <v/>
      </c>
      <c r="V254" s="48">
        <f>IF(OR(U254="",U254="待结算"),"",IF(L254=LEFT(F254,FIND(" vs ",F254)-1),I254,G254))</f>
        <v/>
      </c>
      <c r="W254" s="48">
        <f>IF(OR(U254="",U254="待结算"),"",IF(U254="红",V254,IF(U254="半红",V254*0.5,IF(U254="走",0,IF(U254="半黑",-0.5,-1)))))</f>
        <v/>
      </c>
      <c r="X254" s="14" t="inlineStr">
        <is>
          <t>3096435</t>
        </is>
      </c>
      <c r="Y254" s="14" t="inlineStr">
        <is>
          <t>V4</t>
        </is>
      </c>
      <c r="Z254" s="14" t="inlineStr">
        <is>
          <t>prior-2026-10-04-v1</t>
        </is>
      </c>
      <c r="AA254" s="14" t="inlineStr">
        <is>
          <t>B</t>
        </is>
      </c>
      <c r="AB254" s="14" t="n">
        <v>0.4232122716085005</v>
      </c>
      <c r="AC254" s="14" t="n">
        <v>0.2578592639165183</v>
      </c>
      <c r="AD254" s="14" t="n">
        <v>0</v>
      </c>
      <c r="AE254" s="14" t="n">
        <v>0</v>
      </c>
      <c r="AF254" s="14" t="n">
        <v>0.3189284644749811</v>
      </c>
      <c r="AG254" s="14" t="n">
        <v>0.07309228705741816</v>
      </c>
      <c r="AH254" s="14" t="n"/>
      <c r="AI254" s="14" t="n"/>
      <c r="AJ254" s="14" t="n">
        <v>0.07309228705741816</v>
      </c>
      <c r="AK254" s="14" t="n"/>
      <c r="AL254" s="14" t="n"/>
      <c r="AM254" s="14" t="n"/>
      <c r="AN254" s="14" t="inlineStr">
        <is>
          <t>EVALUATED</t>
        </is>
      </c>
      <c r="AO254" s="14" t="inlineStr">
        <is>
          <t>GIVING_VALIDATED_EDGE;BUCKET_PRIOR_ONLY;INTENT_INTERPRETATION_ONLY;FFL_OPTIONAL;EXPERT_MARKET</t>
        </is>
      </c>
      <c r="AP254" s="14" t="inlineStr">
        <is>
          <t>5f428a7238ca984025be</t>
        </is>
      </c>
      <c r="AQ254" s="14" t="n">
        <v>-0.75</v>
      </c>
      <c r="AR254" s="14" t="n">
        <v>0.71</v>
      </c>
      <c r="AS254" s="14" t="n">
        <v>-0.75</v>
      </c>
      <c r="AT254" s="14" t="n">
        <v>0.75</v>
      </c>
      <c r="AU254" s="14" t="n">
        <v>0.71</v>
      </c>
      <c r="AV254" s="14" t="n">
        <v>0.99</v>
      </c>
      <c r="AW254" s="14" t="inlineStr">
        <is>
          <t>2026-10-04T09:58:08.993953+08:00</t>
        </is>
      </c>
      <c r="AX254" s="14" t="inlineStr">
        <is>
          <t>Titan007 Next</t>
        </is>
      </c>
      <c r="AY254" s="14" t="inlineStr">
        <is>
          <t>V4 Shadow Only；real_money=false；新增冻结记录</t>
        </is>
      </c>
    </row>
    <row r="255" ht="22" customHeight="1" s="39">
      <c r="A255" s="14" t="inlineStr">
        <is>
          <t>2026-10-04</t>
        </is>
      </c>
      <c r="B255" s="14" t="inlineStr">
        <is>
          <t>2026-10-05 00:30:00</t>
        </is>
      </c>
      <c r="C255" s="14" t="inlineStr">
        <is>
          <t>CLUB_LEAGUE</t>
        </is>
      </c>
      <c r="D255" s="14" t="inlineStr">
        <is>
          <t>联赛</t>
        </is>
      </c>
      <c r="E255" s="14" t="inlineStr">
        <is>
          <t>西乙</t>
        </is>
      </c>
      <c r="F255" s="14" t="inlineStr">
        <is>
          <t>卡斯迪隆 vs 休达</t>
        </is>
      </c>
      <c r="G255" s="26" t="n">
        <v>0.84</v>
      </c>
      <c r="H255" s="26" t="n">
        <v>-1.75</v>
      </c>
      <c r="I255" s="26" t="n">
        <v>1.04</v>
      </c>
      <c r="J255" s="26" t="inlineStr">
        <is>
          <t>0.84/-1.75/1.04</t>
        </is>
      </c>
      <c r="K255" s="14" t="inlineStr">
        <is>
          <t>V4-B｜EV 0.1614046496922219</t>
        </is>
      </c>
      <c r="L255" s="14" t="inlineStr">
        <is>
          <t>卡斯迪隆</t>
        </is>
      </c>
      <c r="M255" s="47" t="n">
        <v>0.5640533852883842</v>
      </c>
      <c r="N255" s="14" t="inlineStr">
        <is>
          <t>V4纸面入选-B</t>
        </is>
      </c>
      <c r="O255" s="14" t="inlineStr">
        <is>
          <t>1-1</t>
        </is>
      </c>
      <c r="P255" s="14" t="inlineStr">
        <is>
          <t>已结算</t>
        </is>
      </c>
      <c r="Q255" s="14" t="inlineStr">
        <is>
          <t>黑</t>
        </is>
      </c>
      <c r="R255" s="48" t="n">
        <v>0.84</v>
      </c>
      <c r="S255" s="48" t="n">
        <v>0.42</v>
      </c>
      <c r="T255" s="14" t="inlineStr">
        <is>
          <t>D:\codex\v3_legacy\outputs\football_odds_trader\raw\titan007\20261004\20261004_135431_titan007_odds_snapshot.csv</t>
        </is>
      </c>
      <c r="U255" s="14">
        <f>IF(Q255="","",IF(Q255="待结算","待结算",IF(Q255="红","黑",IF(Q255="半红","半黑",IF(Q255="走","走",IF(Q255="半黑","半红","红"))))))</f>
        <v/>
      </c>
      <c r="V255" s="48">
        <f>IF(OR(U255="",U255="待结算"),"",IF(L255=LEFT(F255,FIND(" vs ",F255)-1),I255,G255))</f>
        <v/>
      </c>
      <c r="W255" s="48">
        <f>IF(OR(U255="",U255="待结算"),"",IF(U255="红",V255,IF(U255="半红",V255*0.5,IF(U255="走",0,IF(U255="半黑",-0.5,-1)))))</f>
        <v/>
      </c>
      <c r="X255" s="14" t="inlineStr">
        <is>
          <t>3014102</t>
        </is>
      </c>
      <c r="Y255" s="14" t="inlineStr">
        <is>
          <t>V4</t>
        </is>
      </c>
      <c r="Z255" s="14" t="inlineStr">
        <is>
          <t>prior-2026-10-04-v1</t>
        </is>
      </c>
      <c r="AA255" s="14" t="inlineStr">
        <is>
          <t>B</t>
        </is>
      </c>
      <c r="AB255" s="14" t="n">
        <v>0.4405069645267892</v>
      </c>
      <c r="AC255" s="14" t="n">
        <v>0.24709284152319</v>
      </c>
      <c r="AD255" s="14" t="n">
        <v>0</v>
      </c>
      <c r="AE255" s="14" t="n">
        <v>0</v>
      </c>
      <c r="AF255" s="14" t="n">
        <v>0.3124001939500208</v>
      </c>
      <c r="AG255" s="14" t="n">
        <v>0.1614046496922219</v>
      </c>
      <c r="AH255" s="14" t="n"/>
      <c r="AI255" s="14" t="n"/>
      <c r="AJ255" s="14" t="n">
        <v>0.1614046496922219</v>
      </c>
      <c r="AK255" s="14" t="n"/>
      <c r="AL255" s="14" t="n"/>
      <c r="AM255" s="14" t="n"/>
      <c r="AN255" s="14" t="inlineStr">
        <is>
          <t>EVALUATED</t>
        </is>
      </c>
      <c r="AO255" s="14" t="inlineStr">
        <is>
          <t>GIVING_VALIDATED_EDGE;BUCKET_PRIOR_ONLY;INTENT_INTERPRETATION_ONLY;FFL_OPTIONAL;EXPERT_MARKET</t>
        </is>
      </c>
      <c r="AP255" s="14" t="inlineStr">
        <is>
          <t>62ef9a7a815f7e6c376f</t>
        </is>
      </c>
      <c r="AQ255" s="14" t="n">
        <v>-1.75</v>
      </c>
      <c r="AR255" s="14" t="n">
        <v>0.84</v>
      </c>
      <c r="AS255" s="14" t="n">
        <v>-1.75</v>
      </c>
      <c r="AT255" s="14" t="n">
        <v>1.75</v>
      </c>
      <c r="AU255" s="14" t="n">
        <v>0.84</v>
      </c>
      <c r="AV255" s="14" t="n">
        <v>1.04</v>
      </c>
      <c r="AW255" s="14" t="inlineStr">
        <is>
          <t>2026-10-04T09:58:08.993953+08:00</t>
        </is>
      </c>
      <c r="AX255" s="14" t="inlineStr">
        <is>
          <t>Titan007 Next</t>
        </is>
      </c>
      <c r="AY255" s="14" t="inlineStr">
        <is>
          <t>V4 Shadow Only；real_money=false；新增冻结记录</t>
        </is>
      </c>
    </row>
    <row r="256" ht="22" customHeight="1" s="39">
      <c r="A256" s="14" t="inlineStr">
        <is>
          <t>2026-10-04</t>
        </is>
      </c>
      <c r="B256" s="14" t="inlineStr">
        <is>
          <t>2026-10-05 00:30:00</t>
        </is>
      </c>
      <c r="C256" s="14" t="inlineStr">
        <is>
          <t>CLUB_LEAGUE</t>
        </is>
      </c>
      <c r="D256" s="14" t="inlineStr">
        <is>
          <t>联赛</t>
        </is>
      </c>
      <c r="E256" s="14" t="inlineStr">
        <is>
          <t>西乙</t>
        </is>
      </c>
      <c r="F256" s="14" t="inlineStr">
        <is>
          <t>拉斯帕尔马斯 vs 巴拉多利德</t>
        </is>
      </c>
      <c r="G256" s="26" t="n">
        <v>0.96</v>
      </c>
      <c r="H256" s="26" t="n">
        <v>-0.25</v>
      </c>
      <c r="I256" s="26" t="n">
        <v>0.92</v>
      </c>
      <c r="J256" s="26" t="inlineStr">
        <is>
          <t>0.96/-0.25/0.92</t>
        </is>
      </c>
      <c r="K256" s="14" t="inlineStr">
        <is>
          <t>V4-B｜EV 0.0880112193609146</t>
        </is>
      </c>
      <c r="L256" s="14" t="inlineStr">
        <is>
          <t>拉斯帕尔马斯</t>
        </is>
      </c>
      <c r="M256" s="47" t="n">
        <v>0.4899914787763539</v>
      </c>
      <c r="N256" s="14" t="inlineStr">
        <is>
          <t>V4纸面入选-B</t>
        </is>
      </c>
      <c r="O256" s="14" t="inlineStr">
        <is>
          <t>2-2</t>
        </is>
      </c>
      <c r="P256" s="14" t="inlineStr">
        <is>
          <t>已结算</t>
        </is>
      </c>
      <c r="Q256" s="14" t="inlineStr">
        <is>
          <t>半黑</t>
        </is>
      </c>
      <c r="R256" s="48" t="n">
        <v>0.96</v>
      </c>
      <c r="S256" s="48" t="n">
        <v>0</v>
      </c>
      <c r="T256" s="14" t="inlineStr">
        <is>
          <t>D:\codex\v3_legacy\outputs\football_odds_trader\raw\titan007\20261004\20261004_135431_titan007_odds_snapshot.csv</t>
        </is>
      </c>
      <c r="U256" s="14">
        <f>IF(Q256="","",IF(Q256="待结算","待结算",IF(Q256="红","黑",IF(Q256="半红","半黑",IF(Q256="走","走",IF(Q256="半黑","半红","红"))))))</f>
        <v/>
      </c>
      <c r="V256" s="48">
        <f>IF(OR(U256="",U256="待结算"),"",IF(L256=LEFT(F256,FIND(" vs ",F256)-1),I256,G256))</f>
        <v/>
      </c>
      <c r="W256" s="48">
        <f>IF(OR(U256="",U256="待结算"),"",IF(U256="红",V256,IF(U256="半红",V256*0.5,IF(U256="走",0,IF(U256="半黑",-0.5,-1)))))</f>
        <v/>
      </c>
      <c r="X256" s="14" t="inlineStr">
        <is>
          <t>3014106</t>
        </is>
      </c>
      <c r="Y256" s="14" t="inlineStr">
        <is>
          <t>V4</t>
        </is>
      </c>
      <c r="Z256" s="14" t="inlineStr">
        <is>
          <t>prior-2026-10-04-v1</t>
        </is>
      </c>
      <c r="AA256" s="14" t="inlineStr">
        <is>
          <t>B</t>
        </is>
      </c>
      <c r="AB256" s="14" t="n">
        <v>0.4899914787763539</v>
      </c>
      <c r="AC256" s="14" t="n">
        <v>0</v>
      </c>
      <c r="AD256" s="14" t="n">
        <v>0</v>
      </c>
      <c r="AE256" s="14" t="n">
        <v>0.2552558419185218</v>
      </c>
      <c r="AF256" s="14" t="n">
        <v>0.2547526793051242</v>
      </c>
      <c r="AG256" s="14" t="n">
        <v>0.08801121936091461</v>
      </c>
      <c r="AH256" s="14" t="n"/>
      <c r="AI256" s="14" t="n"/>
      <c r="AJ256" s="14" t="n">
        <v>0.08801121936091461</v>
      </c>
      <c r="AK256" s="14" t="n"/>
      <c r="AL256" s="14" t="n"/>
      <c r="AM256" s="14" t="n"/>
      <c r="AN256" s="14" t="inlineStr">
        <is>
          <t>EVALUATED</t>
        </is>
      </c>
      <c r="AO256" s="14" t="inlineStr">
        <is>
          <t>GIVING_VALIDATED_EDGE;BUCKET_PRIOR_ONLY;INTENT_INTERPRETATION_ONLY;FFL_OPTIONAL;EXPERT_MARKET</t>
        </is>
      </c>
      <c r="AP256" s="14" t="inlineStr">
        <is>
          <t>0cd9d52d432568458447</t>
        </is>
      </c>
      <c r="AQ256" s="14" t="n">
        <v>-0.25</v>
      </c>
      <c r="AR256" s="14" t="n">
        <v>0.96</v>
      </c>
      <c r="AS256" s="14" t="n">
        <v>-0.25</v>
      </c>
      <c r="AT256" s="14" t="n">
        <v>0.25</v>
      </c>
      <c r="AU256" s="14" t="n">
        <v>0.96</v>
      </c>
      <c r="AV256" s="14" t="n">
        <v>0.92</v>
      </c>
      <c r="AW256" s="14" t="inlineStr">
        <is>
          <t>2026-10-04T09:58:08.993953+08:00</t>
        </is>
      </c>
      <c r="AX256" s="14" t="inlineStr">
        <is>
          <t>Titan007 Next</t>
        </is>
      </c>
      <c r="AY256" s="14" t="inlineStr">
        <is>
          <t>V4 Shadow Only；real_money=false；新增冻结记录</t>
        </is>
      </c>
    </row>
    <row r="257" ht="22" customHeight="1" s="39">
      <c r="A257" s="14" t="inlineStr">
        <is>
          <t>2026-10-04</t>
        </is>
      </c>
      <c r="B257" s="14" t="inlineStr">
        <is>
          <t>2026-10-05 00:30:00</t>
        </is>
      </c>
      <c r="C257" s="14" t="inlineStr">
        <is>
          <t>UNKNOWN</t>
        </is>
      </c>
      <c r="D257" s="14" t="inlineStr">
        <is>
          <t>联赛</t>
        </is>
      </c>
      <c r="E257" s="14" t="inlineStr">
        <is>
          <t>德女联</t>
        </is>
      </c>
      <c r="F257" s="14" t="inlineStr">
        <is>
          <t>纽伦堡女足 vs 霍芬海姆女足</t>
        </is>
      </c>
      <c r="G257" s="26" t="n">
        <v>0.93</v>
      </c>
      <c r="H257" s="26" t="n">
        <v>0.5</v>
      </c>
      <c r="I257" s="26" t="n">
        <v>0.77</v>
      </c>
      <c r="J257" s="26" t="inlineStr">
        <is>
          <t>0.93/0.5/0.77</t>
        </is>
      </c>
      <c r="K257" s="14" t="inlineStr">
        <is>
          <t>V4-C｜EV 0.6085269227215041</t>
        </is>
      </c>
      <c r="L257" s="14" t="inlineStr">
        <is>
          <t>纽伦堡女足</t>
        </is>
      </c>
      <c r="M257" s="47" t="n">
        <v>0.8334336387158052</v>
      </c>
      <c r="N257" s="14" t="inlineStr">
        <is>
          <t>V4纸面入选-C</t>
        </is>
      </c>
      <c r="O257" s="14" t="inlineStr">
        <is>
          <t>1-2</t>
        </is>
      </c>
      <c r="P257" s="14" t="inlineStr">
        <is>
          <t>已结算</t>
        </is>
      </c>
      <c r="Q257" s="14" t="inlineStr">
        <is>
          <t>黑</t>
        </is>
      </c>
      <c r="R257" s="48" t="n">
        <v>0.93</v>
      </c>
      <c r="S257" s="48" t="n">
        <v>0.465</v>
      </c>
      <c r="T257" s="14" t="inlineStr">
        <is>
          <t>D:\codex\v3_legacy\outputs\football_odds_trader\raw\titan007\20261004\20261004_135431_titan007_odds_snapshot.csv</t>
        </is>
      </c>
      <c r="U257" s="14">
        <f>IF(Q257="","",IF(Q257="待结算","待结算",IF(Q257="红","黑",IF(Q257="半红","半黑",IF(Q257="走","走",IF(Q257="半黑","半红","红"))))))</f>
        <v/>
      </c>
      <c r="V257" s="48">
        <f>IF(OR(U257="",U257="待结算"),"",IF(L257=LEFT(F257,FIND(" vs ",F257)-1),I257,G257))</f>
        <v/>
      </c>
      <c r="W257" s="48">
        <f>IF(OR(U257="",U257="待结算"),"",IF(U257="红",V257,IF(U257="半红",V257*0.5,IF(U257="走",0,IF(U257="半黑",-0.5,-1)))))</f>
        <v/>
      </c>
      <c r="X257" s="14" t="inlineStr">
        <is>
          <t>3034793</t>
        </is>
      </c>
      <c r="Y257" s="14" t="inlineStr">
        <is>
          <t>V4</t>
        </is>
      </c>
      <c r="Z257" s="14" t="inlineStr">
        <is>
          <t>prior-2026-10-04-v1</t>
        </is>
      </c>
      <c r="AA257" s="14" t="inlineStr">
        <is>
          <t>C</t>
        </is>
      </c>
      <c r="AB257" s="14" t="n">
        <v>0.8334336387158052</v>
      </c>
      <c r="AC257" s="14" t="n">
        <v>0</v>
      </c>
      <c r="AD257" s="14" t="n">
        <v>0</v>
      </c>
      <c r="AE257" s="14" t="n">
        <v>0</v>
      </c>
      <c r="AF257" s="14" t="n">
        <v>0.1665663612841947</v>
      </c>
      <c r="AG257" s="14" t="n">
        <v>0.6085269227215041</v>
      </c>
      <c r="AH257" s="14" t="n"/>
      <c r="AI257" s="14" t="n"/>
      <c r="AJ257" s="14" t="n">
        <v>0.6085269227215041</v>
      </c>
      <c r="AK257" s="14" t="n"/>
      <c r="AL257" s="14" t="n"/>
      <c r="AM257" s="14" t="n"/>
      <c r="AN257" s="14" t="inlineStr">
        <is>
          <t>EVALUATED</t>
        </is>
      </c>
      <c r="AO257" s="14" t="inlineStr">
        <is>
          <t>RECEIVING_VALIDATED_EDGE;BUCKET_PRIOR_ONLY;INTENT_INTERPRETATION_ONLY;FFL_OPTIONAL;EXPERT_MARKET</t>
        </is>
      </c>
      <c r="AP257" s="14" t="inlineStr">
        <is>
          <t>a41c126b9a0f552a9805</t>
        </is>
      </c>
      <c r="AQ257" s="14" t="n">
        <v>0.5</v>
      </c>
      <c r="AR257" s="14" t="n">
        <v>0.93</v>
      </c>
      <c r="AS257" s="14" t="n">
        <v>-0.5</v>
      </c>
      <c r="AT257" s="14" t="n">
        <v>0.5</v>
      </c>
      <c r="AU257" s="14" t="n">
        <v>0.77</v>
      </c>
      <c r="AV257" s="14" t="n">
        <v>0.93</v>
      </c>
      <c r="AW257" s="14" t="inlineStr">
        <is>
          <t>2026-10-04T09:58:08.993953+08:00</t>
        </is>
      </c>
      <c r="AX257" s="14" t="inlineStr">
        <is>
          <t>Titan007 Next</t>
        </is>
      </c>
      <c r="AY257" s="14" t="inlineStr">
        <is>
          <t>V4 Shadow Only；real_money=false；新增冻结记录</t>
        </is>
      </c>
    </row>
    <row r="258" ht="22" customHeight="1" s="39">
      <c r="A258" s="14" t="inlineStr">
        <is>
          <t>2026-10-04</t>
        </is>
      </c>
      <c r="B258" s="14" t="inlineStr">
        <is>
          <t>2026-10-05 00:45:00</t>
        </is>
      </c>
      <c r="C258" s="14" t="inlineStr">
        <is>
          <t>CLUB_LEAGUE</t>
        </is>
      </c>
      <c r="D258" s="14" t="inlineStr">
        <is>
          <t>联赛</t>
        </is>
      </c>
      <c r="E258" s="14" t="inlineStr">
        <is>
          <t>西协甲</t>
        </is>
      </c>
      <c r="F258" s="14" t="inlineStr">
        <is>
          <t>艾基史拉斯 vs 瑞欧马加达宏达</t>
        </is>
      </c>
      <c r="G258" s="26" t="n">
        <v>0.82</v>
      </c>
      <c r="H258" s="26" t="n">
        <v>-0.5</v>
      </c>
      <c r="I258" s="26" t="n">
        <v>0.88</v>
      </c>
      <c r="J258" s="26" t="inlineStr">
        <is>
          <t>0.82/-0.5/0.88</t>
        </is>
      </c>
      <c r="K258" s="14" t="inlineStr">
        <is>
          <t>V4-C｜EV 0.05104475998949359</t>
        </is>
      </c>
      <c r="L258" s="14" t="inlineStr">
        <is>
          <t>艾基史拉斯</t>
        </is>
      </c>
      <c r="M258" s="47" t="n">
        <v>0.5774971208733481</v>
      </c>
      <c r="N258" s="14" t="inlineStr">
        <is>
          <t>V4纸面入选-C</t>
        </is>
      </c>
      <c r="O258" s="14" t="inlineStr">
        <is>
          <t>1-0</t>
        </is>
      </c>
      <c r="P258" s="14" t="inlineStr">
        <is>
          <t>已结算</t>
        </is>
      </c>
      <c r="Q258" s="14" t="inlineStr">
        <is>
          <t>红</t>
        </is>
      </c>
      <c r="R258" s="48" t="n">
        <v>0.82</v>
      </c>
      <c r="S258" s="48" t="n">
        <v>0.41</v>
      </c>
      <c r="T258" s="14" t="inlineStr">
        <is>
          <t>D:\codex\v3_legacy\outputs\football_odds_trader\raw\titan007\20261004\20261004_135431_titan007_odds_snapshot.csv</t>
        </is>
      </c>
      <c r="U258" s="14">
        <f>IF(Q258="","",IF(Q258="待结算","待结算",IF(Q258="红","黑",IF(Q258="半红","半黑",IF(Q258="走","走",IF(Q258="半黑","半红","红"))))))</f>
        <v/>
      </c>
      <c r="V258" s="48">
        <f>IF(OR(U258="",U258="待结算"),"",IF(L258=LEFT(F258,FIND(" vs ",F258)-1),I258,G258))</f>
        <v/>
      </c>
      <c r="W258" s="48">
        <f>IF(OR(U258="",U258="待结算"),"",IF(U258="红",V258,IF(U258="半红",V258*0.5,IF(U258="走",0,IF(U258="半黑",-0.5,-1)))))</f>
        <v/>
      </c>
      <c r="X258" s="14" t="inlineStr">
        <is>
          <t>3014915</t>
        </is>
      </c>
      <c r="Y258" s="14" t="inlineStr">
        <is>
          <t>V4</t>
        </is>
      </c>
      <c r="Z258" s="14" t="inlineStr">
        <is>
          <t>prior-2026-10-04-v1</t>
        </is>
      </c>
      <c r="AA258" s="14" t="inlineStr">
        <is>
          <t>C</t>
        </is>
      </c>
      <c r="AB258" s="14" t="n">
        <v>0.5774971208733481</v>
      </c>
      <c r="AC258" s="14" t="n">
        <v>0</v>
      </c>
      <c r="AD258" s="14" t="n">
        <v>0</v>
      </c>
      <c r="AE258" s="14" t="n">
        <v>0</v>
      </c>
      <c r="AF258" s="14" t="n">
        <v>0.4225028791266519</v>
      </c>
      <c r="AG258" s="14" t="n">
        <v>0.05104475998949359</v>
      </c>
      <c r="AH258" s="14" t="n"/>
      <c r="AI258" s="14" t="n"/>
      <c r="AJ258" s="14" t="n">
        <v>0.05104475998949359</v>
      </c>
      <c r="AK258" s="14" t="n"/>
      <c r="AL258" s="14" t="n"/>
      <c r="AM258" s="14" t="n"/>
      <c r="AN258" s="14" t="inlineStr">
        <is>
          <t>EVALUATED</t>
        </is>
      </c>
      <c r="AO258" s="14" t="inlineStr">
        <is>
          <t>GIVING_VALIDATED_EDGE;BUCKET_PRIOR_ONLY;INTENT_INTERPRETATION_ONLY;FFL_OPTIONAL;EXPERT_MARKET</t>
        </is>
      </c>
      <c r="AP258" s="14" t="inlineStr">
        <is>
          <t>8f08c3ace70317e1d43b</t>
        </is>
      </c>
      <c r="AQ258" s="14" t="n">
        <v>-0.5</v>
      </c>
      <c r="AR258" s="14" t="n">
        <v>0.82</v>
      </c>
      <c r="AS258" s="14" t="n">
        <v>-0.5</v>
      </c>
      <c r="AT258" s="14" t="n">
        <v>0.5</v>
      </c>
      <c r="AU258" s="14" t="n">
        <v>0.82</v>
      </c>
      <c r="AV258" s="14" t="n">
        <v>0.88</v>
      </c>
      <c r="AW258" s="14" t="inlineStr">
        <is>
          <t>2026-10-04T09:58:08.993953+08:00</t>
        </is>
      </c>
      <c r="AX258" s="14" t="inlineStr">
        <is>
          <t>Titan007 Next</t>
        </is>
      </c>
      <c r="AY258" s="14" t="inlineStr">
        <is>
          <t>V4 Shadow Only；real_money=false；新增冻结记录</t>
        </is>
      </c>
    </row>
    <row r="259" ht="22" customHeight="1" s="39">
      <c r="A259" s="14" t="inlineStr">
        <is>
          <t>2026-10-04</t>
        </is>
      </c>
      <c r="B259" s="14" t="inlineStr">
        <is>
          <t>2026-10-05 01:45:00</t>
        </is>
      </c>
      <c r="C259" s="14" t="inlineStr">
        <is>
          <t>CLUB_LEAGUE</t>
        </is>
      </c>
      <c r="D259" s="14" t="inlineStr">
        <is>
          <t>联赛</t>
        </is>
      </c>
      <c r="E259" s="14" t="inlineStr">
        <is>
          <t>阿甲</t>
        </is>
      </c>
      <c r="F259" s="14" t="inlineStr">
        <is>
          <t>飓风队 vs 阿尔多斯维</t>
        </is>
      </c>
      <c r="G259" s="26" t="n">
        <v>0.95</v>
      </c>
      <c r="H259" s="26" t="n">
        <v>-0.75</v>
      </c>
      <c r="I259" s="26" t="n">
        <v>0.93</v>
      </c>
      <c r="J259" s="26" t="inlineStr">
        <is>
          <t>0.95/-0.75/0.93</t>
        </is>
      </c>
      <c r="K259" s="14" t="inlineStr">
        <is>
          <t>V4-A｜EV 0.22443053744397579</t>
        </is>
      </c>
      <c r="L259" s="14" t="inlineStr">
        <is>
          <t>飓风队</t>
        </is>
      </c>
      <c r="M259" s="47" t="n">
        <v>0.5615673075737322</v>
      </c>
      <c r="N259" s="14" t="inlineStr">
        <is>
          <t>V4纸面入选-A</t>
        </is>
      </c>
      <c r="O259" s="14" t="inlineStr">
        <is>
          <t>1-0</t>
        </is>
      </c>
      <c r="P259" s="14" t="inlineStr">
        <is>
          <t>已结算</t>
        </is>
      </c>
      <c r="Q259" s="14" t="inlineStr">
        <is>
          <t>半红</t>
        </is>
      </c>
      <c r="R259" s="48" t="n">
        <v>0.95</v>
      </c>
      <c r="S259" s="48" t="n">
        <v>0.475</v>
      </c>
      <c r="T259" s="14" t="inlineStr">
        <is>
          <t>D:\codex\v3_legacy\outputs\football_odds_trader\raw\titan007\20261004\20261004_135431_titan007_odds_snapshot.csv</t>
        </is>
      </c>
      <c r="U259" s="14">
        <f>IF(Q259="","",IF(Q259="待结算","待结算",IF(Q259="红","黑",IF(Q259="半红","半黑",IF(Q259="走","走",IF(Q259="半黑","半红","红"))))))</f>
        <v/>
      </c>
      <c r="V259" s="48">
        <f>IF(OR(U259="",U259="待结算"),"",IF(L259=LEFT(F259,FIND(" vs ",F259)-1),I259,G259))</f>
        <v/>
      </c>
      <c r="W259" s="48">
        <f>IF(OR(U259="",U259="待结算"),"",IF(U259="红",V259,IF(U259="半红",V259*0.5,IF(U259="走",0,IF(U259="半黑",-0.5,-1)))))</f>
        <v/>
      </c>
      <c r="X259" s="14" t="inlineStr">
        <is>
          <t>2962661</t>
        </is>
      </c>
      <c r="Y259" s="14" t="inlineStr">
        <is>
          <t>V4</t>
        </is>
      </c>
      <c r="Z259" s="14" t="inlineStr">
        <is>
          <t>prior-2026-10-04-v1</t>
        </is>
      </c>
      <c r="AA259" s="14" t="inlineStr">
        <is>
          <t>A</t>
        </is>
      </c>
      <c r="AB259" s="14" t="n">
        <v>0.4321930198985339</v>
      </c>
      <c r="AC259" s="14" t="n">
        <v>0.2587485753503965</v>
      </c>
      <c r="AD259" s="14" t="n">
        <v>0</v>
      </c>
      <c r="AE259" s="14" t="n">
        <v>0</v>
      </c>
      <c r="AF259" s="14" t="n">
        <v>0.3090584047510697</v>
      </c>
      <c r="AG259" s="14" t="n">
        <v>0.2244305374439758</v>
      </c>
      <c r="AH259" s="14" t="n"/>
      <c r="AI259" s="14" t="n"/>
      <c r="AJ259" s="14" t="n">
        <v>0.2244305374439758</v>
      </c>
      <c r="AK259" s="14" t="n"/>
      <c r="AL259" s="14" t="n"/>
      <c r="AM259" s="14" t="n"/>
      <c r="AN259" s="14" t="inlineStr">
        <is>
          <t>EVALUATED</t>
        </is>
      </c>
      <c r="AO259" s="14" t="inlineStr">
        <is>
          <t>GIVING_VALIDATED_EDGE;BUCKET_PRIOR_ONLY;INTENT_INTERPRETATION_ONLY;FFL_OPTIONAL;EXPERT_MARKET</t>
        </is>
      </c>
      <c r="AP259" s="14" t="inlineStr">
        <is>
          <t>ec2d1ccec61a4bba3aed</t>
        </is>
      </c>
      <c r="AQ259" s="14" t="n">
        <v>-0.75</v>
      </c>
      <c r="AR259" s="14" t="n">
        <v>0.95</v>
      </c>
      <c r="AS259" s="14" t="n">
        <v>-0.75</v>
      </c>
      <c r="AT259" s="14" t="n">
        <v>0.75</v>
      </c>
      <c r="AU259" s="14" t="n">
        <v>0.95</v>
      </c>
      <c r="AV259" s="14" t="n">
        <v>0.93</v>
      </c>
      <c r="AW259" s="14" t="inlineStr">
        <is>
          <t>2026-10-04T09:58:08.993953+08:00</t>
        </is>
      </c>
      <c r="AX259" s="14" t="inlineStr">
        <is>
          <t>Titan007 Next</t>
        </is>
      </c>
      <c r="AY259" s="14" t="inlineStr">
        <is>
          <t>V4 Shadow Only；real_money=false；新增冻结记录</t>
        </is>
      </c>
    </row>
    <row r="260" ht="22" customHeight="1" s="39">
      <c r="A260" s="14" t="inlineStr">
        <is>
          <t>2026-10-04</t>
        </is>
      </c>
      <c r="B260" s="14" t="inlineStr">
        <is>
          <t>2026-10-05 02:00:00</t>
        </is>
      </c>
      <c r="C260" s="14" t="inlineStr">
        <is>
          <t>CLUB_LEAGUE</t>
        </is>
      </c>
      <c r="D260" s="14" t="inlineStr">
        <is>
          <t>联赛</t>
        </is>
      </c>
      <c r="E260" s="14" t="inlineStr">
        <is>
          <t>智利乙</t>
        </is>
      </c>
      <c r="F260" s="14" t="inlineStr">
        <is>
          <t>圣菲利浦联 vs 伊基克体育</t>
        </is>
      </c>
      <c r="G260" s="26" t="n">
        <v>0.82</v>
      </c>
      <c r="H260" s="26" t="n">
        <v>0.25</v>
      </c>
      <c r="I260" s="26" t="n">
        <v>0.88</v>
      </c>
      <c r="J260" s="26" t="inlineStr">
        <is>
          <t>0.82/0.25/0.88</t>
        </is>
      </c>
      <c r="K260" s="14" t="inlineStr">
        <is>
          <t>V4-B｜EV 0.12287706022584605</t>
        </is>
      </c>
      <c r="L260" s="14" t="inlineStr">
        <is>
          <t>圣菲利浦联</t>
        </is>
      </c>
      <c r="M260" s="47" t="n">
        <v>0.5446558769634268</v>
      </c>
      <c r="N260" s="14" t="inlineStr">
        <is>
          <t>V4纸面入选-B</t>
        </is>
      </c>
      <c r="O260" s="14" t="inlineStr">
        <is>
          <t>0-2</t>
        </is>
      </c>
      <c r="P260" s="14" t="inlineStr">
        <is>
          <t>已结算</t>
        </is>
      </c>
      <c r="Q260" s="14" t="inlineStr">
        <is>
          <t>黑</t>
        </is>
      </c>
      <c r="R260" s="48" t="n">
        <v>0.82</v>
      </c>
      <c r="S260" s="48" t="n">
        <v>0</v>
      </c>
      <c r="T260" s="14" t="inlineStr">
        <is>
          <t>D:\codex\v3_legacy\outputs\football_odds_trader\raw\titan007\20261004\20261004_135431_titan007_odds_snapshot.csv</t>
        </is>
      </c>
      <c r="U260" s="14">
        <f>IF(Q260="","",IF(Q260="待结算","待结算",IF(Q260="红","黑",IF(Q260="半红","半黑",IF(Q260="走","走",IF(Q260="半黑","半红","红"))))))</f>
        <v/>
      </c>
      <c r="V260" s="48">
        <f>IF(OR(U260="",U260="待结算"),"",IF(L260=LEFT(F260,FIND(" vs ",F260)-1),I260,G260))</f>
        <v/>
      </c>
      <c r="W260" s="48">
        <f>IF(OR(U260="",U260="待结算"),"",IF(U260="红",V260,IF(U260="半红",V260*0.5,IF(U260="走",0,IF(U260="半黑",-0.5,-1)))))</f>
        <v/>
      </c>
      <c r="X260" s="14" t="inlineStr">
        <is>
          <t>2926248</t>
        </is>
      </c>
      <c r="Y260" s="14" t="inlineStr">
        <is>
          <t>V4</t>
        </is>
      </c>
      <c r="Z260" s="14" t="inlineStr">
        <is>
          <t>prior-2026-10-04-v1</t>
        </is>
      </c>
      <c r="AA260" s="14" t="inlineStr">
        <is>
          <t>B</t>
        </is>
      </c>
      <c r="AB260" s="14" t="n">
        <v>0.4130525128110174</v>
      </c>
      <c r="AC260" s="14" t="n">
        <v>0.2632067283048188</v>
      </c>
      <c r="AD260" s="14" t="n">
        <v>0</v>
      </c>
      <c r="AE260" s="14" t="n">
        <v>0</v>
      </c>
      <c r="AF260" s="14" t="n">
        <v>0.3237407588841639</v>
      </c>
      <c r="AG260" s="14" t="n">
        <v>0.122877060225846</v>
      </c>
      <c r="AH260" s="14" t="n"/>
      <c r="AI260" s="14" t="n"/>
      <c r="AJ260" s="14" t="n">
        <v>0.122877060225846</v>
      </c>
      <c r="AK260" s="14" t="n"/>
      <c r="AL260" s="14" t="n"/>
      <c r="AM260" s="14" t="n"/>
      <c r="AN260" s="14" t="inlineStr">
        <is>
          <t>EVALUATED</t>
        </is>
      </c>
      <c r="AO260" s="14" t="inlineStr">
        <is>
          <t>RECEIVING_VALIDATED_EDGE;BUCKET_PRIOR_ONLY;INTENT_INTERPRETATION_ONLY;FFL_OPTIONAL;EXPERT_MARKET</t>
        </is>
      </c>
      <c r="AP260" s="14" t="inlineStr">
        <is>
          <t>9e92323e381dbf5dfb44</t>
        </is>
      </c>
      <c r="AQ260" s="14" t="n">
        <v>0.25</v>
      </c>
      <c r="AR260" s="14" t="n">
        <v>0.82</v>
      </c>
      <c r="AS260" s="14" t="n">
        <v>-0.25</v>
      </c>
      <c r="AT260" s="14" t="n">
        <v>0.25</v>
      </c>
      <c r="AU260" s="14" t="n">
        <v>0.88</v>
      </c>
      <c r="AV260" s="14" t="n">
        <v>0.82</v>
      </c>
      <c r="AW260" s="14" t="inlineStr">
        <is>
          <t>2026-10-04T09:58:08.993953+08:00</t>
        </is>
      </c>
      <c r="AX260" s="14" t="inlineStr">
        <is>
          <t>Titan007 Next</t>
        </is>
      </c>
      <c r="AY260" s="14" t="inlineStr">
        <is>
          <t>V4 Shadow Only；real_money=false；新增冻结记录</t>
        </is>
      </c>
    </row>
    <row r="261" ht="22" customHeight="1" s="39">
      <c r="A261" s="14" t="inlineStr">
        <is>
          <t>2026-10-04</t>
        </is>
      </c>
      <c r="B261" s="14" t="inlineStr">
        <is>
          <t>2026-10-05 02:00:00</t>
        </is>
      </c>
      <c r="C261" s="14" t="inlineStr">
        <is>
          <t>CLUB_LEAGUE</t>
        </is>
      </c>
      <c r="D261" s="14" t="inlineStr">
        <is>
          <t>联赛</t>
        </is>
      </c>
      <c r="E261" s="14" t="inlineStr">
        <is>
          <t>阿乙曼特秋</t>
        </is>
      </c>
      <c r="F261" s="14" t="inlineStr">
        <is>
          <t>BsAs交流会 vs 弗朗德里亚</t>
        </is>
      </c>
      <c r="G261" s="26" t="n">
        <v>0.82</v>
      </c>
      <c r="H261" s="26" t="n">
        <v>-0.25</v>
      </c>
      <c r="I261" s="26" t="n">
        <v>0.88</v>
      </c>
      <c r="J261" s="26" t="inlineStr">
        <is>
          <t>0.82/-0.25/0.88</t>
        </is>
      </c>
      <c r="K261" s="14" t="inlineStr">
        <is>
          <t>V4-B｜EV 0.15142620670671492</t>
        </is>
      </c>
      <c r="L261" s="14" t="inlineStr">
        <is>
          <t>BsAs交流会</t>
        </is>
      </c>
      <c r="M261" s="47" t="n">
        <v>0.5665620019767698</v>
      </c>
      <c r="N261" s="14" t="inlineStr">
        <is>
          <t>V4纸面入选-B</t>
        </is>
      </c>
      <c r="O261" s="14" t="inlineStr">
        <is>
          <t>1-1</t>
        </is>
      </c>
      <c r="P261" s="14" t="inlineStr">
        <is>
          <t>已结算</t>
        </is>
      </c>
      <c r="Q261" s="14" t="inlineStr">
        <is>
          <t>半黑</t>
        </is>
      </c>
      <c r="R261" s="48" t="n">
        <v>0.82</v>
      </c>
      <c r="S261" s="48" t="n">
        <v>0</v>
      </c>
      <c r="T261" s="14" t="inlineStr">
        <is>
          <t>D:\codex\v3_legacy\outputs\football_odds_trader\raw\titan007\20261004\20261004_135431_titan007_odds_snapshot.csv</t>
        </is>
      </c>
      <c r="U261" s="14">
        <f>IF(Q261="","",IF(Q261="待结算","待结算",IF(Q261="红","黑",IF(Q261="半红","半黑",IF(Q261="走","走",IF(Q261="半黑","半红","红"))))))</f>
        <v/>
      </c>
      <c r="V261" s="48">
        <f>IF(OR(U261="",U261="待结算"),"",IF(L261=LEFT(F261,FIND(" vs ",F261)-1),I261,G261))</f>
        <v/>
      </c>
      <c r="W261" s="48">
        <f>IF(OR(U261="",U261="待结算"),"",IF(U261="红",V261,IF(U261="半红",V261*0.5,IF(U261="走",0,IF(U261="半黑",-0.5,-1)))))</f>
        <v/>
      </c>
      <c r="X261" s="14" t="inlineStr">
        <is>
          <t>2934827</t>
        </is>
      </c>
      <c r="Y261" s="14" t="inlineStr">
        <is>
          <t>V4</t>
        </is>
      </c>
      <c r="Z261" s="14" t="inlineStr">
        <is>
          <t>prior-2026-10-04-v1</t>
        </is>
      </c>
      <c r="AA261" s="14" t="inlineStr">
        <is>
          <t>B</t>
        </is>
      </c>
      <c r="AB261" s="14" t="n">
        <v>0.5665620019767698</v>
      </c>
      <c r="AC261" s="14" t="n">
        <v>0</v>
      </c>
      <c r="AD261" s="14" t="n">
        <v>0</v>
      </c>
      <c r="AE261" s="14" t="n">
        <v>0.240566726217988</v>
      </c>
      <c r="AF261" s="14" t="n">
        <v>0.1928712718052423</v>
      </c>
      <c r="AG261" s="14" t="n">
        <v>0.1514262067067149</v>
      </c>
      <c r="AH261" s="14" t="n"/>
      <c r="AI261" s="14" t="n"/>
      <c r="AJ261" s="14" t="n">
        <v>0.1514262067067149</v>
      </c>
      <c r="AK261" s="14" t="n"/>
      <c r="AL261" s="14" t="n"/>
      <c r="AM261" s="14" t="n"/>
      <c r="AN261" s="14" t="inlineStr">
        <is>
          <t>EVALUATED</t>
        </is>
      </c>
      <c r="AO261" s="14" t="inlineStr">
        <is>
          <t>GIVING_VALIDATED_EDGE;BUCKET_PRIOR_ONLY;INTENT_INTERPRETATION_ONLY;FFL_OPTIONAL;EXPERT_MARKET</t>
        </is>
      </c>
      <c r="AP261" s="14" t="inlineStr">
        <is>
          <t>2b6047fdacf51c4ff72d</t>
        </is>
      </c>
      <c r="AQ261" s="14" t="n">
        <v>-0.25</v>
      </c>
      <c r="AR261" s="14" t="n">
        <v>0.82</v>
      </c>
      <c r="AS261" s="14" t="n">
        <v>-0.25</v>
      </c>
      <c r="AT261" s="14" t="n">
        <v>0.25</v>
      </c>
      <c r="AU261" s="14" t="n">
        <v>0.82</v>
      </c>
      <c r="AV261" s="14" t="n">
        <v>0.88</v>
      </c>
      <c r="AW261" s="14" t="inlineStr">
        <is>
          <t>2026-10-04T09:58:08.993953+08:00</t>
        </is>
      </c>
      <c r="AX261" s="14" t="inlineStr">
        <is>
          <t>Titan007 Next</t>
        </is>
      </c>
      <c r="AY261" s="14" t="inlineStr">
        <is>
          <t>V4 Shadow Only；real_money=false；新增冻结记录</t>
        </is>
      </c>
    </row>
    <row r="262" ht="22" customHeight="1" s="39">
      <c r="A262" s="14" t="inlineStr">
        <is>
          <t>2026-10-04</t>
        </is>
      </c>
      <c r="B262" s="14" t="inlineStr">
        <is>
          <t>2026-10-05 02:00:00</t>
        </is>
      </c>
      <c r="C262" s="14" t="inlineStr">
        <is>
          <t>INTERNATIONAL_FRIENDLY</t>
        </is>
      </c>
      <c r="D262" s="14" t="inlineStr">
        <is>
          <t>联赛</t>
        </is>
      </c>
      <c r="E262" s="14" t="inlineStr">
        <is>
          <t>国际友谊</t>
        </is>
      </c>
      <c r="F262" s="14" t="inlineStr">
        <is>
          <t>埃及 vs 南非</t>
        </is>
      </c>
      <c r="G262" s="26" t="n">
        <v>0.79</v>
      </c>
      <c r="H262" s="26" t="n">
        <v>-0.5</v>
      </c>
      <c r="I262" s="26" t="n">
        <v>1.03</v>
      </c>
      <c r="J262" s="26" t="inlineStr">
        <is>
          <t>0.79/-0.5/1.03</t>
        </is>
      </c>
      <c r="K262" s="14" t="inlineStr">
        <is>
          <t>V4-C｜EV 0.21932558473652725</t>
        </is>
      </c>
      <c r="L262" s="14" t="inlineStr">
        <is>
          <t>埃及</t>
        </is>
      </c>
      <c r="M262" s="47" t="n">
        <v>0.6811874775064398</v>
      </c>
      <c r="N262" s="14" t="inlineStr">
        <is>
          <t>V4纸面入选-C</t>
        </is>
      </c>
      <c r="O262" s="14" t="inlineStr">
        <is>
          <t>0-1</t>
        </is>
      </c>
      <c r="P262" s="14" t="inlineStr">
        <is>
          <t>已结算</t>
        </is>
      </c>
      <c r="Q262" s="14" t="inlineStr">
        <is>
          <t>黑</t>
        </is>
      </c>
      <c r="R262" s="48" t="n">
        <v>0.79</v>
      </c>
      <c r="S262" s="48" t="n">
        <v>0.395</v>
      </c>
      <c r="T262" s="14" t="inlineStr">
        <is>
          <t>D:\codex\v3_legacy\outputs\football_odds_trader\raw\titan007\20261004\20261004_135431_titan007_odds_snapshot.csv</t>
        </is>
      </c>
      <c r="U262" s="14">
        <f>IF(Q262="","",IF(Q262="待结算","待结算",IF(Q262="红","黑",IF(Q262="半红","半黑",IF(Q262="走","走",IF(Q262="半黑","半红","红"))))))</f>
        <v/>
      </c>
      <c r="V262" s="48">
        <f>IF(OR(U262="",U262="待结算"),"",IF(L262=LEFT(F262,FIND(" vs ",F262)-1),I262,G262))</f>
        <v/>
      </c>
      <c r="W262" s="48">
        <f>IF(OR(U262="",U262="待结算"),"",IF(U262="红",V262,IF(U262="半红",V262*0.5,IF(U262="走",0,IF(U262="半黑",-0.5,-1)))))</f>
        <v/>
      </c>
      <c r="X262" s="14" t="inlineStr">
        <is>
          <t>3097227</t>
        </is>
      </c>
      <c r="Y262" s="14" t="inlineStr">
        <is>
          <t>V4</t>
        </is>
      </c>
      <c r="Z262" s="14" t="inlineStr">
        <is>
          <t>prior-2026-10-04-v1</t>
        </is>
      </c>
      <c r="AA262" s="14" t="inlineStr">
        <is>
          <t>C</t>
        </is>
      </c>
      <c r="AB262" s="14" t="n">
        <v>0.6811874775064398</v>
      </c>
      <c r="AC262" s="14" t="n">
        <v>0</v>
      </c>
      <c r="AD262" s="14" t="n">
        <v>0</v>
      </c>
      <c r="AE262" s="14" t="n">
        <v>0</v>
      </c>
      <c r="AF262" s="14" t="n">
        <v>0.3188125224935602</v>
      </c>
      <c r="AG262" s="14" t="n">
        <v>0.2193255847365272</v>
      </c>
      <c r="AH262" s="14" t="n"/>
      <c r="AI262" s="14" t="n"/>
      <c r="AJ262" s="14" t="n">
        <v>0.2193255847365272</v>
      </c>
      <c r="AK262" s="14" t="n"/>
      <c r="AL262" s="14" t="n"/>
      <c r="AM262" s="14" t="n"/>
      <c r="AN262" s="14" t="inlineStr">
        <is>
          <t>EVALUATED</t>
        </is>
      </c>
      <c r="AO262" s="14" t="inlineStr">
        <is>
          <t>GIVING_VALIDATED_EDGE;BUCKET_PRIOR_ONLY;INTENT_INTERPRETATION_ONLY;FFL_OPTIONAL;EXPERT_MARKET</t>
        </is>
      </c>
      <c r="AP262" s="14" t="inlineStr">
        <is>
          <t>c42d2ccbfe8aad0d38ac</t>
        </is>
      </c>
      <c r="AQ262" s="14" t="n">
        <v>-0.5</v>
      </c>
      <c r="AR262" s="14" t="n">
        <v>0.79</v>
      </c>
      <c r="AS262" s="14" t="n">
        <v>-0.5</v>
      </c>
      <c r="AT262" s="14" t="n">
        <v>0.5</v>
      </c>
      <c r="AU262" s="14" t="n">
        <v>0.79</v>
      </c>
      <c r="AV262" s="14" t="n">
        <v>1.03</v>
      </c>
      <c r="AW262" s="14" t="inlineStr">
        <is>
          <t>2026-10-04T09:58:08.993953+08:00</t>
        </is>
      </c>
      <c r="AX262" s="14" t="inlineStr">
        <is>
          <t>Titan007 Next</t>
        </is>
      </c>
      <c r="AY262" s="14" t="inlineStr">
        <is>
          <t>V4 Shadow Only；real_money=false；新增冻结记录</t>
        </is>
      </c>
    </row>
    <row r="263" ht="22" customHeight="1" s="39">
      <c r="A263" s="14" t="inlineStr">
        <is>
          <t>2026-10-04</t>
        </is>
      </c>
      <c r="B263" s="14" t="inlineStr">
        <is>
          <t>2026-10-05 02:00:00</t>
        </is>
      </c>
      <c r="C263" s="14" t="inlineStr">
        <is>
          <t>INTERNATIONAL_FRIENDLY</t>
        </is>
      </c>
      <c r="D263" s="14" t="inlineStr">
        <is>
          <t>联赛</t>
        </is>
      </c>
      <c r="E263" s="14" t="inlineStr">
        <is>
          <t>国际友谊</t>
        </is>
      </c>
      <c r="F263" s="14" t="inlineStr">
        <is>
          <t>摩洛哥 vs 马里</t>
        </is>
      </c>
      <c r="G263" s="26" t="n">
        <v>0.9</v>
      </c>
      <c r="H263" s="26" t="n">
        <v>-1.25</v>
      </c>
      <c r="I263" s="26" t="n">
        <v>0.92</v>
      </c>
      <c r="J263" s="26" t="inlineStr">
        <is>
          <t>0.9/-1.25/0.92</t>
        </is>
      </c>
      <c r="K263" s="14" t="inlineStr">
        <is>
          <t>V4-C｜EV 0.25216549122814835</t>
        </is>
      </c>
      <c r="L263" s="14" t="inlineStr">
        <is>
          <t>摩洛哥</t>
        </is>
      </c>
      <c r="M263" s="47" t="n">
        <v>0.5974658013721553</v>
      </c>
      <c r="N263" s="14" t="inlineStr">
        <is>
          <t>V4纸面入选-C</t>
        </is>
      </c>
      <c r="O263" s="14" t="inlineStr">
        <is>
          <t>1-1</t>
        </is>
      </c>
      <c r="P263" s="14" t="inlineStr">
        <is>
          <t>已结算</t>
        </is>
      </c>
      <c r="Q263" s="14" t="inlineStr">
        <is>
          <t>黑</t>
        </is>
      </c>
      <c r="R263" s="48" t="n">
        <v>0.9</v>
      </c>
      <c r="S263" s="48" t="n">
        <v>0.45</v>
      </c>
      <c r="T263" s="14" t="inlineStr">
        <is>
          <t>D:\codex\v3_legacy\outputs\football_odds_trader\raw\titan007\20261004\20261004_135431_titan007_odds_snapshot.csv</t>
        </is>
      </c>
      <c r="U263" s="14">
        <f>IF(Q263="","",IF(Q263="待结算","待结算",IF(Q263="红","黑",IF(Q263="半红","半黑",IF(Q263="走","走",IF(Q263="半黑","半红","红"))))))</f>
        <v/>
      </c>
      <c r="V263" s="48">
        <f>IF(OR(U263="",U263="待结算"),"",IF(L263=LEFT(F263,FIND(" vs ",F263)-1),I263,G263))</f>
        <v/>
      </c>
      <c r="W263" s="48">
        <f>IF(OR(U263="",U263="待结算"),"",IF(U263="红",V263,IF(U263="半红",V263*0.5,IF(U263="走",0,IF(U263="半黑",-0.5,-1)))))</f>
        <v/>
      </c>
      <c r="X263" s="14" t="inlineStr">
        <is>
          <t>3097230</t>
        </is>
      </c>
      <c r="Y263" s="14" t="inlineStr">
        <is>
          <t>V4</t>
        </is>
      </c>
      <c r="Z263" s="14" t="inlineStr">
        <is>
          <t>prior-2026-10-04-v1</t>
        </is>
      </c>
      <c r="AA263" s="14" t="inlineStr">
        <is>
          <t>C</t>
        </is>
      </c>
      <c r="AB263" s="14" t="n">
        <v>0.5974658013721553</v>
      </c>
      <c r="AC263" s="14" t="n">
        <v>0</v>
      </c>
      <c r="AD263" s="14" t="n">
        <v>0</v>
      </c>
      <c r="AE263" s="14" t="n">
        <v>0.2339609372421065</v>
      </c>
      <c r="AF263" s="14" t="n">
        <v>0.1685732613857382</v>
      </c>
      <c r="AG263" s="14" t="n">
        <v>0.2521654912281484</v>
      </c>
      <c r="AH263" s="14" t="n"/>
      <c r="AI263" s="14" t="n"/>
      <c r="AJ263" s="14" t="n">
        <v>0.2521654912281484</v>
      </c>
      <c r="AK263" s="14" t="n"/>
      <c r="AL263" s="14" t="n"/>
      <c r="AM263" s="14" t="n"/>
      <c r="AN263" s="14" t="inlineStr">
        <is>
          <t>EVALUATED</t>
        </is>
      </c>
      <c r="AO263" s="14" t="inlineStr">
        <is>
          <t>GIVING_VALIDATED_EDGE;BUCKET_PRIOR_ONLY;INTENT_INTERPRETATION_ONLY;FFL_OPTIONAL;EXPERT_MARKET</t>
        </is>
      </c>
      <c r="AP263" s="14" t="inlineStr">
        <is>
          <t>70222350df96ff1290fb</t>
        </is>
      </c>
      <c r="AQ263" s="14" t="n">
        <v>-1.25</v>
      </c>
      <c r="AR263" s="14" t="n">
        <v>0.9</v>
      </c>
      <c r="AS263" s="14" t="n">
        <v>-1.25</v>
      </c>
      <c r="AT263" s="14" t="n">
        <v>1.25</v>
      </c>
      <c r="AU263" s="14" t="n">
        <v>0.9</v>
      </c>
      <c r="AV263" s="14" t="n">
        <v>0.92</v>
      </c>
      <c r="AW263" s="14" t="inlineStr">
        <is>
          <t>2026-10-04T09:58:08.993953+08:00</t>
        </is>
      </c>
      <c r="AX263" s="14" t="inlineStr">
        <is>
          <t>Titan007 Next</t>
        </is>
      </c>
      <c r="AY263" s="14" t="inlineStr">
        <is>
          <t>V4 Shadow Only；real_money=false；新增冻结记录</t>
        </is>
      </c>
    </row>
    <row r="264" ht="22" customHeight="1" s="39">
      <c r="A264" s="14" t="inlineStr">
        <is>
          <t>2026-10-04</t>
        </is>
      </c>
      <c r="B264" s="14" t="inlineStr">
        <is>
          <t>2026-10-05 02:30:00</t>
        </is>
      </c>
      <c r="C264" s="14" t="inlineStr">
        <is>
          <t>CLUB_LEAGUE</t>
        </is>
      </c>
      <c r="D264" s="14" t="inlineStr">
        <is>
          <t>联赛</t>
        </is>
      </c>
      <c r="E264" s="14" t="inlineStr">
        <is>
          <t>意丙</t>
        </is>
      </c>
      <c r="F264" s="14" t="inlineStr">
        <is>
          <t>阿尔希欧蕾 vs 特伦托</t>
        </is>
      </c>
      <c r="G264" s="26" t="n">
        <v>0.96</v>
      </c>
      <c r="H264" s="26" t="n">
        <v>0.25</v>
      </c>
      <c r="I264" s="26" t="n">
        <v>0.74</v>
      </c>
      <c r="J264" s="26" t="inlineStr">
        <is>
          <t>0.96/0.25/0.74</t>
        </is>
      </c>
      <c r="K264" s="14" t="inlineStr">
        <is>
          <t>V4-B｜EV 0.2464630204008737</t>
        </is>
      </c>
      <c r="L264" s="14" t="inlineStr">
        <is>
          <t>阿尔希欧蕾</t>
        </is>
      </c>
      <c r="M264" s="47" t="n">
        <v>0.5691149701160332</v>
      </c>
      <c r="N264" s="14" t="inlineStr">
        <is>
          <t>V4纸面入选-B</t>
        </is>
      </c>
      <c r="O264" s="14" t="inlineStr">
        <is>
          <t>2-2</t>
        </is>
      </c>
      <c r="P264" s="14" t="inlineStr">
        <is>
          <t>已结算</t>
        </is>
      </c>
      <c r="Q264" s="14" t="inlineStr">
        <is>
          <t>半红</t>
        </is>
      </c>
      <c r="R264" s="48" t="n">
        <v>0.96</v>
      </c>
      <c r="S264" s="48" t="n">
        <v>0</v>
      </c>
      <c r="T264" s="14" t="inlineStr">
        <is>
          <t>D:\codex\v3_legacy\outputs\football_odds_trader\raw\titan007\20261004\20261004_135431_titan007_odds_snapshot.csv</t>
        </is>
      </c>
      <c r="U264" s="14">
        <f>IF(Q264="","",IF(Q264="待结算","待结算",IF(Q264="红","黑",IF(Q264="半红","半黑",IF(Q264="走","走",IF(Q264="半黑","半红","红"))))))</f>
        <v/>
      </c>
      <c r="V264" s="48">
        <f>IF(OR(U264="",U264="待结算"),"",IF(L264=LEFT(F264,FIND(" vs ",F264)-1),I264,G264))</f>
        <v/>
      </c>
      <c r="W264" s="48">
        <f>IF(OR(U264="",U264="待结算"),"",IF(U264="红",V264,IF(U264="半红",V264*0.5,IF(U264="走",0,IF(U264="半黑",-0.5,-1)))))</f>
        <v/>
      </c>
      <c r="X264" s="14" t="inlineStr">
        <is>
          <t>3050571</t>
        </is>
      </c>
      <c r="Y264" s="14" t="inlineStr">
        <is>
          <t>V4</t>
        </is>
      </c>
      <c r="Z264" s="14" t="inlineStr">
        <is>
          <t>prior-2026-10-04-v1</t>
        </is>
      </c>
      <c r="AA264" s="14" t="inlineStr">
        <is>
          <t>B</t>
        </is>
      </c>
      <c r="AB264" s="14" t="n">
        <v>0.4381172911425846</v>
      </c>
      <c r="AC264" s="14" t="n">
        <v>0.2619953579468973</v>
      </c>
      <c r="AD264" s="14" t="n">
        <v>0</v>
      </c>
      <c r="AE264" s="14" t="n">
        <v>0</v>
      </c>
      <c r="AF264" s="14" t="n">
        <v>0.2998873509105182</v>
      </c>
      <c r="AG264" s="14" t="n">
        <v>0.2464630204008737</v>
      </c>
      <c r="AH264" s="14" t="n"/>
      <c r="AI264" s="14" t="n"/>
      <c r="AJ264" s="14" t="n">
        <v>0.2464630204008737</v>
      </c>
      <c r="AK264" s="14" t="n"/>
      <c r="AL264" s="14" t="n"/>
      <c r="AM264" s="14" t="n"/>
      <c r="AN264" s="14" t="inlineStr">
        <is>
          <t>EVALUATED</t>
        </is>
      </c>
      <c r="AO264" s="14" t="inlineStr">
        <is>
          <t>RECEIVING_VALIDATED_EDGE;BUCKET_PRIOR_ONLY;INTENT_INTERPRETATION_ONLY;FFL_OPTIONAL;EXPERT_MARKET</t>
        </is>
      </c>
      <c r="AP264" s="14" t="inlineStr">
        <is>
          <t>b8e45c3ba27f3afb4ca0</t>
        </is>
      </c>
      <c r="AQ264" s="14" t="n">
        <v>0.25</v>
      </c>
      <c r="AR264" s="14" t="n">
        <v>0.96</v>
      </c>
      <c r="AS264" s="14" t="n">
        <v>-0.25</v>
      </c>
      <c r="AT264" s="14" t="n">
        <v>0.25</v>
      </c>
      <c r="AU264" s="14" t="n">
        <v>0.74</v>
      </c>
      <c r="AV264" s="14" t="n">
        <v>0.96</v>
      </c>
      <c r="AW264" s="14" t="inlineStr">
        <is>
          <t>2026-10-04T09:58:08.993953+08:00</t>
        </is>
      </c>
      <c r="AX264" s="14" t="inlineStr">
        <is>
          <t>Titan007 Next</t>
        </is>
      </c>
      <c r="AY264" s="14" t="inlineStr">
        <is>
          <t>V4 Shadow Only；real_money=false；新增冻结记录</t>
        </is>
      </c>
    </row>
    <row r="265" ht="22" customHeight="1" s="39">
      <c r="A265" s="14" t="inlineStr">
        <is>
          <t>2026-10-04</t>
        </is>
      </c>
      <c r="B265" s="14" t="inlineStr">
        <is>
          <t>2026-10-05 02:30:00</t>
        </is>
      </c>
      <c r="C265" s="14" t="inlineStr">
        <is>
          <t>CLUB_LEAGUE</t>
        </is>
      </c>
      <c r="D265" s="14" t="inlineStr">
        <is>
          <t>联赛</t>
        </is>
      </c>
      <c r="E265" s="14" t="inlineStr">
        <is>
          <t>意丙</t>
        </is>
      </c>
      <c r="F265" s="14" t="inlineStr">
        <is>
          <t>切里尼奥拉 vs 阿尔塔穆拉</t>
        </is>
      </c>
      <c r="G265" s="26" t="n">
        <v>0.93</v>
      </c>
      <c r="H265" s="26" t="n">
        <v>-0.75</v>
      </c>
      <c r="I265" s="26" t="n">
        <v>0.77</v>
      </c>
      <c r="J265" s="26" t="inlineStr">
        <is>
          <t>0.93/-0.75/0.77</t>
        </is>
      </c>
      <c r="K265" s="14" t="inlineStr">
        <is>
          <t>V4-B｜EV 0.09580907567957708</t>
        </is>
      </c>
      <c r="L265" s="14" t="inlineStr">
        <is>
          <t>切里尼奥拉</t>
        </is>
      </c>
      <c r="M265" s="47" t="n">
        <v>0.5012289468013235</v>
      </c>
      <c r="N265" s="14" t="inlineStr">
        <is>
          <t>V4纸面入选-B</t>
        </is>
      </c>
      <c r="O265" s="14" t="inlineStr">
        <is>
          <t>0-0</t>
        </is>
      </c>
      <c r="P265" s="14" t="inlineStr">
        <is>
          <t>已结算</t>
        </is>
      </c>
      <c r="Q265" s="14" t="inlineStr">
        <is>
          <t>黑</t>
        </is>
      </c>
      <c r="R265" s="48" t="n">
        <v>0.93</v>
      </c>
      <c r="S265" s="48" t="n">
        <v>0.465</v>
      </c>
      <c r="T265" s="14" t="inlineStr">
        <is>
          <t>D:\codex\v3_legacy\outputs\football_odds_trader\raw\titan007\20261004\20261004_135431_titan007_odds_snapshot.csv</t>
        </is>
      </c>
      <c r="U265" s="14">
        <f>IF(Q265="","",IF(Q265="待结算","待结算",IF(Q265="红","黑",IF(Q265="半红","半黑",IF(Q265="走","走",IF(Q265="半黑","半红","红"))))))</f>
        <v/>
      </c>
      <c r="V265" s="48">
        <f>IF(OR(U265="",U265="待结算"),"",IF(L265=LEFT(F265,FIND(" vs ",F265)-1),I265,G265))</f>
        <v/>
      </c>
      <c r="W265" s="48">
        <f>IF(OR(U265="",U265="待结算"),"",IF(U265="红",V265,IF(U265="半红",V265*0.5,IF(U265="走",0,IF(U265="半黑",-0.5,-1)))))</f>
        <v/>
      </c>
      <c r="X265" s="14" t="inlineStr">
        <is>
          <t>3051331</t>
        </is>
      </c>
      <c r="Y265" s="14" t="inlineStr">
        <is>
          <t>V4</t>
        </is>
      </c>
      <c r="Z265" s="14" t="inlineStr">
        <is>
          <t>prior-2026-10-04-v1</t>
        </is>
      </c>
      <c r="AA265" s="14" t="inlineStr">
        <is>
          <t>B</t>
        </is>
      </c>
      <c r="AB265" s="14" t="n">
        <v>0.3727917384483007</v>
      </c>
      <c r="AC265" s="14" t="n">
        <v>0.2568744167060455</v>
      </c>
      <c r="AD265" s="14" t="n">
        <v>0</v>
      </c>
      <c r="AE265" s="14" t="n">
        <v>0</v>
      </c>
      <c r="AF265" s="14" t="n">
        <v>0.3703338448456538</v>
      </c>
      <c r="AG265" s="14" t="n">
        <v>0.09580907567957708</v>
      </c>
      <c r="AH265" s="14" t="n"/>
      <c r="AI265" s="14" t="n"/>
      <c r="AJ265" s="14" t="n">
        <v>0.09580907567957708</v>
      </c>
      <c r="AK265" s="14" t="n"/>
      <c r="AL265" s="14" t="n"/>
      <c r="AM265" s="14" t="n"/>
      <c r="AN265" s="14" t="inlineStr">
        <is>
          <t>EVALUATED</t>
        </is>
      </c>
      <c r="AO265" s="14" t="inlineStr">
        <is>
          <t>GIVING_VALIDATED_EDGE;BUCKET_PRIOR_ONLY;INTENT_INTERPRETATION_ONLY;FFL_OPTIONAL;EXPERT_MARKET</t>
        </is>
      </c>
      <c r="AP265" s="14" t="inlineStr">
        <is>
          <t>9bfa30af71288225b991</t>
        </is>
      </c>
      <c r="AQ265" s="14" t="n">
        <v>-0.75</v>
      </c>
      <c r="AR265" s="14" t="n">
        <v>0.93</v>
      </c>
      <c r="AS265" s="14" t="n">
        <v>-0.75</v>
      </c>
      <c r="AT265" s="14" t="n">
        <v>0.75</v>
      </c>
      <c r="AU265" s="14" t="n">
        <v>0.93</v>
      </c>
      <c r="AV265" s="14" t="n">
        <v>0.77</v>
      </c>
      <c r="AW265" s="14" t="inlineStr">
        <is>
          <t>2026-10-04T09:58:08.993953+08:00</t>
        </is>
      </c>
      <c r="AX265" s="14" t="inlineStr">
        <is>
          <t>Titan007 Next</t>
        </is>
      </c>
      <c r="AY265" s="14" t="inlineStr">
        <is>
          <t>V4 Shadow Only；real_money=false；新增冻结记录</t>
        </is>
      </c>
    </row>
    <row r="266" ht="22" customHeight="1" s="39">
      <c r="A266" s="14" t="inlineStr">
        <is>
          <t>2026-10-04</t>
        </is>
      </c>
      <c r="B266" s="14" t="inlineStr">
        <is>
          <t>2026-10-05 02:30:00</t>
        </is>
      </c>
      <c r="C266" s="14" t="inlineStr">
        <is>
          <t>CLUB_LEAGUE</t>
        </is>
      </c>
      <c r="D266" s="14" t="inlineStr">
        <is>
          <t>联赛</t>
        </is>
      </c>
      <c r="E266" s="14" t="inlineStr">
        <is>
          <t>阿乙</t>
        </is>
      </c>
      <c r="F266" s="14" t="inlineStr">
        <is>
          <t>查卡里塔青年 vs 帕特罗纳图</t>
        </is>
      </c>
      <c r="G266" s="26" t="n">
        <v>0.96</v>
      </c>
      <c r="H266" s="26" t="n">
        <v>-0.5</v>
      </c>
      <c r="I266" s="26" t="n">
        <v>0.8</v>
      </c>
      <c r="J266" s="26" t="inlineStr">
        <is>
          <t>0.96/-0.5/0.8</t>
        </is>
      </c>
      <c r="K266" s="14" t="inlineStr">
        <is>
          <t>V4-B｜EV 0.07955298888150675</t>
        </is>
      </c>
      <c r="L266" s="14" t="inlineStr">
        <is>
          <t>查卡里塔青年</t>
        </is>
      </c>
      <c r="M266" s="47" t="n">
        <v>0.5507923412660749</v>
      </c>
      <c r="N266" s="14" t="inlineStr">
        <is>
          <t>V4纸面入选-B</t>
        </is>
      </c>
      <c r="O266" s="14" t="inlineStr">
        <is>
          <t>1-0</t>
        </is>
      </c>
      <c r="P266" s="14" t="inlineStr">
        <is>
          <t>已结算</t>
        </is>
      </c>
      <c r="Q266" s="14" t="inlineStr">
        <is>
          <t>红</t>
        </is>
      </c>
      <c r="R266" s="48" t="n">
        <v>0.96</v>
      </c>
      <c r="S266" s="48" t="n">
        <v>0.48</v>
      </c>
      <c r="T266" s="14" t="inlineStr">
        <is>
          <t>D:\codex\v3_legacy\outputs\football_odds_trader\raw\titan007\20261004\20261004_135431_titan007_odds_snapshot.csv</t>
        </is>
      </c>
      <c r="U266" s="14">
        <f>IF(Q266="","",IF(Q266="待结算","待结算",IF(Q266="红","黑",IF(Q266="半红","半黑",IF(Q266="走","走",IF(Q266="半黑","半红","红"))))))</f>
        <v/>
      </c>
      <c r="V266" s="48">
        <f>IF(OR(U266="",U266="待结算"),"",IF(L266=LEFT(F266,FIND(" vs ",F266)-1),I266,G266))</f>
        <v/>
      </c>
      <c r="W266" s="48">
        <f>IF(OR(U266="",U266="待结算"),"",IF(U266="红",V266,IF(U266="半红",V266*0.5,IF(U266="走",0,IF(U266="半黑",-0.5,-1)))))</f>
        <v/>
      </c>
      <c r="X266" s="14" t="inlineStr">
        <is>
          <t>2916721</t>
        </is>
      </c>
      <c r="Y266" s="14" t="inlineStr">
        <is>
          <t>V4</t>
        </is>
      </c>
      <c r="Z266" s="14" t="inlineStr">
        <is>
          <t>prior-2026-10-04-v1</t>
        </is>
      </c>
      <c r="AA266" s="14" t="inlineStr">
        <is>
          <t>B</t>
        </is>
      </c>
      <c r="AB266" s="14" t="n">
        <v>0.5507923412660749</v>
      </c>
      <c r="AC266" s="14" t="n">
        <v>0</v>
      </c>
      <c r="AD266" s="14" t="n">
        <v>0</v>
      </c>
      <c r="AE266" s="14" t="n">
        <v>0</v>
      </c>
      <c r="AF266" s="14" t="n">
        <v>0.4492076587339251</v>
      </c>
      <c r="AG266" s="14" t="n">
        <v>0.07955298888150675</v>
      </c>
      <c r="AH266" s="14" t="n"/>
      <c r="AI266" s="14" t="n"/>
      <c r="AJ266" s="14" t="n">
        <v>0.07955298888150675</v>
      </c>
      <c r="AK266" s="14" t="n"/>
      <c r="AL266" s="14" t="n"/>
      <c r="AM266" s="14" t="n"/>
      <c r="AN266" s="14" t="inlineStr">
        <is>
          <t>EVALUATED</t>
        </is>
      </c>
      <c r="AO266" s="14" t="inlineStr">
        <is>
          <t>GIVING_VALIDATED_EDGE;BUCKET_PRIOR_ONLY;INTENT_INTERPRETATION_ONLY;FFL_OPTIONAL;EXPERT_MARKET</t>
        </is>
      </c>
      <c r="AP266" s="14" t="inlineStr">
        <is>
          <t>762f59329b031faf6db7</t>
        </is>
      </c>
      <c r="AQ266" s="14" t="n">
        <v>-0.5</v>
      </c>
      <c r="AR266" s="14" t="n">
        <v>0.96</v>
      </c>
      <c r="AS266" s="14" t="n">
        <v>-0.5</v>
      </c>
      <c r="AT266" s="14" t="n">
        <v>0.5</v>
      </c>
      <c r="AU266" s="14" t="n">
        <v>0.96</v>
      </c>
      <c r="AV266" s="14" t="n">
        <v>0.8</v>
      </c>
      <c r="AW266" s="14" t="inlineStr">
        <is>
          <t>2026-10-04T09:58:08.993953+08:00</t>
        </is>
      </c>
      <c r="AX266" s="14" t="inlineStr">
        <is>
          <t>Titan007 Next</t>
        </is>
      </c>
      <c r="AY266" s="14" t="inlineStr">
        <is>
          <t>V4 Shadow Only；real_money=false；新增冻结记录</t>
        </is>
      </c>
    </row>
    <row r="267" ht="22" customHeight="1" s="39">
      <c r="A267" s="14" t="inlineStr">
        <is>
          <t>2026-10-04</t>
        </is>
      </c>
      <c r="B267" s="14" t="inlineStr">
        <is>
          <t>2026-10-05 02:45:00</t>
        </is>
      </c>
      <c r="C267" s="14" t="inlineStr">
        <is>
          <t>NATIONAL_OFFICIAL</t>
        </is>
      </c>
      <c r="D267" s="14" t="inlineStr">
        <is>
          <t>联赛</t>
        </is>
      </c>
      <c r="E267" s="14" t="inlineStr">
        <is>
          <t>欧国联</t>
        </is>
      </c>
      <c r="F267" s="14" t="inlineStr">
        <is>
          <t>荷兰 vs 塞尔维亚</t>
        </is>
      </c>
      <c r="G267" s="26" t="n">
        <v>0.99</v>
      </c>
      <c r="H267" s="26" t="n">
        <v>-2.25</v>
      </c>
      <c r="I267" s="26" t="n">
        <v>0.89</v>
      </c>
      <c r="J267" s="26" t="inlineStr">
        <is>
          <t>0.99/-2.25/0.89</t>
        </is>
      </c>
      <c r="K267" s="14" t="inlineStr">
        <is>
          <t>V4-B｜EV 0.09998721643234637</t>
        </is>
      </c>
      <c r="L267" s="14" t="inlineStr">
        <is>
          <t>荷兰</t>
        </is>
      </c>
      <c r="M267" s="47" t="n">
        <v>0.4918955528936094</v>
      </c>
      <c r="N267" s="14" t="inlineStr">
        <is>
          <t>V4纸面入选-B</t>
        </is>
      </c>
      <c r="O267" s="14" t="inlineStr">
        <is>
          <t>2-1</t>
        </is>
      </c>
      <c r="P267" s="14" t="inlineStr">
        <is>
          <t>已结算</t>
        </is>
      </c>
      <c r="Q267" s="14" t="inlineStr">
        <is>
          <t>黑</t>
        </is>
      </c>
      <c r="R267" s="48" t="n">
        <v>0.99</v>
      </c>
      <c r="S267" s="48" t="n">
        <v>0.495</v>
      </c>
      <c r="T267" s="14" t="inlineStr">
        <is>
          <t>D:\codex\v3_legacy\outputs\football_odds_trader\raw\titan007\20261004\20261004_135431_titan007_odds_snapshot.csv</t>
        </is>
      </c>
      <c r="U267" s="14">
        <f>IF(Q267="","",IF(Q267="待结算","待结算",IF(Q267="红","黑",IF(Q267="半红","半黑",IF(Q267="走","走",IF(Q267="半黑","半红","红"))))))</f>
        <v/>
      </c>
      <c r="V267" s="48">
        <f>IF(OR(U267="",U267="待结算"),"",IF(L267=LEFT(F267,FIND(" vs ",F267)-1),I267,G267))</f>
        <v/>
      </c>
      <c r="W267" s="48">
        <f>IF(OR(U267="",U267="待结算"),"",IF(U267="红",V267,IF(U267="半红",V267*0.5,IF(U267="走",0,IF(U267="半黑",-0.5,-1)))))</f>
        <v/>
      </c>
      <c r="X267" s="14" t="inlineStr">
        <is>
          <t>2981449</t>
        </is>
      </c>
      <c r="Y267" s="14" t="inlineStr">
        <is>
          <t>V4</t>
        </is>
      </c>
      <c r="Z267" s="14" t="inlineStr">
        <is>
          <t>prior-2026-10-04-v1</t>
        </is>
      </c>
      <c r="AA267" s="14" t="inlineStr">
        <is>
          <t>B</t>
        </is>
      </c>
      <c r="AB267" s="14" t="n">
        <v>0.4918955528936094</v>
      </c>
      <c r="AC267" s="14" t="n">
        <v>0</v>
      </c>
      <c r="AD267" s="14" t="n">
        <v>0</v>
      </c>
      <c r="AE267" s="14" t="n">
        <v>0.2422301323481276</v>
      </c>
      <c r="AF267" s="14" t="n">
        <v>0.2658743147582631</v>
      </c>
      <c r="AG267" s="14" t="n">
        <v>0.09998721643234637</v>
      </c>
      <c r="AH267" s="14" t="n"/>
      <c r="AI267" s="14" t="n"/>
      <c r="AJ267" s="14" t="n">
        <v>0.09998721643234637</v>
      </c>
      <c r="AK267" s="14" t="n"/>
      <c r="AL267" s="14" t="n"/>
      <c r="AM267" s="14" t="n"/>
      <c r="AN267" s="14" t="inlineStr">
        <is>
          <t>EVALUATED</t>
        </is>
      </c>
      <c r="AO267" s="14" t="inlineStr">
        <is>
          <t>GIVING_VALIDATED_EDGE;BUCKET_PRIOR_ONLY;INTENT_INTERPRETATION_ONLY;FFL_OPTIONAL;EXPERT_MARKET</t>
        </is>
      </c>
      <c r="AP267" s="14" t="inlineStr">
        <is>
          <t>b8b63bf5a23d3e70d1cd</t>
        </is>
      </c>
      <c r="AQ267" s="14" t="n">
        <v>-2.25</v>
      </c>
      <c r="AR267" s="14" t="n">
        <v>0.99</v>
      </c>
      <c r="AS267" s="14" t="n">
        <v>-2.25</v>
      </c>
      <c r="AT267" s="14" t="n">
        <v>2.25</v>
      </c>
      <c r="AU267" s="14" t="n">
        <v>0.99</v>
      </c>
      <c r="AV267" s="14" t="n">
        <v>0.89</v>
      </c>
      <c r="AW267" s="14" t="inlineStr">
        <is>
          <t>2026-10-04T09:58:08.993953+08:00</t>
        </is>
      </c>
      <c r="AX267" s="14" t="inlineStr">
        <is>
          <t>Titan007 Next</t>
        </is>
      </c>
      <c r="AY267" s="14" t="inlineStr">
        <is>
          <t>V4 Shadow Only；real_money=false；新增冻结记录</t>
        </is>
      </c>
    </row>
    <row r="268" ht="22" customHeight="1" s="39">
      <c r="A268" s="14" t="inlineStr">
        <is>
          <t>2026-10-04</t>
        </is>
      </c>
      <c r="B268" s="14" t="inlineStr">
        <is>
          <t>2026-10-05 02:45:00</t>
        </is>
      </c>
      <c r="C268" s="14" t="inlineStr">
        <is>
          <t>NATIONAL_OFFICIAL</t>
        </is>
      </c>
      <c r="D268" s="14" t="inlineStr">
        <is>
          <t>联赛</t>
        </is>
      </c>
      <c r="E268" s="14" t="inlineStr">
        <is>
          <t>欧国联</t>
        </is>
      </c>
      <c r="F268" s="14" t="inlineStr">
        <is>
          <t>希腊 vs 德国</t>
        </is>
      </c>
      <c r="G268" s="26" t="n">
        <v>1.05</v>
      </c>
      <c r="H268" s="26" t="n">
        <v>0.5</v>
      </c>
      <c r="I268" s="26" t="n">
        <v>0.83</v>
      </c>
      <c r="J268" s="26" t="inlineStr">
        <is>
          <t>1.05/0.5/0.83</t>
        </is>
      </c>
      <c r="K268" s="14" t="inlineStr">
        <is>
          <t>V4-B｜EV 0.5813611597936951</t>
        </is>
      </c>
      <c r="L268" s="14" t="inlineStr">
        <is>
          <t>希腊</t>
        </is>
      </c>
      <c r="M268" s="47" t="n">
        <v>0.7713956877042415</v>
      </c>
      <c r="N268" s="14" t="inlineStr">
        <is>
          <t>V4纸面入选-B</t>
        </is>
      </c>
      <c r="O268" s="14" t="inlineStr">
        <is>
          <t>0-0</t>
        </is>
      </c>
      <c r="P268" s="14" t="inlineStr">
        <is>
          <t>已结算</t>
        </is>
      </c>
      <c r="Q268" s="14" t="inlineStr">
        <is>
          <t>红</t>
        </is>
      </c>
      <c r="R268" s="48" t="n">
        <v>1.05</v>
      </c>
      <c r="S268" s="48" t="n">
        <v>0.525</v>
      </c>
      <c r="T268" s="14" t="inlineStr">
        <is>
          <t>D:\codex\v3_legacy\outputs\football_odds_trader\raw\titan007\20261004\20261004_135431_titan007_odds_snapshot.csv</t>
        </is>
      </c>
      <c r="U268" s="14">
        <f>IF(Q268="","",IF(Q268="待结算","待结算",IF(Q268="红","黑",IF(Q268="半红","半黑",IF(Q268="走","走",IF(Q268="半黑","半红","红"))))))</f>
        <v/>
      </c>
      <c r="V268" s="48">
        <f>IF(OR(U268="",U268="待结算"),"",IF(L268=LEFT(F268,FIND(" vs ",F268)-1),I268,G268))</f>
        <v/>
      </c>
      <c r="W268" s="48">
        <f>IF(OR(U268="",U268="待结算"),"",IF(U268="红",V268,IF(U268="半红",V268*0.5,IF(U268="走",0,IF(U268="半黑",-0.5,-1)))))</f>
        <v/>
      </c>
      <c r="X268" s="14" t="inlineStr">
        <is>
          <t>2981450</t>
        </is>
      </c>
      <c r="Y268" s="14" t="inlineStr">
        <is>
          <t>V4</t>
        </is>
      </c>
      <c r="Z268" s="14" t="inlineStr">
        <is>
          <t>prior-2026-10-04-v1</t>
        </is>
      </c>
      <c r="AA268" s="14" t="inlineStr">
        <is>
          <t>B</t>
        </is>
      </c>
      <c r="AB268" s="14" t="n">
        <v>0.7713956877042415</v>
      </c>
      <c r="AC268" s="14" t="n">
        <v>0</v>
      </c>
      <c r="AD268" s="14" t="n">
        <v>0</v>
      </c>
      <c r="AE268" s="14" t="n">
        <v>0</v>
      </c>
      <c r="AF268" s="14" t="n">
        <v>0.2286043122957585</v>
      </c>
      <c r="AG268" s="14" t="n">
        <v>0.5813611597936951</v>
      </c>
      <c r="AH268" s="14" t="n"/>
      <c r="AI268" s="14" t="n"/>
      <c r="AJ268" s="14" t="n">
        <v>0.5813611597936951</v>
      </c>
      <c r="AK268" s="14" t="n"/>
      <c r="AL268" s="14" t="n"/>
      <c r="AM268" s="14" t="n"/>
      <c r="AN268" s="14" t="inlineStr">
        <is>
          <t>EVALUATED</t>
        </is>
      </c>
      <c r="AO268" s="14" t="inlineStr">
        <is>
          <t>RECEIVING_VALIDATED_EDGE;BUCKET_PRIOR_ONLY;INTENT_INTERPRETATION_ONLY;FFL_OPTIONAL;EXPERT_MARKET</t>
        </is>
      </c>
      <c r="AP268" s="14" t="inlineStr">
        <is>
          <t>aa6a0af8976e03184f11</t>
        </is>
      </c>
      <c r="AQ268" s="14" t="n">
        <v>0.5</v>
      </c>
      <c r="AR268" s="14" t="n">
        <v>1.05</v>
      </c>
      <c r="AS268" s="14" t="n">
        <v>-0.5</v>
      </c>
      <c r="AT268" s="14" t="n">
        <v>0.5</v>
      </c>
      <c r="AU268" s="14" t="n">
        <v>0.83</v>
      </c>
      <c r="AV268" s="14" t="n">
        <v>1.05</v>
      </c>
      <c r="AW268" s="14" t="inlineStr">
        <is>
          <t>2026-10-04T09:58:08.993953+08:00</t>
        </is>
      </c>
      <c r="AX268" s="14" t="inlineStr">
        <is>
          <t>Titan007 Next</t>
        </is>
      </c>
      <c r="AY268" s="14" t="inlineStr">
        <is>
          <t>V4 Shadow Only；real_money=false；新增冻结记录</t>
        </is>
      </c>
    </row>
    <row r="269" ht="22" customHeight="1" s="39">
      <c r="A269" s="14" t="inlineStr">
        <is>
          <t>2026-10-04</t>
        </is>
      </c>
      <c r="B269" s="14" t="inlineStr">
        <is>
          <t>2026-10-05 02:45:00</t>
        </is>
      </c>
      <c r="C269" s="14" t="inlineStr">
        <is>
          <t>NATIONAL_OFFICIAL</t>
        </is>
      </c>
      <c r="D269" s="14" t="inlineStr">
        <is>
          <t>联赛</t>
        </is>
      </c>
      <c r="E269" s="14" t="inlineStr">
        <is>
          <t>欧国联</t>
        </is>
      </c>
      <c r="F269" s="14" t="inlineStr">
        <is>
          <t>威尔士 vs 丹麦</t>
        </is>
      </c>
      <c r="G269" s="26" t="n">
        <v>0.88</v>
      </c>
      <c r="H269" s="26" t="n">
        <v>0.5</v>
      </c>
      <c r="I269" s="26" t="n">
        <v>1</v>
      </c>
      <c r="J269" s="26" t="inlineStr">
        <is>
          <t>0.88/0.5/1.0</t>
        </is>
      </c>
      <c r="K269" s="14" t="inlineStr">
        <is>
          <t>V4-B｜EV 0.5226399204829162</t>
        </is>
      </c>
      <c r="L269" s="14" t="inlineStr">
        <is>
          <t>威尔士</t>
        </is>
      </c>
      <c r="M269" s="47" t="n">
        <v>0.8099148513207001</v>
      </c>
      <c r="N269" s="14" t="inlineStr">
        <is>
          <t>V4纸面入选-B</t>
        </is>
      </c>
      <c r="O269" s="14" t="inlineStr">
        <is>
          <t>0-1</t>
        </is>
      </c>
      <c r="P269" s="14" t="inlineStr">
        <is>
          <t>已结算</t>
        </is>
      </c>
      <c r="Q269" s="14" t="inlineStr">
        <is>
          <t>黑</t>
        </is>
      </c>
      <c r="R269" s="48" t="n">
        <v>0.88</v>
      </c>
      <c r="S269" s="48" t="n">
        <v>0.44</v>
      </c>
      <c r="T269" s="14" t="inlineStr">
        <is>
          <t>D:\codex\v3_legacy\outputs\football_odds_trader\raw\titan007\20261004\20261004_135431_titan007_odds_snapshot.csv</t>
        </is>
      </c>
      <c r="U269" s="14">
        <f>IF(Q269="","",IF(Q269="待结算","待结算",IF(Q269="红","黑",IF(Q269="半红","半黑",IF(Q269="走","走",IF(Q269="半黑","半红","红"))))))</f>
        <v/>
      </c>
      <c r="V269" s="48">
        <f>IF(OR(U269="",U269="待结算"),"",IF(L269=LEFT(F269,FIND(" vs ",F269)-1),I269,G269))</f>
        <v/>
      </c>
      <c r="W269" s="48">
        <f>IF(OR(U269="",U269="待结算"),"",IF(U269="红",V269,IF(U269="半红",V269*0.5,IF(U269="走",0,IF(U269="半黑",-0.5,-1)))))</f>
        <v/>
      </c>
      <c r="X269" s="14" t="inlineStr">
        <is>
          <t>2981452</t>
        </is>
      </c>
      <c r="Y269" s="14" t="inlineStr">
        <is>
          <t>V4</t>
        </is>
      </c>
      <c r="Z269" s="14" t="inlineStr">
        <is>
          <t>prior-2026-10-04-v1</t>
        </is>
      </c>
      <c r="AA269" s="14" t="inlineStr">
        <is>
          <t>B</t>
        </is>
      </c>
      <c r="AB269" s="14" t="n">
        <v>0.8099148513207001</v>
      </c>
      <c r="AC269" s="14" t="n">
        <v>0</v>
      </c>
      <c r="AD269" s="14" t="n">
        <v>0</v>
      </c>
      <c r="AE269" s="14" t="n">
        <v>0</v>
      </c>
      <c r="AF269" s="14" t="n">
        <v>0.1900851486793</v>
      </c>
      <c r="AG269" s="14" t="n">
        <v>0.5226399204829162</v>
      </c>
      <c r="AH269" s="14" t="n"/>
      <c r="AI269" s="14" t="n"/>
      <c r="AJ269" s="14" t="n">
        <v>0.5226399204829162</v>
      </c>
      <c r="AK269" s="14" t="n"/>
      <c r="AL269" s="14" t="n"/>
      <c r="AM269" s="14" t="n"/>
      <c r="AN269" s="14" t="inlineStr">
        <is>
          <t>EVALUATED</t>
        </is>
      </c>
      <c r="AO269" s="14" t="inlineStr">
        <is>
          <t>RECEIVING_VALIDATED_EDGE;BUCKET_PRIOR_ONLY;INTENT_INTERPRETATION_ONLY;FFL_OPTIONAL;EXPERT_MARKET</t>
        </is>
      </c>
      <c r="AP269" s="14" t="inlineStr">
        <is>
          <t>bdff23dd2653b49ba061</t>
        </is>
      </c>
      <c r="AQ269" s="14" t="n">
        <v>0.5</v>
      </c>
      <c r="AR269" s="14" t="n">
        <v>0.88</v>
      </c>
      <c r="AS269" s="14" t="n">
        <v>-0.5</v>
      </c>
      <c r="AT269" s="14" t="n">
        <v>0.5</v>
      </c>
      <c r="AU269" s="14" t="n">
        <v>1</v>
      </c>
      <c r="AV269" s="14" t="n">
        <v>0.88</v>
      </c>
      <c r="AW269" s="14" t="inlineStr">
        <is>
          <t>2026-10-04T09:58:08.993953+08:00</t>
        </is>
      </c>
      <c r="AX269" s="14" t="inlineStr">
        <is>
          <t>Titan007 Next</t>
        </is>
      </c>
      <c r="AY269" s="14" t="inlineStr">
        <is>
          <t>V4 Shadow Only；real_money=false；新增冻结记录</t>
        </is>
      </c>
    </row>
    <row r="270" ht="22" customHeight="1" s="39">
      <c r="A270" s="14" t="inlineStr">
        <is>
          <t>2026-10-04</t>
        </is>
      </c>
      <c r="B270" s="14" t="inlineStr">
        <is>
          <t>2026-10-05 02:45:00</t>
        </is>
      </c>
      <c r="C270" s="14" t="inlineStr">
        <is>
          <t>NATIONAL_OFFICIAL</t>
        </is>
      </c>
      <c r="D270" s="14" t="inlineStr">
        <is>
          <t>联赛</t>
        </is>
      </c>
      <c r="E270" s="14" t="inlineStr">
        <is>
          <t>欧国联</t>
        </is>
      </c>
      <c r="F270" s="14" t="inlineStr">
        <is>
          <t>爱尔兰(中) vs 以色列</t>
        </is>
      </c>
      <c r="G270" s="26" t="n">
        <v>0.84</v>
      </c>
      <c r="H270" s="26" t="n">
        <v>-0.25</v>
      </c>
      <c r="I270" s="26" t="n">
        <v>1.04</v>
      </c>
      <c r="J270" s="26" t="inlineStr">
        <is>
          <t>0.84/-0.25/1.04</t>
        </is>
      </c>
      <c r="K270" s="14" t="inlineStr">
        <is>
          <t>V4-B｜EV 0.11665412436680167</t>
        </is>
      </c>
      <c r="L270" s="14" t="inlineStr">
        <is>
          <t>爱尔兰(中)</t>
        </is>
      </c>
      <c r="M270" s="47" t="n">
        <v>0.5403654959544127</v>
      </c>
      <c r="N270" s="14" t="inlineStr">
        <is>
          <t>V4纸面入选-B</t>
        </is>
      </c>
      <c r="O270" s="14" t="inlineStr">
        <is>
          <t>1-1</t>
        </is>
      </c>
      <c r="P270" s="14" t="inlineStr">
        <is>
          <t>已结算</t>
        </is>
      </c>
      <c r="Q270" s="14" t="inlineStr">
        <is>
          <t>半黑</t>
        </is>
      </c>
      <c r="R270" s="48" t="n">
        <v>0.84</v>
      </c>
      <c r="S270" s="48" t="n">
        <v>0</v>
      </c>
      <c r="T270" s="14" t="inlineStr">
        <is>
          <t>D:\codex\v3_legacy\outputs\football_odds_trader\raw\titan007\20261004\20261004_135431_titan007_odds_snapshot.csv</t>
        </is>
      </c>
      <c r="U270" s="14">
        <f>IF(Q270="","",IF(Q270="待结算","待结算",IF(Q270="红","黑",IF(Q270="半红","半黑",IF(Q270="走","走",IF(Q270="半黑","半红","红"))))))</f>
        <v/>
      </c>
      <c r="V270" s="48">
        <f>IF(OR(U270="",U270="待结算"),"",IF(L270=LEFT(F270,FIND(" vs ",F270)-1),I270,G270))</f>
        <v/>
      </c>
      <c r="W270" s="48">
        <f>IF(OR(U270="",U270="待结算"),"",IF(U270="红",V270,IF(U270="半红",V270*0.5,IF(U270="走",0,IF(U270="半黑",-0.5,-1)))))</f>
        <v/>
      </c>
      <c r="X270" s="14" t="inlineStr">
        <is>
          <t>2981500</t>
        </is>
      </c>
      <c r="Y270" s="14" t="inlineStr">
        <is>
          <t>V4</t>
        </is>
      </c>
      <c r="Z270" s="14" t="inlineStr">
        <is>
          <t>prior-2026-10-04-v1</t>
        </is>
      </c>
      <c r="AA270" s="14" t="inlineStr">
        <is>
          <t>B</t>
        </is>
      </c>
      <c r="AB270" s="14" t="n">
        <v>0.5403654959544127</v>
      </c>
      <c r="AC270" s="14" t="n">
        <v>0</v>
      </c>
      <c r="AD270" s="14" t="n">
        <v>0</v>
      </c>
      <c r="AE270" s="14" t="n">
        <v>0.2447632236213645</v>
      </c>
      <c r="AF270" s="14" t="n">
        <v>0.2148712804242228</v>
      </c>
      <c r="AG270" s="14" t="n">
        <v>0.1166541243668017</v>
      </c>
      <c r="AH270" s="14" t="n"/>
      <c r="AI270" s="14" t="n"/>
      <c r="AJ270" s="14" t="n">
        <v>0.1166541243668017</v>
      </c>
      <c r="AK270" s="14" t="n"/>
      <c r="AL270" s="14" t="n"/>
      <c r="AM270" s="14" t="n"/>
      <c r="AN270" s="14" t="inlineStr">
        <is>
          <t>EVALUATED</t>
        </is>
      </c>
      <c r="AO270" s="14" t="inlineStr">
        <is>
          <t>GIVING_VALIDATED_EDGE;BUCKET_PRIOR_ONLY;INTENT_INTERPRETATION_ONLY;FFL_OPTIONAL;EXPERT_MARKET</t>
        </is>
      </c>
      <c r="AP270" s="14" t="inlineStr">
        <is>
          <t>e76b3ec52b6e28d20923</t>
        </is>
      </c>
      <c r="AQ270" s="14" t="n">
        <v>-0.25</v>
      </c>
      <c r="AR270" s="14" t="n">
        <v>0.84</v>
      </c>
      <c r="AS270" s="14" t="n">
        <v>-0.25</v>
      </c>
      <c r="AT270" s="14" t="n">
        <v>0.25</v>
      </c>
      <c r="AU270" s="14" t="n">
        <v>0.84</v>
      </c>
      <c r="AV270" s="14" t="n">
        <v>1.04</v>
      </c>
      <c r="AW270" s="14" t="inlineStr">
        <is>
          <t>2026-10-04T09:58:08.993953+08:00</t>
        </is>
      </c>
      <c r="AX270" s="14" t="inlineStr">
        <is>
          <t>Titan007 Next</t>
        </is>
      </c>
      <c r="AY270" s="14" t="inlineStr">
        <is>
          <t>V4 Shadow Only；real_money=false；新增冻结记录</t>
        </is>
      </c>
    </row>
    <row r="271" ht="22" customHeight="1" s="39">
      <c r="A271" s="14" t="inlineStr">
        <is>
          <t>2026-10-04</t>
        </is>
      </c>
      <c r="B271" s="14" t="inlineStr">
        <is>
          <t>2026-10-05 03:00:00</t>
        </is>
      </c>
      <c r="C271" s="14" t="inlineStr">
        <is>
          <t>CLUB_LEAGUE</t>
        </is>
      </c>
      <c r="D271" s="14" t="inlineStr">
        <is>
          <t>联赛</t>
        </is>
      </c>
      <c r="E271" s="14" t="inlineStr">
        <is>
          <t>西乙</t>
        </is>
      </c>
      <c r="F271" s="14" t="inlineStr">
        <is>
          <t>赫罗纳 vs 马洛卡</t>
        </is>
      </c>
      <c r="G271" s="26" t="n">
        <v>1</v>
      </c>
      <c r="H271" s="26" t="n">
        <v>-0.25</v>
      </c>
      <c r="I271" s="26" t="n">
        <v>0.88</v>
      </c>
      <c r="J271" s="26" t="inlineStr">
        <is>
          <t>1.0/-0.25/0.88</t>
        </is>
      </c>
      <c r="K271" s="14" t="inlineStr">
        <is>
          <t>V4-B｜EV 0.09101907341102922</t>
        </is>
      </c>
      <c r="L271" s="14" t="inlineStr">
        <is>
          <t>赫罗纳</t>
        </is>
      </c>
      <c r="M271" s="47" t="n">
        <v>0.4816333083261221</v>
      </c>
      <c r="N271" s="14" t="inlineStr">
        <is>
          <t>V4纸面入选-B</t>
        </is>
      </c>
      <c r="O271" s="14" t="inlineStr">
        <is>
          <t>0-0</t>
        </is>
      </c>
      <c r="P271" s="14" t="inlineStr">
        <is>
          <t>已结算</t>
        </is>
      </c>
      <c r="Q271" s="14" t="inlineStr">
        <is>
          <t>半黑</t>
        </is>
      </c>
      <c r="R271" s="48" t="n">
        <v>1</v>
      </c>
      <c r="S271" s="48" t="n">
        <v>0</v>
      </c>
      <c r="T271" s="14" t="inlineStr">
        <is>
          <t>D:\codex\v3_legacy\outputs\football_odds_trader\raw\titan007\20261004\20261004_135431_titan007_odds_snapshot.csv</t>
        </is>
      </c>
      <c r="U271" s="14">
        <f>IF(Q271="","",IF(Q271="待结算","待结算",IF(Q271="红","黑",IF(Q271="半红","半黑",IF(Q271="走","走",IF(Q271="半黑","半红","红"))))))</f>
        <v/>
      </c>
      <c r="V271" s="48">
        <f>IF(OR(U271="",U271="待结算"),"",IF(L271=LEFT(F271,FIND(" vs ",F271)-1),I271,G271))</f>
        <v/>
      </c>
      <c r="W271" s="48">
        <f>IF(OR(U271="",U271="待结算"),"",IF(U271="红",V271,IF(U271="半红",V271*0.5,IF(U271="走",0,IF(U271="半黑",-0.5,-1)))))</f>
        <v/>
      </c>
      <c r="X271" s="14" t="inlineStr">
        <is>
          <t>3014105</t>
        </is>
      </c>
      <c r="Y271" s="14" t="inlineStr">
        <is>
          <t>V4</t>
        </is>
      </c>
      <c r="Z271" s="14" t="inlineStr">
        <is>
          <t>prior-2026-10-04-v1</t>
        </is>
      </c>
      <c r="AA271" s="14" t="inlineStr">
        <is>
          <t>B</t>
        </is>
      </c>
      <c r="AB271" s="14" t="n">
        <v>0.4816333083261221</v>
      </c>
      <c r="AC271" s="14" t="n">
        <v>0</v>
      </c>
      <c r="AD271" s="14" t="n">
        <v>0</v>
      </c>
      <c r="AE271" s="14" t="n">
        <v>0.2555049135175703</v>
      </c>
      <c r="AF271" s="14" t="n">
        <v>0.2628617781563077</v>
      </c>
      <c r="AG271" s="14" t="n">
        <v>0.09101907341102922</v>
      </c>
      <c r="AH271" s="14" t="n"/>
      <c r="AI271" s="14" t="n"/>
      <c r="AJ271" s="14" t="n">
        <v>0.09101907341102922</v>
      </c>
      <c r="AK271" s="14" t="n"/>
      <c r="AL271" s="14" t="n"/>
      <c r="AM271" s="14" t="n"/>
      <c r="AN271" s="14" t="inlineStr">
        <is>
          <t>EVALUATED</t>
        </is>
      </c>
      <c r="AO271" s="14" t="inlineStr">
        <is>
          <t>GIVING_VALIDATED_EDGE;BUCKET_PRIOR_ONLY;INTENT_INTERPRETATION_ONLY;FFL_OPTIONAL;EXPERT_MARKET</t>
        </is>
      </c>
      <c r="AP271" s="14" t="inlineStr">
        <is>
          <t>723df91db561a23e78fb</t>
        </is>
      </c>
      <c r="AQ271" s="14" t="n">
        <v>-0.25</v>
      </c>
      <c r="AR271" s="14" t="n">
        <v>1</v>
      </c>
      <c r="AS271" s="14" t="n">
        <v>-0.25</v>
      </c>
      <c r="AT271" s="14" t="n">
        <v>0.25</v>
      </c>
      <c r="AU271" s="14" t="n">
        <v>1</v>
      </c>
      <c r="AV271" s="14" t="n">
        <v>0.88</v>
      </c>
      <c r="AW271" s="14" t="inlineStr">
        <is>
          <t>2026-10-04T09:58:08.993953+08:00</t>
        </is>
      </c>
      <c r="AX271" s="14" t="inlineStr">
        <is>
          <t>Titan007 Next</t>
        </is>
      </c>
      <c r="AY271" s="14" t="inlineStr">
        <is>
          <t>V4 Shadow Only；real_money=false；新增冻结记录</t>
        </is>
      </c>
    </row>
    <row r="272" ht="22" customHeight="1" s="39">
      <c r="A272" s="14" t="inlineStr">
        <is>
          <t>2026-10-04</t>
        </is>
      </c>
      <c r="B272" s="14" t="inlineStr">
        <is>
          <t>2026-10-05 03:00:00</t>
        </is>
      </c>
      <c r="C272" s="14" t="inlineStr">
        <is>
          <t>CLUB_LEAGUE</t>
        </is>
      </c>
      <c r="D272" s="14" t="inlineStr">
        <is>
          <t>联赛</t>
        </is>
      </c>
      <c r="E272" s="14" t="inlineStr">
        <is>
          <t>西协甲</t>
        </is>
      </c>
      <c r="F272" s="14" t="inlineStr">
        <is>
          <t>萨拉戈萨 vs 特鲁埃尔</t>
        </is>
      </c>
      <c r="G272" s="26" t="n">
        <v>0.74</v>
      </c>
      <c r="H272" s="26" t="n">
        <v>-1.25</v>
      </c>
      <c r="I272" s="26" t="n">
        <v>0.96</v>
      </c>
      <c r="J272" s="26" t="inlineStr">
        <is>
          <t>0.74/-1.25/0.96</t>
        </is>
      </c>
      <c r="K272" s="14" t="inlineStr">
        <is>
          <t>V4-B｜EV 0.122540939496629</t>
        </is>
      </c>
      <c r="L272" s="14" t="inlineStr">
        <is>
          <t>萨拉戈萨</t>
        </is>
      </c>
      <c r="M272" s="47" t="n">
        <v>0.5766476102174896</v>
      </c>
      <c r="N272" s="14" t="inlineStr">
        <is>
          <t>V4纸面入选-B</t>
        </is>
      </c>
      <c r="O272" s="14" t="inlineStr">
        <is>
          <t>4-1</t>
        </is>
      </c>
      <c r="P272" s="14" t="inlineStr">
        <is>
          <t>已结算</t>
        </is>
      </c>
      <c r="Q272" s="14" t="inlineStr">
        <is>
          <t>红</t>
        </is>
      </c>
      <c r="R272" s="48" t="n">
        <v>0.74</v>
      </c>
      <c r="S272" s="48" t="n">
        <v>0.37</v>
      </c>
      <c r="T272" s="14" t="inlineStr">
        <is>
          <t>D:\codex\v3_legacy\outputs\football_odds_trader\raw\titan007\20261004\20261004_135431_titan007_odds_snapshot.csv</t>
        </is>
      </c>
      <c r="U272" s="14">
        <f>IF(Q272="","",IF(Q272="待结算","待结算",IF(Q272="红","黑",IF(Q272="半红","半黑",IF(Q272="走","走",IF(Q272="半黑","半红","红"))))))</f>
        <v/>
      </c>
      <c r="V272" s="48">
        <f>IF(OR(U272="",U272="待结算"),"",IF(L272=LEFT(F272,FIND(" vs ",F272)-1),I272,G272))</f>
        <v/>
      </c>
      <c r="W272" s="48">
        <f>IF(OR(U272="",U272="待结算"),"",IF(U272="红",V272,IF(U272="半红",V272*0.5,IF(U272="走",0,IF(U272="半黑",-0.5,-1)))))</f>
        <v/>
      </c>
      <c r="X272" s="14" t="inlineStr">
        <is>
          <t>3014923</t>
        </is>
      </c>
      <c r="Y272" s="14" t="inlineStr">
        <is>
          <t>V4</t>
        </is>
      </c>
      <c r="Z272" s="14" t="inlineStr">
        <is>
          <t>prior-2026-10-04-v1</t>
        </is>
      </c>
      <c r="AA272" s="14" t="inlineStr">
        <is>
          <t>B</t>
        </is>
      </c>
      <c r="AB272" s="14" t="n">
        <v>0.5766476102174896</v>
      </c>
      <c r="AC272" s="14" t="n">
        <v>0</v>
      </c>
      <c r="AD272" s="14" t="n">
        <v>0</v>
      </c>
      <c r="AE272" s="14" t="n">
        <v>0.2383481954363943</v>
      </c>
      <c r="AF272" s="14" t="n">
        <v>0.1850041943461161</v>
      </c>
      <c r="AG272" s="14" t="n">
        <v>0.122540939496629</v>
      </c>
      <c r="AH272" s="14" t="n"/>
      <c r="AI272" s="14" t="n"/>
      <c r="AJ272" s="14" t="n">
        <v>0.122540939496629</v>
      </c>
      <c r="AK272" s="14" t="n"/>
      <c r="AL272" s="14" t="n"/>
      <c r="AM272" s="14" t="n"/>
      <c r="AN272" s="14" t="inlineStr">
        <is>
          <t>EVALUATED</t>
        </is>
      </c>
      <c r="AO272" s="14" t="inlineStr">
        <is>
          <t>GIVING_VALIDATED_EDGE;BUCKET_PRIOR_ONLY;INTENT_INTERPRETATION_ONLY;FFL_OPTIONAL;EXPERT_MARKET</t>
        </is>
      </c>
      <c r="AP272" s="14" t="inlineStr">
        <is>
          <t>ebc5011c4ce8106dd610</t>
        </is>
      </c>
      <c r="AQ272" s="14" t="n">
        <v>-1.25</v>
      </c>
      <c r="AR272" s="14" t="n">
        <v>0.74</v>
      </c>
      <c r="AS272" s="14" t="n">
        <v>-1.25</v>
      </c>
      <c r="AT272" s="14" t="n">
        <v>1.25</v>
      </c>
      <c r="AU272" s="14" t="n">
        <v>0.74</v>
      </c>
      <c r="AV272" s="14" t="n">
        <v>0.96</v>
      </c>
      <c r="AW272" s="14" t="inlineStr">
        <is>
          <t>2026-10-04T09:58:08.993953+08:00</t>
        </is>
      </c>
      <c r="AX272" s="14" t="inlineStr">
        <is>
          <t>Titan007 Next</t>
        </is>
      </c>
      <c r="AY272" s="14" t="inlineStr">
        <is>
          <t>V4 Shadow Only；real_money=false；新增冻结记录</t>
        </is>
      </c>
    </row>
    <row r="273" ht="22" customHeight="1" s="39">
      <c r="A273" s="14" t="inlineStr">
        <is>
          <t>2026-10-04</t>
        </is>
      </c>
      <c r="B273" s="14" t="inlineStr">
        <is>
          <t>2026-10-05 03:00:00</t>
        </is>
      </c>
      <c r="C273" s="14" t="inlineStr">
        <is>
          <t>CLUB_LEAGUE</t>
        </is>
      </c>
      <c r="D273" s="14" t="inlineStr">
        <is>
          <t>联赛</t>
        </is>
      </c>
      <c r="E273" s="14" t="inlineStr">
        <is>
          <t>哥伦甲秋</t>
        </is>
      </c>
      <c r="F273" s="14" t="inlineStr">
        <is>
          <t>帕斯托 vs 福塔雷绍查</t>
        </is>
      </c>
      <c r="G273" s="26" t="n">
        <v>0.9</v>
      </c>
      <c r="H273" s="26" t="n">
        <v>-0.25</v>
      </c>
      <c r="I273" s="26" t="n">
        <v>0.98</v>
      </c>
      <c r="J273" s="26" t="inlineStr">
        <is>
          <t>0.9/-0.25/0.98</t>
        </is>
      </c>
      <c r="K273" s="14" t="inlineStr">
        <is>
          <t>V4-B｜EV 0.15762873716190715</t>
        </is>
      </c>
      <c r="L273" s="14" t="inlineStr">
        <is>
          <t>帕斯托</t>
        </is>
      </c>
      <c r="M273" s="47" t="n">
        <v>0.544930574476272</v>
      </c>
      <c r="N273" s="14" t="inlineStr">
        <is>
          <t>V4纸面入选-B</t>
        </is>
      </c>
      <c r="O273" s="14" t="inlineStr">
        <is>
          <t>0-0</t>
        </is>
      </c>
      <c r="P273" s="14" t="inlineStr">
        <is>
          <t>已结算</t>
        </is>
      </c>
      <c r="Q273" s="14" t="inlineStr">
        <is>
          <t>半黑</t>
        </is>
      </c>
      <c r="R273" s="48" t="n">
        <v>0.9</v>
      </c>
      <c r="S273" s="48" t="n">
        <v>0</v>
      </c>
      <c r="T273" s="14" t="inlineStr">
        <is>
          <t>D:\codex\v3_legacy\outputs\football_odds_trader\raw\titan007\20261004\20261004_135431_titan007_odds_snapshot.csv</t>
        </is>
      </c>
      <c r="U273" s="14">
        <f>IF(Q273="","",IF(Q273="待结算","待结算",IF(Q273="红","黑",IF(Q273="半红","半黑",IF(Q273="走","走",IF(Q273="半黑","半红","红"))))))</f>
        <v/>
      </c>
      <c r="V273" s="48">
        <f>IF(OR(U273="",U273="待结算"),"",IF(L273=LEFT(F273,FIND(" vs ",F273)-1),I273,G273))</f>
        <v/>
      </c>
      <c r="W273" s="48">
        <f>IF(OR(U273="",U273="待结算"),"",IF(U273="红",V273,IF(U273="半红",V273*0.5,IF(U273="走",0,IF(U273="半黑",-0.5,-1)))))</f>
        <v/>
      </c>
      <c r="X273" s="14" t="inlineStr">
        <is>
          <t>3011882</t>
        </is>
      </c>
      <c r="Y273" s="14" t="inlineStr">
        <is>
          <t>V4</t>
        </is>
      </c>
      <c r="Z273" s="14" t="inlineStr">
        <is>
          <t>prior-2026-10-04-v1</t>
        </is>
      </c>
      <c r="AA273" s="14" t="inlineStr">
        <is>
          <t>B</t>
        </is>
      </c>
      <c r="AB273" s="14" t="n">
        <v>0.544930574476272</v>
      </c>
      <c r="AC273" s="14" t="n">
        <v>0</v>
      </c>
      <c r="AD273" s="14" t="n">
        <v>0</v>
      </c>
      <c r="AE273" s="14" t="n">
        <v>0.2445212913139804</v>
      </c>
      <c r="AF273" s="14" t="n">
        <v>0.2105481342097475</v>
      </c>
      <c r="AG273" s="14" t="n">
        <v>0.1576287371619071</v>
      </c>
      <c r="AH273" s="14" t="n"/>
      <c r="AI273" s="14" t="n"/>
      <c r="AJ273" s="14" t="n">
        <v>0.1576287371619071</v>
      </c>
      <c r="AK273" s="14" t="n"/>
      <c r="AL273" s="14" t="n"/>
      <c r="AM273" s="14" t="n"/>
      <c r="AN273" s="14" t="inlineStr">
        <is>
          <t>EVALUATED</t>
        </is>
      </c>
      <c r="AO273" s="14" t="inlineStr">
        <is>
          <t>GIVING_VALIDATED_EDGE;BUCKET_PRIOR_ONLY;INTENT_INTERPRETATION_ONLY;FFL_OPTIONAL;EXPERT_MARKET</t>
        </is>
      </c>
      <c r="AP273" s="14" t="inlineStr">
        <is>
          <t>49fbfa7c7f04a24f83c2</t>
        </is>
      </c>
      <c r="AQ273" s="14" t="n">
        <v>-0.25</v>
      </c>
      <c r="AR273" s="14" t="n">
        <v>0.9</v>
      </c>
      <c r="AS273" s="14" t="n">
        <v>-0.25</v>
      </c>
      <c r="AT273" s="14" t="n">
        <v>0.25</v>
      </c>
      <c r="AU273" s="14" t="n">
        <v>0.9</v>
      </c>
      <c r="AV273" s="14" t="n">
        <v>0.98</v>
      </c>
      <c r="AW273" s="14" t="inlineStr">
        <is>
          <t>2026-10-04T09:58:08.993953+08:00</t>
        </is>
      </c>
      <c r="AX273" s="14" t="inlineStr">
        <is>
          <t>Titan007 Next</t>
        </is>
      </c>
      <c r="AY273" s="14" t="inlineStr">
        <is>
          <t>V4 Shadow Only；real_money=false；新增冻结记录</t>
        </is>
      </c>
    </row>
    <row r="274" ht="22" customHeight="1" s="39">
      <c r="A274" s="14" t="inlineStr">
        <is>
          <t>2026-10-04</t>
        </is>
      </c>
      <c r="B274" s="14" t="inlineStr">
        <is>
          <t>2026-10-05 03:30:00</t>
        </is>
      </c>
      <c r="C274" s="14" t="inlineStr">
        <is>
          <t>CLUB_LEAGUE</t>
        </is>
      </c>
      <c r="D274" s="14" t="inlineStr">
        <is>
          <t>联赛</t>
        </is>
      </c>
      <c r="E274" s="14" t="inlineStr">
        <is>
          <t>阿乙</t>
        </is>
      </c>
      <c r="F274" s="14" t="inlineStr">
        <is>
          <t>北索尔塔中央 vs 科多巴竞赛会</t>
        </is>
      </c>
      <c r="G274" s="26" t="n">
        <v>0.92</v>
      </c>
      <c r="H274" s="26" t="n">
        <v>-0.5</v>
      </c>
      <c r="I274" s="26" t="n">
        <v>0.84</v>
      </c>
      <c r="J274" s="26" t="inlineStr">
        <is>
          <t>0.92/-0.5/0.84</t>
        </is>
      </c>
      <c r="K274" s="14" t="inlineStr">
        <is>
          <t>V4-B｜EV 0.12303693037479402</t>
        </is>
      </c>
      <c r="L274" s="14" t="inlineStr">
        <is>
          <t>北索尔塔中央</t>
        </is>
      </c>
      <c r="M274" s="47" t="n">
        <v>0.5849150679035385</v>
      </c>
      <c r="N274" s="14" t="inlineStr">
        <is>
          <t>V4纸面入选-B</t>
        </is>
      </c>
      <c r="O274" s="14" t="inlineStr">
        <is>
          <t>1-1</t>
        </is>
      </c>
      <c r="P274" s="14" t="inlineStr">
        <is>
          <t>已结算</t>
        </is>
      </c>
      <c r="Q274" s="14" t="inlineStr">
        <is>
          <t>黑</t>
        </is>
      </c>
      <c r="R274" s="48" t="n">
        <v>0.92</v>
      </c>
      <c r="S274" s="48" t="n">
        <v>0.46</v>
      </c>
      <c r="T274" s="14" t="inlineStr">
        <is>
          <t>D:\codex\v3_legacy\outputs\football_odds_trader\raw\titan007\20261004\20261004_135431_titan007_odds_snapshot.csv</t>
        </is>
      </c>
      <c r="U274" s="14">
        <f>IF(Q274="","",IF(Q274="待结算","待结算",IF(Q274="红","黑",IF(Q274="半红","半黑",IF(Q274="走","走",IF(Q274="半黑","半红","红"))))))</f>
        <v/>
      </c>
      <c r="V274" s="48">
        <f>IF(OR(U274="",U274="待结算"),"",IF(L274=LEFT(F274,FIND(" vs ",F274)-1),I274,G274))</f>
        <v/>
      </c>
      <c r="W274" s="48">
        <f>IF(OR(U274="",U274="待结算"),"",IF(U274="红",V274,IF(U274="半红",V274*0.5,IF(U274="走",0,IF(U274="半黑",-0.5,-1)))))</f>
        <v/>
      </c>
      <c r="X274" s="14" t="inlineStr">
        <is>
          <t>2916720</t>
        </is>
      </c>
      <c r="Y274" s="14" t="inlineStr">
        <is>
          <t>V4</t>
        </is>
      </c>
      <c r="Z274" s="14" t="inlineStr">
        <is>
          <t>prior-2026-10-04-v1</t>
        </is>
      </c>
      <c r="AA274" s="14" t="inlineStr">
        <is>
          <t>B</t>
        </is>
      </c>
      <c r="AB274" s="14" t="n">
        <v>0.5849150679035385</v>
      </c>
      <c r="AC274" s="14" t="n">
        <v>0</v>
      </c>
      <c r="AD274" s="14" t="n">
        <v>0</v>
      </c>
      <c r="AE274" s="14" t="n">
        <v>0</v>
      </c>
      <c r="AF274" s="14" t="n">
        <v>0.4150849320964615</v>
      </c>
      <c r="AG274" s="14" t="n">
        <v>0.123036930374794</v>
      </c>
      <c r="AH274" s="14" t="n"/>
      <c r="AI274" s="14" t="n"/>
      <c r="AJ274" s="14" t="n">
        <v>0.123036930374794</v>
      </c>
      <c r="AK274" s="14" t="n"/>
      <c r="AL274" s="14" t="n"/>
      <c r="AM274" s="14" t="n"/>
      <c r="AN274" s="14" t="inlineStr">
        <is>
          <t>EVALUATED</t>
        </is>
      </c>
      <c r="AO274" s="14" t="inlineStr">
        <is>
          <t>GIVING_VALIDATED_EDGE;BUCKET_PRIOR_ONLY;INTENT_INTERPRETATION_ONLY;FFL_OPTIONAL;EXPERT_MARKET</t>
        </is>
      </c>
      <c r="AP274" s="14" t="inlineStr">
        <is>
          <t>af787a9c6ab7b4ca48df</t>
        </is>
      </c>
      <c r="AQ274" s="14" t="n">
        <v>-0.5</v>
      </c>
      <c r="AR274" s="14" t="n">
        <v>0.92</v>
      </c>
      <c r="AS274" s="14" t="n">
        <v>-0.5</v>
      </c>
      <c r="AT274" s="14" t="n">
        <v>0.5</v>
      </c>
      <c r="AU274" s="14" t="n">
        <v>0.92</v>
      </c>
      <c r="AV274" s="14" t="n">
        <v>0.84</v>
      </c>
      <c r="AW274" s="14" t="inlineStr">
        <is>
          <t>2026-10-04T09:58:08.993953+08:00</t>
        </is>
      </c>
      <c r="AX274" s="14" t="inlineStr">
        <is>
          <t>Titan007 Next</t>
        </is>
      </c>
      <c r="AY274" s="14" t="inlineStr">
        <is>
          <t>V4 Shadow Only；real_money=false；新增冻结记录</t>
        </is>
      </c>
    </row>
    <row r="275" ht="22" customHeight="1" s="39">
      <c r="A275" s="14" t="inlineStr">
        <is>
          <t>2026-10-04</t>
        </is>
      </c>
      <c r="B275" s="14" t="inlineStr">
        <is>
          <t>2026-10-05 04:00:00</t>
        </is>
      </c>
      <c r="C275" s="14" t="inlineStr">
        <is>
          <t>CLUB_LEAGUE</t>
        </is>
      </c>
      <c r="D275" s="14" t="inlineStr">
        <is>
          <t>联赛</t>
        </is>
      </c>
      <c r="E275" s="14" t="inlineStr">
        <is>
          <t>阿乙</t>
        </is>
      </c>
      <c r="F275" s="14" t="inlineStr">
        <is>
          <t>圭梅斯竞技 vs 科勒加勒斯</t>
        </is>
      </c>
      <c r="G275" s="26" t="n">
        <v>0.89</v>
      </c>
      <c r="H275" s="26" t="n">
        <v>0.25</v>
      </c>
      <c r="I275" s="26" t="n">
        <v>0.87</v>
      </c>
      <c r="J275" s="26" t="inlineStr">
        <is>
          <t>0.89/0.25/0.87</t>
        </is>
      </c>
      <c r="K275" s="14" t="inlineStr">
        <is>
          <t>V4-B｜EV 0.28533520513355104</t>
        </is>
      </c>
      <c r="L275" s="14" t="inlineStr">
        <is>
          <t>圭梅斯竞技</t>
        </is>
      </c>
      <c r="M275" s="47" t="n">
        <v>0.611899579120595</v>
      </c>
      <c r="N275" s="14" t="inlineStr">
        <is>
          <t>V4纸面入选-B</t>
        </is>
      </c>
      <c r="O275" s="14" t="inlineStr">
        <is>
          <t>0-1</t>
        </is>
      </c>
      <c r="P275" s="14" t="inlineStr">
        <is>
          <t>已结算</t>
        </is>
      </c>
      <c r="Q275" s="14" t="inlineStr">
        <is>
          <t>黑</t>
        </is>
      </c>
      <c r="R275" s="48" t="n">
        <v>0.89</v>
      </c>
      <c r="S275" s="48" t="n">
        <v>0</v>
      </c>
      <c r="T275" s="14" t="inlineStr">
        <is>
          <t>D:\codex\v3_legacy\outputs\football_odds_trader\raw\titan007\20261004\20261004_135431_titan007_odds_snapshot.csv</t>
        </is>
      </c>
      <c r="U275" s="14">
        <f>IF(Q275="","",IF(Q275="待结算","待结算",IF(Q275="红","黑",IF(Q275="半红","半黑",IF(Q275="走","走",IF(Q275="半黑","半红","红"))))))</f>
        <v/>
      </c>
      <c r="V275" s="48">
        <f>IF(OR(U275="",U275="待结算"),"",IF(L275=LEFT(F275,FIND(" vs ",F275)-1),I275,G275))</f>
        <v/>
      </c>
      <c r="W275" s="48">
        <f>IF(OR(U275="",U275="待结算"),"",IF(U275="红",V275,IF(U275="半红",V275*0.5,IF(U275="走",0,IF(U275="半黑",-0.5,-1)))))</f>
        <v/>
      </c>
      <c r="X275" s="14" t="inlineStr">
        <is>
          <t>2916723</t>
        </is>
      </c>
      <c r="Y275" s="14" t="inlineStr">
        <is>
          <t>V4</t>
        </is>
      </c>
      <c r="Z275" s="14" t="inlineStr">
        <is>
          <t>prior-2026-10-04-v1</t>
        </is>
      </c>
      <c r="AA275" s="14" t="inlineStr">
        <is>
          <t>B</t>
        </is>
      </c>
      <c r="AB275" s="14" t="n">
        <v>0.4830545785249685</v>
      </c>
      <c r="AC275" s="14" t="n">
        <v>0.257690001191253</v>
      </c>
      <c r="AD275" s="14" t="n">
        <v>0</v>
      </c>
      <c r="AE275" s="14" t="n">
        <v>0</v>
      </c>
      <c r="AF275" s="14" t="n">
        <v>0.2592554202837786</v>
      </c>
      <c r="AG275" s="14" t="n">
        <v>0.285335205133551</v>
      </c>
      <c r="AH275" s="14" t="n"/>
      <c r="AI275" s="14" t="n"/>
      <c r="AJ275" s="14" t="n">
        <v>0.285335205133551</v>
      </c>
      <c r="AK275" s="14" t="n"/>
      <c r="AL275" s="14" t="n"/>
      <c r="AM275" s="14" t="n"/>
      <c r="AN275" s="14" t="inlineStr">
        <is>
          <t>EVALUATED</t>
        </is>
      </c>
      <c r="AO275" s="14" t="inlineStr">
        <is>
          <t>RECEIVING_VALIDATED_EDGE;BUCKET_PRIOR_ONLY;INTENT_INTERPRETATION_ONLY;FFL_OPTIONAL;EXPERT_MARKET</t>
        </is>
      </c>
      <c r="AP275" s="14" t="inlineStr">
        <is>
          <t>a336b1e8830e0fe9b42c</t>
        </is>
      </c>
      <c r="AQ275" s="14" t="n">
        <v>0.25</v>
      </c>
      <c r="AR275" s="14" t="n">
        <v>0.89</v>
      </c>
      <c r="AS275" s="14" t="n">
        <v>-0.25</v>
      </c>
      <c r="AT275" s="14" t="n">
        <v>0.25</v>
      </c>
      <c r="AU275" s="14" t="n">
        <v>0.87</v>
      </c>
      <c r="AV275" s="14" t="n">
        <v>0.89</v>
      </c>
      <c r="AW275" s="14" t="inlineStr">
        <is>
          <t>2026-10-04T09:58:08.993953+08:00</t>
        </is>
      </c>
      <c r="AX275" s="14" t="inlineStr">
        <is>
          <t>Titan007 Next</t>
        </is>
      </c>
      <c r="AY275" s="14" t="inlineStr">
        <is>
          <t>V4 Shadow Only；real_money=false；新增冻结记录</t>
        </is>
      </c>
    </row>
    <row r="276" ht="22" customHeight="1" s="39">
      <c r="A276" s="14" t="inlineStr">
        <is>
          <t>2026-10-04</t>
        </is>
      </c>
      <c r="B276" s="14" t="inlineStr">
        <is>
          <t>2026-10-05 04:00:00</t>
        </is>
      </c>
      <c r="C276" s="14" t="inlineStr">
        <is>
          <t>CLUB_LEAGUE</t>
        </is>
      </c>
      <c r="D276" s="14" t="inlineStr">
        <is>
          <t>联赛</t>
        </is>
      </c>
      <c r="E276" s="14" t="inlineStr">
        <is>
          <t>阿乙</t>
        </is>
      </c>
      <c r="F276" s="14" t="inlineStr">
        <is>
          <t>圣胡安圣马丁 vs 阿马格罗</t>
        </is>
      </c>
      <c r="G276" s="26" t="n">
        <v>0.8100000000000001</v>
      </c>
      <c r="H276" s="26" t="n">
        <v>-0.75</v>
      </c>
      <c r="I276" s="26" t="n">
        <v>0.95</v>
      </c>
      <c r="J276" s="26" t="inlineStr">
        <is>
          <t>0.81/-0.75/0.95</t>
        </is>
      </c>
      <c r="K276" s="14" t="inlineStr">
        <is>
          <t>V4-B｜EV 0.23053024262880134</t>
        </is>
      </c>
      <c r="L276" s="14" t="inlineStr">
        <is>
          <t>圣胡安圣马丁</t>
        </is>
      </c>
      <c r="M276" s="47" t="n">
        <v>0.6094469290453739</v>
      </c>
      <c r="N276" s="14" t="inlineStr">
        <is>
          <t>V4纸面入选-B</t>
        </is>
      </c>
      <c r="O276" s="14" t="inlineStr">
        <is>
          <t>1-2</t>
        </is>
      </c>
      <c r="P276" s="14" t="inlineStr">
        <is>
          <t>已结算</t>
        </is>
      </c>
      <c r="Q276" s="14" t="inlineStr">
        <is>
          <t>黑</t>
        </is>
      </c>
      <c r="R276" s="48" t="n">
        <v>0.8100000000000001</v>
      </c>
      <c r="S276" s="48" t="n">
        <v>0.405</v>
      </c>
      <c r="T276" s="14" t="inlineStr">
        <is>
          <t>D:\codex\v3_legacy\outputs\football_odds_trader\raw\titan007\20261004\20261004_135431_titan007_odds_snapshot.csv</t>
        </is>
      </c>
      <c r="U276" s="14">
        <f>IF(Q276="","",IF(Q276="待结算","待结算",IF(Q276="红","黑",IF(Q276="半红","半黑",IF(Q276="走","走",IF(Q276="半黑","半红","红"))))))</f>
        <v/>
      </c>
      <c r="V276" s="48">
        <f>IF(OR(U276="",U276="待结算"),"",IF(L276=LEFT(F276,FIND(" vs ",F276)-1),I276,G276))</f>
        <v/>
      </c>
      <c r="W276" s="48">
        <f>IF(OR(U276="",U276="待结算"),"",IF(U276="红",V276,IF(U276="半红",V276*0.5,IF(U276="走",0,IF(U276="半黑",-0.5,-1)))))</f>
        <v/>
      </c>
      <c r="X276" s="14" t="inlineStr">
        <is>
          <t>2916729</t>
        </is>
      </c>
      <c r="Y276" s="14" t="inlineStr">
        <is>
          <t>V4</t>
        </is>
      </c>
      <c r="Z276" s="14" t="inlineStr">
        <is>
          <t>prior-2026-10-04-v1</t>
        </is>
      </c>
      <c r="AA276" s="14" t="inlineStr">
        <is>
          <t>B</t>
        </is>
      </c>
      <c r="AB276" s="14" t="n">
        <v>0.4820156279886995</v>
      </c>
      <c r="AC276" s="14" t="n">
        <v>0.2548626021133488</v>
      </c>
      <c r="AD276" s="14" t="n">
        <v>0</v>
      </c>
      <c r="AE276" s="14" t="n">
        <v>0</v>
      </c>
      <c r="AF276" s="14" t="n">
        <v>0.2631217698979516</v>
      </c>
      <c r="AG276" s="14" t="n">
        <v>0.2305302426288013</v>
      </c>
      <c r="AH276" s="14" t="n"/>
      <c r="AI276" s="14" t="n"/>
      <c r="AJ276" s="14" t="n">
        <v>0.2305302426288013</v>
      </c>
      <c r="AK276" s="14" t="n"/>
      <c r="AL276" s="14" t="n"/>
      <c r="AM276" s="14" t="n"/>
      <c r="AN276" s="14" t="inlineStr">
        <is>
          <t>EVALUATED</t>
        </is>
      </c>
      <c r="AO276" s="14" t="inlineStr">
        <is>
          <t>GIVING_VALIDATED_EDGE;BUCKET_PRIOR_ONLY;INTENT_INTERPRETATION_ONLY;FFL_OPTIONAL;EXPERT_MARKET</t>
        </is>
      </c>
      <c r="AP276" s="14" t="inlineStr">
        <is>
          <t>3cd988a55a3ed0cc74d0</t>
        </is>
      </c>
      <c r="AQ276" s="14" t="n">
        <v>-0.75</v>
      </c>
      <c r="AR276" s="14" t="n">
        <v>0.8100000000000001</v>
      </c>
      <c r="AS276" s="14" t="n">
        <v>-0.75</v>
      </c>
      <c r="AT276" s="14" t="n">
        <v>0.75</v>
      </c>
      <c r="AU276" s="14" t="n">
        <v>0.8100000000000001</v>
      </c>
      <c r="AV276" s="14" t="n">
        <v>0.95</v>
      </c>
      <c r="AW276" s="14" t="inlineStr">
        <is>
          <t>2026-10-04T09:58:08.993953+08:00</t>
        </is>
      </c>
      <c r="AX276" s="14" t="inlineStr">
        <is>
          <t>Titan007 Next</t>
        </is>
      </c>
      <c r="AY276" s="14" t="inlineStr">
        <is>
          <t>V4 Shadow Only；real_money=false；新增冻结记录</t>
        </is>
      </c>
    </row>
    <row r="277" ht="22" customHeight="1" s="39">
      <c r="A277" s="14" t="inlineStr">
        <is>
          <t>2026-10-04</t>
        </is>
      </c>
      <c r="B277" s="14" t="inlineStr">
        <is>
          <t>2026-10-05 04:00:00</t>
        </is>
      </c>
      <c r="C277" s="14" t="inlineStr">
        <is>
          <t>UNKNOWN</t>
        </is>
      </c>
      <c r="D277" s="14" t="inlineStr">
        <is>
          <t>联赛</t>
        </is>
      </c>
      <c r="E277" s="14" t="inlineStr">
        <is>
          <t>美女职</t>
        </is>
      </c>
      <c r="F277" s="14" t="inlineStr">
        <is>
          <t>芝加哥红星女足 vs 丹佛峰会女足</t>
        </is>
      </c>
      <c r="G277" s="26" t="n">
        <v>0.95</v>
      </c>
      <c r="H277" s="26" t="n">
        <v>1.25</v>
      </c>
      <c r="I277" s="26" t="n">
        <v>0.75</v>
      </c>
      <c r="J277" s="26" t="inlineStr">
        <is>
          <t>0.95/1.25/0.75</t>
        </is>
      </c>
      <c r="K277" s="14" t="inlineStr">
        <is>
          <t>V4-C｜EV 0.9084539288145622</t>
        </is>
      </c>
      <c r="L277" s="14" t="inlineStr">
        <is>
          <t>芝加哥红星女足</t>
        </is>
      </c>
      <c r="M277" s="47" t="n">
        <v>0.9668138013480776</v>
      </c>
      <c r="N277" s="14" t="inlineStr">
        <is>
          <t>V4纸面入选-C</t>
        </is>
      </c>
      <c r="O277" s="14" t="inlineStr">
        <is>
          <t>0-3</t>
        </is>
      </c>
      <c r="P277" s="14" t="inlineStr">
        <is>
          <t>已结算</t>
        </is>
      </c>
      <c r="Q277" s="14" t="inlineStr">
        <is>
          <t>黑</t>
        </is>
      </c>
      <c r="R277" s="48" t="n">
        <v>0.95</v>
      </c>
      <c r="S277" s="48" t="n">
        <v>0.475</v>
      </c>
      <c r="T277" s="14" t="inlineStr">
        <is>
          <t>D:\codex\v3_legacy\outputs\football_odds_trader\raw\titan007\20261004\20261004_135431_titan007_odds_snapshot.csv</t>
        </is>
      </c>
      <c r="U277" s="14">
        <f>IF(Q277="","",IF(Q277="待结算","待结算",IF(Q277="红","黑",IF(Q277="半红","半黑",IF(Q277="走","走",IF(Q277="半黑","半红","红"))))))</f>
        <v/>
      </c>
      <c r="V277" s="48">
        <f>IF(OR(U277="",U277="待结算"),"",IF(L277=LEFT(F277,FIND(" vs ",F277)-1),I277,G277))</f>
        <v/>
      </c>
      <c r="W277" s="48">
        <f>IF(OR(U277="",U277="待结算"),"",IF(U277="红",V277,IF(U277="半红",V277*0.5,IF(U277="走",0,IF(U277="半黑",-0.5,-1)))))</f>
        <v/>
      </c>
      <c r="X277" s="14" t="inlineStr">
        <is>
          <t>2957071</t>
        </is>
      </c>
      <c r="Y277" s="14" t="inlineStr">
        <is>
          <t>V4</t>
        </is>
      </c>
      <c r="Z277" s="14" t="inlineStr">
        <is>
          <t>prior-2026-10-04-v1</t>
        </is>
      </c>
      <c r="AA277" s="14" t="inlineStr">
        <is>
          <t>C</t>
        </is>
      </c>
      <c r="AB277" s="14" t="n">
        <v>0.9436467851622667</v>
      </c>
      <c r="AC277" s="14" t="n">
        <v>0.04633403237162179</v>
      </c>
      <c r="AD277" s="14" t="n">
        <v>0</v>
      </c>
      <c r="AE277" s="14" t="n">
        <v>0</v>
      </c>
      <c r="AF277" s="14" t="n">
        <v>0.01001918246611158</v>
      </c>
      <c r="AG277" s="14" t="n">
        <v>0.9084539288145622</v>
      </c>
      <c r="AH277" s="14" t="n"/>
      <c r="AI277" s="14" t="n"/>
      <c r="AJ277" s="14" t="n">
        <v>0.9084539288145622</v>
      </c>
      <c r="AK277" s="14" t="n"/>
      <c r="AL277" s="14" t="n"/>
      <c r="AM277" s="14" t="n"/>
      <c r="AN277" s="14" t="inlineStr">
        <is>
          <t>EVALUATED</t>
        </is>
      </c>
      <c r="AO277" s="14" t="inlineStr">
        <is>
          <t>RECEIVING_VALIDATED_EDGE;BUCKET_PRIOR_ONLY;INTENT_INTERPRETATION_ONLY;FFL_OPTIONAL;EXPERT_MARKET</t>
        </is>
      </c>
      <c r="AP277" s="14" t="inlineStr">
        <is>
          <t>69bad59306cccac83c30</t>
        </is>
      </c>
      <c r="AQ277" s="14" t="n">
        <v>1.25</v>
      </c>
      <c r="AR277" s="14" t="n">
        <v>0.95</v>
      </c>
      <c r="AS277" s="14" t="n">
        <v>-1.25</v>
      </c>
      <c r="AT277" s="14" t="n">
        <v>1.25</v>
      </c>
      <c r="AU277" s="14" t="n">
        <v>0.75</v>
      </c>
      <c r="AV277" s="14" t="n">
        <v>0.95</v>
      </c>
      <c r="AW277" s="14" t="inlineStr">
        <is>
          <t>2026-10-04T09:58:08.993953+08:00</t>
        </is>
      </c>
      <c r="AX277" s="14" t="inlineStr">
        <is>
          <t>Titan007 Next</t>
        </is>
      </c>
      <c r="AY277" s="14" t="inlineStr">
        <is>
          <t>V4 Shadow Only；real_money=false；新增冻结记录</t>
        </is>
      </c>
    </row>
    <row r="278" ht="22" customHeight="1" s="39">
      <c r="A278" s="14" t="inlineStr">
        <is>
          <t>2026-10-04</t>
        </is>
      </c>
      <c r="B278" s="14" t="inlineStr">
        <is>
          <t>2026-10-05 04:00:00</t>
        </is>
      </c>
      <c r="C278" s="14" t="inlineStr">
        <is>
          <t>CLUB_LEAGUE</t>
        </is>
      </c>
      <c r="D278" s="14" t="inlineStr">
        <is>
          <t>联赛</t>
        </is>
      </c>
      <c r="E278" s="14" t="inlineStr">
        <is>
          <t>智利丙</t>
        </is>
      </c>
      <c r="F278" s="14" t="inlineStr">
        <is>
          <t>维拉斯克斯 vs AC科林纳</t>
        </is>
      </c>
      <c r="G278" s="26" t="n">
        <v>0.99</v>
      </c>
      <c r="H278" s="26" t="n">
        <v>-0.25</v>
      </c>
      <c r="I278" s="26" t="n">
        <v>0.71</v>
      </c>
      <c r="J278" s="26" t="inlineStr">
        <is>
          <t>0.99/-0.25/0.71</t>
        </is>
      </c>
      <c r="K278" s="14" t="inlineStr">
        <is>
          <t>V4-C｜EV 0.05866406079426262</t>
        </is>
      </c>
      <c r="L278" s="14" t="inlineStr">
        <is>
          <t>维拉斯克斯</t>
        </is>
      </c>
      <c r="M278" s="47" t="n">
        <v>0.4672407707186808</v>
      </c>
      <c r="N278" s="14" t="inlineStr">
        <is>
          <t>V4纸面入选-C</t>
        </is>
      </c>
      <c r="O278" s="14" t="inlineStr">
        <is>
          <t>2-3</t>
        </is>
      </c>
      <c r="P278" s="14" t="inlineStr">
        <is>
          <t>已结算</t>
        </is>
      </c>
      <c r="Q278" s="14" t="inlineStr">
        <is>
          <t>黑</t>
        </is>
      </c>
      <c r="R278" s="48" t="n">
        <v>0.99</v>
      </c>
      <c r="S278" s="48" t="n">
        <v>0</v>
      </c>
      <c r="T278" s="14" t="inlineStr">
        <is>
          <t>D:\codex\v3_legacy\outputs\football_odds_trader\raw\titan007\20261004\20261004_135431_titan007_odds_snapshot.csv</t>
        </is>
      </c>
      <c r="U278" s="14">
        <f>IF(Q278="","",IF(Q278="待结算","待结算",IF(Q278="红","黑",IF(Q278="半红","半黑",IF(Q278="走","走",IF(Q278="半黑","半红","红"))))))</f>
        <v/>
      </c>
      <c r="V278" s="48">
        <f>IF(OR(U278="",U278="待结算"),"",IF(L278=LEFT(F278,FIND(" vs ",F278)-1),I278,G278))</f>
        <v/>
      </c>
      <c r="W278" s="48">
        <f>IF(OR(U278="",U278="待结算"),"",IF(U278="红",V278,IF(U278="半红",V278*0.5,IF(U278="走",0,IF(U278="半黑",-0.5,-1)))))</f>
        <v/>
      </c>
      <c r="X278" s="14" t="inlineStr">
        <is>
          <t>3096315</t>
        </is>
      </c>
      <c r="Y278" s="14" t="inlineStr">
        <is>
          <t>V4</t>
        </is>
      </c>
      <c r="Z278" s="14" t="inlineStr">
        <is>
          <t>prior-2026-10-04-v1</t>
        </is>
      </c>
      <c r="AA278" s="14" t="inlineStr">
        <is>
          <t>C</t>
        </is>
      </c>
      <c r="AB278" s="14" t="n">
        <v>0.4672407707186808</v>
      </c>
      <c r="AC278" s="14" t="n">
        <v>0</v>
      </c>
      <c r="AD278" s="14" t="n">
        <v>0</v>
      </c>
      <c r="AE278" s="14" t="n">
        <v>0.2577098541281757</v>
      </c>
      <c r="AF278" s="14" t="n">
        <v>0.2750493751531435</v>
      </c>
      <c r="AG278" s="14" t="n">
        <v>0.05866406079426262</v>
      </c>
      <c r="AH278" s="14" t="n"/>
      <c r="AI278" s="14" t="n"/>
      <c r="AJ278" s="14" t="n">
        <v>0.05866406079426262</v>
      </c>
      <c r="AK278" s="14" t="n"/>
      <c r="AL278" s="14" t="n"/>
      <c r="AM278" s="14" t="n"/>
      <c r="AN278" s="14" t="inlineStr">
        <is>
          <t>EVALUATED</t>
        </is>
      </c>
      <c r="AO278" s="14" t="inlineStr">
        <is>
          <t>GIVING_VALIDATED_EDGE;BUCKET_PRIOR_ONLY;INTENT_INTERPRETATION_ONLY;FFL_OPTIONAL;EXPERT_MARKET</t>
        </is>
      </c>
      <c r="AP278" s="14" t="inlineStr">
        <is>
          <t>3619e899c245ba7cf5ff</t>
        </is>
      </c>
      <c r="AQ278" s="14" t="n">
        <v>-0.25</v>
      </c>
      <c r="AR278" s="14" t="n">
        <v>0.99</v>
      </c>
      <c r="AS278" s="14" t="n">
        <v>-0.25</v>
      </c>
      <c r="AT278" s="14" t="n">
        <v>0.25</v>
      </c>
      <c r="AU278" s="14" t="n">
        <v>0.99</v>
      </c>
      <c r="AV278" s="14" t="n">
        <v>0.71</v>
      </c>
      <c r="AW278" s="14" t="inlineStr">
        <is>
          <t>2026-10-04T09:58:08.993953+08:00</t>
        </is>
      </c>
      <c r="AX278" s="14" t="inlineStr">
        <is>
          <t>Titan007 Next</t>
        </is>
      </c>
      <c r="AY278" s="14" t="inlineStr">
        <is>
          <t>V4 Shadow Only；real_money=false；新增冻结记录</t>
        </is>
      </c>
    </row>
    <row r="279" ht="22" customHeight="1" s="39">
      <c r="A279" s="14" t="inlineStr">
        <is>
          <t>2026-10-04</t>
        </is>
      </c>
      <c r="B279" s="14" t="inlineStr">
        <is>
          <t>2026-10-05 04:00:00</t>
        </is>
      </c>
      <c r="C279" s="14" t="inlineStr">
        <is>
          <t>NATIONAL_OFFICIAL</t>
        </is>
      </c>
      <c r="D279" s="14" t="inlineStr">
        <is>
          <t>联赛</t>
        </is>
      </c>
      <c r="E279" s="14" t="inlineStr">
        <is>
          <t>中北美国联</t>
        </is>
      </c>
      <c r="F279" s="14" t="inlineStr">
        <is>
          <t>巴哈马 vs 美属维尔京群岛</t>
        </is>
      </c>
      <c r="G279" s="26" t="n">
        <v>0.8</v>
      </c>
      <c r="H279" s="26" t="n">
        <v>1.25</v>
      </c>
      <c r="I279" s="26" t="n">
        <v>0.9</v>
      </c>
      <c r="J279" s="26" t="inlineStr">
        <is>
          <t>0.8/1.25/0.9</t>
        </is>
      </c>
      <c r="K279" s="14" t="inlineStr">
        <is>
          <t>V4-B｜EV 0.7977494602608253</t>
        </is>
      </c>
      <c r="L279" s="14" t="inlineStr">
        <is>
          <t>巴哈马</t>
        </is>
      </c>
      <c r="M279" s="47" t="n">
        <v>0.9974231594673278</v>
      </c>
      <c r="N279" s="14" t="inlineStr">
        <is>
          <t>V4纸面入选-B</t>
        </is>
      </c>
      <c r="O279" s="14" t="inlineStr">
        <is>
          <t>2-3</t>
        </is>
      </c>
      <c r="P279" s="14" t="inlineStr">
        <is>
          <t>已结算</t>
        </is>
      </c>
      <c r="Q279" s="14" t="inlineStr">
        <is>
          <t>半红</t>
        </is>
      </c>
      <c r="R279" s="48" t="n">
        <v>0.8</v>
      </c>
      <c r="S279" s="48" t="n">
        <v>0.4</v>
      </c>
      <c r="T279" s="14" t="inlineStr">
        <is>
          <t>D:\codex\v3_legacy\outputs\football_odds_trader\raw\titan007\20261004\20261004_135431_titan007_odds_snapshot.csv</t>
        </is>
      </c>
      <c r="U279" s="14">
        <f>IF(Q1279="","",IF(Q1279="待结算","待结算",IF(Q1279="红","黑",IF(Q1279="半红","半黑",IF(Q1279="走","走",IF(Q1279="半黑","半红","红"))))))</f>
        <v/>
      </c>
      <c r="V279" s="48">
        <f>IF(OR(U1279="",U1279="待结算"),"",IF(L1279=LEFT(F1279,FIND(" vs ",F1279)-1),I1279,G1279))</f>
        <v/>
      </c>
      <c r="W279" s="48">
        <f>IF(OR(U1279="",U1279="待结算"),"",IF(U1279="红",V1279,IF(U1279="半红",V1279*0.5,IF(U1279="走",0,IF(U1279="半黑",-0.5,-1)))))</f>
        <v/>
      </c>
      <c r="X279" s="14" t="inlineStr">
        <is>
          <t>3092512</t>
        </is>
      </c>
      <c r="Y279" s="14" t="inlineStr">
        <is>
          <t>V4</t>
        </is>
      </c>
      <c r="Z279" s="14" t="inlineStr">
        <is>
          <t>prior-2026-10-04-v1</t>
        </is>
      </c>
      <c r="AA279" s="14" t="inlineStr">
        <is>
          <t>B</t>
        </is>
      </c>
      <c r="AB279" s="14" t="n">
        <v>0.9950353862476928</v>
      </c>
      <c r="AC279" s="14" t="n">
        <v>0.004775546439270138</v>
      </c>
      <c r="AD279" s="14" t="n">
        <v>0</v>
      </c>
      <c r="AE279" s="14" t="n">
        <v>0</v>
      </c>
      <c r="AF279" s="14" t="n">
        <v>0.000189067313037109</v>
      </c>
      <c r="AG279" s="14" t="n">
        <v>0.7977494602608253</v>
      </c>
      <c r="AH279" s="14" t="n"/>
      <c r="AI279" s="14" t="n"/>
      <c r="AJ279" s="14" t="n">
        <v>0.7977494602608253</v>
      </c>
      <c r="AK279" s="14" t="n"/>
      <c r="AL279" s="14" t="n"/>
      <c r="AM279" s="14" t="n"/>
      <c r="AN279" s="14" t="inlineStr">
        <is>
          <t>EVALUATED</t>
        </is>
      </c>
      <c r="AO279" s="14" t="inlineStr">
        <is>
          <t>RECEIVING_VALIDATED_EDGE;BUCKET_PRIOR_ONLY;INTENT_INTERPRETATION_ONLY;FFL_OPTIONAL;EXPERT_MARKET</t>
        </is>
      </c>
      <c r="AP279" s="14" t="inlineStr">
        <is>
          <t>908170d19ed968b0f261</t>
        </is>
      </c>
      <c r="AQ279" s="14" t="n">
        <v>1.25</v>
      </c>
      <c r="AR279" s="14" t="n">
        <v>0.8</v>
      </c>
      <c r="AS279" s="14" t="n">
        <v>-1.25</v>
      </c>
      <c r="AT279" s="14" t="n">
        <v>1.25</v>
      </c>
      <c r="AU279" s="14" t="n">
        <v>0.9</v>
      </c>
      <c r="AV279" s="14" t="n">
        <v>0.8</v>
      </c>
      <c r="AW279" s="14" t="inlineStr">
        <is>
          <t>2026-10-04T09:58:08.993953+08:00</t>
        </is>
      </c>
      <c r="AX279" s="14" t="inlineStr">
        <is>
          <t>Titan007 Next</t>
        </is>
      </c>
      <c r="AY279" s="14" t="inlineStr">
        <is>
          <t>V4 Shadow Only；real_money=false；新增冻结记录</t>
        </is>
      </c>
    </row>
    <row r="280" ht="22" customHeight="1" s="39">
      <c r="A280" s="14" t="inlineStr">
        <is>
          <t>2026-10-04</t>
        </is>
      </c>
      <c r="B280" s="14" t="inlineStr">
        <is>
          <t>2026-10-05 05:00:00</t>
        </is>
      </c>
      <c r="C280" s="14" t="inlineStr">
        <is>
          <t>CLUB_LEAGUE</t>
        </is>
      </c>
      <c r="D280" s="14" t="inlineStr">
        <is>
          <t>联赛</t>
        </is>
      </c>
      <c r="E280" s="14" t="inlineStr">
        <is>
          <t>萨尔超春</t>
        </is>
      </c>
      <c r="F280" s="14" t="inlineStr">
        <is>
          <t>萨卡特科卢卡 vs 利梅诺</t>
        </is>
      </c>
      <c r="G280" s="26" t="n">
        <v>0.73</v>
      </c>
      <c r="H280" s="26" t="n">
        <v>0.25</v>
      </c>
      <c r="I280" s="26" t="n">
        <v>1.03</v>
      </c>
      <c r="J280" s="26" t="inlineStr">
        <is>
          <t>0.73/0.25/1.03</t>
        </is>
      </c>
      <c r="K280" s="14" t="inlineStr">
        <is>
          <t>V4-B｜EV 0.12879812147559783</t>
        </is>
      </c>
      <c r="L280" s="14" t="inlineStr">
        <is>
          <t>萨卡特科卢卡</t>
        </is>
      </c>
      <c r="M280" s="47" t="n">
        <v>0.5771899967075819</v>
      </c>
      <c r="N280" s="14" t="inlineStr">
        <is>
          <t>V4纸面入选-B</t>
        </is>
      </c>
      <c r="O280" s="14" t="inlineStr">
        <is>
          <t>2-1</t>
        </is>
      </c>
      <c r="P280" s="14" t="inlineStr">
        <is>
          <t>已结算</t>
        </is>
      </c>
      <c r="Q280" s="14" t="inlineStr">
        <is>
          <t>红</t>
        </is>
      </c>
      <c r="R280" s="48" t="n">
        <v>0.73</v>
      </c>
      <c r="S280" s="48" t="n">
        <v>0</v>
      </c>
      <c r="T280" s="14" t="inlineStr">
        <is>
          <t>D:\codex\v3_legacy\outputs\football_odds_trader\raw\titan007\20261004\20261004_135431_titan007_odds_snapshot.csv</t>
        </is>
      </c>
      <c r="U280" s="14">
        <f>IF(Q280="","",IF(Q280="待结算","待结算",IF(Q280="红","黑",IF(Q280="半红","半黑",IF(Q280="走","走",IF(Q280="半黑","半红","红"))))))</f>
        <v/>
      </c>
      <c r="V280" s="48">
        <f>IF(OR(U280="",U280="待结算"),"",IF(L280=LEFT(F280,FIND(" vs ",F280)-1),I280,G280))</f>
        <v/>
      </c>
      <c r="W280" s="48">
        <f>IF(OR(U280="",U280="待结算"),"",IF(U280="红",V280,IF(U280="半红",V280*0.5,IF(U280="走",0,IF(U280="半黑",-0.5,-1)))))</f>
        <v/>
      </c>
      <c r="X280" s="14" t="inlineStr">
        <is>
          <t>3041934</t>
        </is>
      </c>
      <c r="Y280" s="14" t="inlineStr">
        <is>
          <t>V4</t>
        </is>
      </c>
      <c r="Z280" s="14" t="inlineStr">
        <is>
          <t>prior-2026-10-04-v1</t>
        </is>
      </c>
      <c r="AA280" s="14" t="inlineStr">
        <is>
          <t>B</t>
        </is>
      </c>
      <c r="AB280" s="14" t="n">
        <v>0.4469305695361005</v>
      </c>
      <c r="AC280" s="14" t="n">
        <v>0.2605188543429627</v>
      </c>
      <c r="AD280" s="14" t="n">
        <v>0</v>
      </c>
      <c r="AE280" s="14" t="n">
        <v>0</v>
      </c>
      <c r="AF280" s="14" t="n">
        <v>0.2925505761209369</v>
      </c>
      <c r="AG280" s="14" t="n">
        <v>0.1287981214755978</v>
      </c>
      <c r="AH280" s="14" t="n"/>
      <c r="AI280" s="14" t="n"/>
      <c r="AJ280" s="14" t="n">
        <v>0.1287981214755978</v>
      </c>
      <c r="AK280" s="14" t="n"/>
      <c r="AL280" s="14" t="n"/>
      <c r="AM280" s="14" t="n"/>
      <c r="AN280" s="14" t="inlineStr">
        <is>
          <t>EVALUATED</t>
        </is>
      </c>
      <c r="AO280" s="14" t="inlineStr">
        <is>
          <t>RECEIVING_VALIDATED_EDGE;BUCKET_PRIOR_ONLY;INTENT_INTERPRETATION_ONLY;FFL_OPTIONAL;EXPERT_MARKET</t>
        </is>
      </c>
      <c r="AP280" s="14" t="inlineStr">
        <is>
          <t>5cd211aa278b90be6f3b</t>
        </is>
      </c>
      <c r="AQ280" s="14" t="n">
        <v>0.25</v>
      </c>
      <c r="AR280" s="14" t="n">
        <v>0.73</v>
      </c>
      <c r="AS280" s="14" t="n">
        <v>-0.25</v>
      </c>
      <c r="AT280" s="14" t="n">
        <v>0.25</v>
      </c>
      <c r="AU280" s="14" t="n">
        <v>1.03</v>
      </c>
      <c r="AV280" s="14" t="n">
        <v>0.73</v>
      </c>
      <c r="AW280" s="14" t="inlineStr">
        <is>
          <t>2026-10-04T09:58:08.993953+08:00</t>
        </is>
      </c>
      <c r="AX280" s="14" t="inlineStr">
        <is>
          <t>Titan007 Next</t>
        </is>
      </c>
      <c r="AY280" s="14" t="inlineStr">
        <is>
          <t>V4 Shadow Only；real_money=false；新增冻结记录</t>
        </is>
      </c>
    </row>
    <row r="281" ht="22" customHeight="1" s="39">
      <c r="A281" s="14" t="inlineStr">
        <is>
          <t>2026-10-04</t>
        </is>
      </c>
      <c r="B281" s="14" t="inlineStr">
        <is>
          <t>2026-10-05 05:00:00</t>
        </is>
      </c>
      <c r="C281" s="14" t="inlineStr">
        <is>
          <t>CLUB_LEAGUE</t>
        </is>
      </c>
      <c r="D281" s="14" t="inlineStr">
        <is>
          <t>联赛</t>
        </is>
      </c>
      <c r="E281" s="14" t="inlineStr">
        <is>
          <t>阿乙</t>
        </is>
      </c>
      <c r="F281" s="14" t="inlineStr">
        <is>
          <t>戈多伊克鲁斯 vs 洛斯安第斯</t>
        </is>
      </c>
      <c r="G281" s="26" t="n">
        <v>0.87</v>
      </c>
      <c r="H281" s="26" t="n">
        <v>-0.75</v>
      </c>
      <c r="I281" s="26" t="n">
        <v>0.89</v>
      </c>
      <c r="J281" s="26" t="inlineStr">
        <is>
          <t>0.87/-0.75/0.89</t>
        </is>
      </c>
      <c r="K281" s="14" t="inlineStr">
        <is>
          <t>V4-B｜EV 0.20399149457395</t>
        </is>
      </c>
      <c r="L281" s="14" t="inlineStr">
        <is>
          <t>戈多伊克鲁斯</t>
        </is>
      </c>
      <c r="M281" s="47" t="n">
        <v>0.5746653741358451</v>
      </c>
      <c r="N281" s="14" t="inlineStr">
        <is>
          <t>V4纸面入选-B</t>
        </is>
      </c>
      <c r="O281" s="14" t="inlineStr">
        <is>
          <t>2-1</t>
        </is>
      </c>
      <c r="P281" s="14" t="inlineStr">
        <is>
          <t>已结算</t>
        </is>
      </c>
      <c r="Q281" s="14" t="inlineStr">
        <is>
          <t>半红</t>
        </is>
      </c>
      <c r="R281" s="48" t="n">
        <v>0.87</v>
      </c>
      <c r="S281" s="48" t="n">
        <v>0.435</v>
      </c>
      <c r="T281" s="14" t="inlineStr">
        <is>
          <t>D:\codex\v3_legacy\outputs\football_odds_trader\raw\titan007\20261004\20261004_135431_titan007_odds_snapshot.csv</t>
        </is>
      </c>
      <c r="U281" s="14">
        <f>IF(Q281="","",IF(Q281="待结算","待结算",IF(Q281="红","黑",IF(Q281="半红","半黑",IF(Q281="走","走",IF(Q281="半黑","半红","红"))))))</f>
        <v/>
      </c>
      <c r="V281" s="48">
        <f>IF(OR(U281="",U281="待结算"),"",IF(L281=LEFT(F281,FIND(" vs ",F281)-1),I281,G281))</f>
        <v/>
      </c>
      <c r="W281" s="48">
        <f>IF(OR(U281="",U281="待结算"),"",IF(U281="红",V281,IF(U281="半红",V281*0.5,IF(U281="走",0,IF(U281="半黑",-0.5,-1)))))</f>
        <v/>
      </c>
      <c r="X281" s="14" t="inlineStr">
        <is>
          <t>2916727</t>
        </is>
      </c>
      <c r="Y281" s="14" t="inlineStr">
        <is>
          <t>V4</t>
        </is>
      </c>
      <c r="Z281" s="14" t="inlineStr">
        <is>
          <t>prior-2026-10-04-v1</t>
        </is>
      </c>
      <c r="AA281" s="14" t="inlineStr">
        <is>
          <t>B</t>
        </is>
      </c>
      <c r="AB281" s="14" t="n">
        <v>0.4452981291959253</v>
      </c>
      <c r="AC281" s="14" t="n">
        <v>0.2587344898798395</v>
      </c>
      <c r="AD281" s="14" t="n">
        <v>0</v>
      </c>
      <c r="AE281" s="14" t="n">
        <v>0</v>
      </c>
      <c r="AF281" s="14" t="n">
        <v>0.2959673809242352</v>
      </c>
      <c r="AG281" s="14" t="n">
        <v>0.20399149457395</v>
      </c>
      <c r="AH281" s="14" t="n"/>
      <c r="AI281" s="14" t="n"/>
      <c r="AJ281" s="14" t="n">
        <v>0.20399149457395</v>
      </c>
      <c r="AK281" s="14" t="n"/>
      <c r="AL281" s="14" t="n"/>
      <c r="AM281" s="14" t="n"/>
      <c r="AN281" s="14" t="inlineStr">
        <is>
          <t>EVALUATED</t>
        </is>
      </c>
      <c r="AO281" s="14" t="inlineStr">
        <is>
          <t>GIVING_VALIDATED_EDGE;BUCKET_PRIOR_ONLY;INTENT_INTERPRETATION_ONLY;FFL_OPTIONAL;EXPERT_MARKET</t>
        </is>
      </c>
      <c r="AP281" s="14" t="inlineStr">
        <is>
          <t>9cb33b5a11e13170ef39</t>
        </is>
      </c>
      <c r="AQ281" s="14" t="n">
        <v>-0.75</v>
      </c>
      <c r="AR281" s="14" t="n">
        <v>0.87</v>
      </c>
      <c r="AS281" s="14" t="n">
        <v>-0.75</v>
      </c>
      <c r="AT281" s="14" t="n">
        <v>0.75</v>
      </c>
      <c r="AU281" s="14" t="n">
        <v>0.87</v>
      </c>
      <c r="AV281" s="14" t="n">
        <v>0.89</v>
      </c>
      <c r="AW281" s="14" t="inlineStr">
        <is>
          <t>2026-10-04T09:58:08.993953+08:00</t>
        </is>
      </c>
      <c r="AX281" s="14" t="inlineStr">
        <is>
          <t>Titan007 Next</t>
        </is>
      </c>
      <c r="AY281" s="14" t="inlineStr">
        <is>
          <t>V4 Shadow Only；real_money=false；新增冻结记录</t>
        </is>
      </c>
    </row>
    <row r="282" ht="22" customHeight="1" s="39">
      <c r="A282" s="14" t="inlineStr">
        <is>
          <t>2026-10-04</t>
        </is>
      </c>
      <c r="B282" s="14" t="inlineStr">
        <is>
          <t>2026-10-05 05:05:00</t>
        </is>
      </c>
      <c r="C282" s="14" t="inlineStr">
        <is>
          <t>CLUB_LEAGUE</t>
        </is>
      </c>
      <c r="D282" s="14" t="inlineStr">
        <is>
          <t>联赛</t>
        </is>
      </c>
      <c r="E282" s="14" t="inlineStr">
        <is>
          <t>哥伦甲秋</t>
        </is>
      </c>
      <c r="F282" s="14" t="inlineStr">
        <is>
          <t>侨卡巴 vs 佩雷拉</t>
        </is>
      </c>
      <c r="G282" s="26" t="n">
        <v>1.01</v>
      </c>
      <c r="H282" s="26" t="n">
        <v>-0.75</v>
      </c>
      <c r="I282" s="26" t="n">
        <v>0.87</v>
      </c>
      <c r="J282" s="26" t="inlineStr">
        <is>
          <t>1.01/-0.75/0.87</t>
        </is>
      </c>
      <c r="K282" s="14" t="inlineStr">
        <is>
          <t>V4-B｜EV 0.22162308202351372</t>
        </is>
      </c>
      <c r="L282" s="14" t="inlineStr">
        <is>
          <t>侨卡巴</t>
        </is>
      </c>
      <c r="M282" s="47" t="n">
        <v>0.5437107837807051</v>
      </c>
      <c r="N282" s="14" t="inlineStr">
        <is>
          <t>V4纸面入选-B</t>
        </is>
      </c>
      <c r="O282" s="14" t="inlineStr">
        <is>
          <t>4-0</t>
        </is>
      </c>
      <c r="P282" s="14" t="inlineStr">
        <is>
          <t>已结算</t>
        </is>
      </c>
      <c r="Q282" s="14" t="inlineStr">
        <is>
          <t>红</t>
        </is>
      </c>
      <c r="R282" s="48" t="n">
        <v>1.01</v>
      </c>
      <c r="S282" s="48" t="n">
        <v>0.505</v>
      </c>
      <c r="T282" s="14" t="inlineStr">
        <is>
          <t>D:\codex\v3_legacy\outputs\football_odds_trader\raw\titan007\20261004\20261004_135431_titan007_odds_snapshot.csv</t>
        </is>
      </c>
      <c r="U282" s="14">
        <f>IF(Q282="","",IF(Q282="待结算","待结算",IF(Q282="红","黑",IF(Q282="半红","半黑",IF(Q282="走","走",IF(Q282="半黑","半红","红"))))))</f>
        <v/>
      </c>
      <c r="V282" s="48">
        <f>IF(OR(U282="",U282="待结算"),"",IF(L282=LEFT(F282,FIND(" vs ",F282)-1),I282,G282))</f>
        <v/>
      </c>
      <c r="W282" s="48">
        <f>IF(OR(U282="",U282="待结算"),"",IF(U282="红",V282,IF(U282="半红",V282*0.5,IF(U282="走",0,IF(U282="半黑",-0.5,-1)))))</f>
        <v/>
      </c>
      <c r="X282" s="14" t="inlineStr">
        <is>
          <t>3011879</t>
        </is>
      </c>
      <c r="Y282" s="14" t="inlineStr">
        <is>
          <t>V4</t>
        </is>
      </c>
      <c r="Z282" s="14" t="inlineStr">
        <is>
          <t>prior-2026-10-04-v1</t>
        </is>
      </c>
      <c r="AA282" s="14" t="inlineStr">
        <is>
          <t>B</t>
        </is>
      </c>
      <c r="AB282" s="14" t="n">
        <v>0.4149463771564086</v>
      </c>
      <c r="AC282" s="14" t="n">
        <v>0.2575288132485929</v>
      </c>
      <c r="AD282" s="14" t="n">
        <v>0</v>
      </c>
      <c r="AE282" s="14" t="n">
        <v>0</v>
      </c>
      <c r="AF282" s="14" t="n">
        <v>0.3275248095949985</v>
      </c>
      <c r="AG282" s="14" t="n">
        <v>0.2216230820235137</v>
      </c>
      <c r="AH282" s="14" t="n"/>
      <c r="AI282" s="14" t="n"/>
      <c r="AJ282" s="14" t="n">
        <v>0.2216230820235137</v>
      </c>
      <c r="AK282" s="14" t="n"/>
      <c r="AL282" s="14" t="n"/>
      <c r="AM282" s="14" t="n"/>
      <c r="AN282" s="14" t="inlineStr">
        <is>
          <t>EVALUATED</t>
        </is>
      </c>
      <c r="AO282" s="14" t="inlineStr">
        <is>
          <t>GIVING_VALIDATED_EDGE;BUCKET_PRIOR_ONLY;INTENT_INTERPRETATION_ONLY;FFL_OPTIONAL;EXPERT_MARKET</t>
        </is>
      </c>
      <c r="AP282" s="14" t="inlineStr">
        <is>
          <t>e74d66423748ac0b7ee3</t>
        </is>
      </c>
      <c r="AQ282" s="14" t="n">
        <v>-0.75</v>
      </c>
      <c r="AR282" s="14" t="n">
        <v>1.01</v>
      </c>
      <c r="AS282" s="14" t="n">
        <v>-0.75</v>
      </c>
      <c r="AT282" s="14" t="n">
        <v>0.75</v>
      </c>
      <c r="AU282" s="14" t="n">
        <v>1.01</v>
      </c>
      <c r="AV282" s="14" t="n">
        <v>0.87</v>
      </c>
      <c r="AW282" s="14" t="inlineStr">
        <is>
          <t>2026-10-04T09:58:08.993953+08:00</t>
        </is>
      </c>
      <c r="AX282" s="14" t="inlineStr">
        <is>
          <t>Titan007 Next</t>
        </is>
      </c>
      <c r="AY282" s="14" t="inlineStr">
        <is>
          <t>V4 Shadow Only；real_money=false；新增冻结记录</t>
        </is>
      </c>
    </row>
    <row r="283" ht="22" customHeight="1" s="39">
      <c r="A283" s="14" t="inlineStr">
        <is>
          <t>2026-10-04</t>
        </is>
      </c>
      <c r="B283" s="14" t="inlineStr">
        <is>
          <t>2026-10-05 05:30:00</t>
        </is>
      </c>
      <c r="C283" s="14" t="inlineStr">
        <is>
          <t>CLUB_LEAGUE</t>
        </is>
      </c>
      <c r="D283" s="14" t="inlineStr">
        <is>
          <t>联赛</t>
        </is>
      </c>
      <c r="E283" s="14" t="inlineStr">
        <is>
          <t>阿乙</t>
        </is>
      </c>
      <c r="F283" s="14" t="inlineStr">
        <is>
          <t>图库曼圣马丁 vs 甘拿斯亚迪罗</t>
        </is>
      </c>
      <c r="G283" s="26" t="n">
        <v>0.92</v>
      </c>
      <c r="H283" s="26" t="n">
        <v>-0.5</v>
      </c>
      <c r="I283" s="26" t="n">
        <v>0.84</v>
      </c>
      <c r="J283" s="26" t="inlineStr">
        <is>
          <t>0.92/-0.5/0.84</t>
        </is>
      </c>
      <c r="K283" s="14" t="inlineStr">
        <is>
          <t>V4-B｜EV 0.14791352852751516</t>
        </is>
      </c>
      <c r="L283" s="14" t="inlineStr">
        <is>
          <t>图库曼圣马丁</t>
        </is>
      </c>
      <c r="M283" s="47" t="n">
        <v>0.5978716294414141</v>
      </c>
      <c r="N283" s="14" t="inlineStr">
        <is>
          <t>V4纸面入选-B</t>
        </is>
      </c>
      <c r="O283" s="14" t="inlineStr">
        <is>
          <t>1-0</t>
        </is>
      </c>
      <c r="P283" s="14" t="inlineStr">
        <is>
          <t>已结算</t>
        </is>
      </c>
      <c r="Q283" s="14" t="inlineStr">
        <is>
          <t>红</t>
        </is>
      </c>
      <c r="R283" s="48" t="n">
        <v>0.92</v>
      </c>
      <c r="S283" s="48" t="n">
        <v>0.46</v>
      </c>
      <c r="T283" s="14" t="inlineStr">
        <is>
          <t>D:\codex\v3_legacy\outputs\football_odds_trader\raw\titan007\20261004\20261004_135431_titan007_odds_snapshot.csv</t>
        </is>
      </c>
      <c r="U283" s="14">
        <f>IF(Q283="","",IF(Q283="待结算","待结算",IF(Q283="红","黑",IF(Q283="半红","半黑",IF(Q283="走","走",IF(Q283="半黑","半红","红"))))))</f>
        <v/>
      </c>
      <c r="V283" s="48">
        <f>IF(OR(U283="",U283="待结算"),"",IF(L283=LEFT(F283,FIND(" vs ",F283)-1),I283,G283))</f>
        <v/>
      </c>
      <c r="W283" s="48">
        <f>IF(OR(U283="",U283="待结算"),"",IF(U283="红",V283,IF(U283="半红",V283*0.5,IF(U283="走",0,IF(U283="半黑",-0.5,-1)))))</f>
        <v/>
      </c>
      <c r="X283" s="14" t="inlineStr">
        <is>
          <t>2916730</t>
        </is>
      </c>
      <c r="Y283" s="14" t="inlineStr">
        <is>
          <t>V4</t>
        </is>
      </c>
      <c r="Z283" s="14" t="inlineStr">
        <is>
          <t>prior-2026-10-04-v1</t>
        </is>
      </c>
      <c r="AA283" s="14" t="inlineStr">
        <is>
          <t>B</t>
        </is>
      </c>
      <c r="AB283" s="14" t="n">
        <v>0.5978716294414141</v>
      </c>
      <c r="AC283" s="14" t="n">
        <v>0</v>
      </c>
      <c r="AD283" s="14" t="n">
        <v>0</v>
      </c>
      <c r="AE283" s="14" t="n">
        <v>0</v>
      </c>
      <c r="AF283" s="14" t="n">
        <v>0.4021283705585859</v>
      </c>
      <c r="AG283" s="14" t="n">
        <v>0.1479135285275152</v>
      </c>
      <c r="AH283" s="14" t="n"/>
      <c r="AI283" s="14" t="n"/>
      <c r="AJ283" s="14" t="n">
        <v>0.1479135285275152</v>
      </c>
      <c r="AK283" s="14" t="n"/>
      <c r="AL283" s="14" t="n"/>
      <c r="AM283" s="14" t="n"/>
      <c r="AN283" s="14" t="inlineStr">
        <is>
          <t>EVALUATED</t>
        </is>
      </c>
      <c r="AO283" s="14" t="inlineStr">
        <is>
          <t>GIVING_VALIDATED_EDGE;BUCKET_PRIOR_ONLY;INTENT_INTERPRETATION_ONLY;FFL_OPTIONAL;EXPERT_MARKET</t>
        </is>
      </c>
      <c r="AP283" s="14" t="inlineStr">
        <is>
          <t>957973c754b6d8cf81e1</t>
        </is>
      </c>
      <c r="AQ283" s="14" t="n">
        <v>-0.5</v>
      </c>
      <c r="AR283" s="14" t="n">
        <v>0.92</v>
      </c>
      <c r="AS283" s="14" t="n">
        <v>-0.5</v>
      </c>
      <c r="AT283" s="14" t="n">
        <v>0.5</v>
      </c>
      <c r="AU283" s="14" t="n">
        <v>0.92</v>
      </c>
      <c r="AV283" s="14" t="n">
        <v>0.84</v>
      </c>
      <c r="AW283" s="14" t="inlineStr">
        <is>
          <t>2026-10-04T09:58:08.993953+08:00</t>
        </is>
      </c>
      <c r="AX283" s="14" t="inlineStr">
        <is>
          <t>Titan007 Next</t>
        </is>
      </c>
      <c r="AY283" s="14" t="inlineStr">
        <is>
          <t>V4 Shadow Only；real_money=false；新增冻结记录</t>
        </is>
      </c>
    </row>
    <row r="284" ht="22" customHeight="1" s="39">
      <c r="A284" s="14" t="inlineStr">
        <is>
          <t>2026-10-04</t>
        </is>
      </c>
      <c r="B284" s="14" t="inlineStr">
        <is>
          <t>2026-10-05 06:00:00</t>
        </is>
      </c>
      <c r="C284" s="14" t="inlineStr">
        <is>
          <t>CLUB_LEAGUE</t>
        </is>
      </c>
      <c r="D284" s="14" t="inlineStr">
        <is>
          <t>联赛</t>
        </is>
      </c>
      <c r="E284" s="14" t="inlineStr">
        <is>
          <t>美冠联</t>
        </is>
      </c>
      <c r="F284" s="14" t="inlineStr">
        <is>
          <t>新墨西哥联 vs 凤凰重生</t>
        </is>
      </c>
      <c r="G284" s="26" t="n">
        <v>1.02</v>
      </c>
      <c r="H284" s="26" t="n">
        <v>-0.25</v>
      </c>
      <c r="I284" s="26" t="n">
        <v>0.8</v>
      </c>
      <c r="J284" s="26" t="inlineStr">
        <is>
          <t>1.02/-0.25/0.8</t>
        </is>
      </c>
      <c r="K284" s="14" t="inlineStr">
        <is>
          <t>V4-B｜EV 0.07405930285552842</t>
        </is>
      </c>
      <c r="L284" s="14" t="inlineStr">
        <is>
          <t>新墨西哥联</t>
        </is>
      </c>
      <c r="M284" s="47" t="n">
        <v>0.4683252310354681</v>
      </c>
      <c r="N284" s="14" t="inlineStr">
        <is>
          <t>V4纸面入选-B</t>
        </is>
      </c>
      <c r="O284" s="14" t="inlineStr">
        <is>
          <t>2-1</t>
        </is>
      </c>
      <c r="P284" s="14" t="inlineStr">
        <is>
          <t>已结算</t>
        </is>
      </c>
      <c r="Q284" s="14" t="inlineStr">
        <is>
          <t>红</t>
        </is>
      </c>
      <c r="R284" s="48" t="n">
        <v>1.02</v>
      </c>
      <c r="S284" s="48" t="n">
        <v>0</v>
      </c>
      <c r="T284" s="14" t="inlineStr">
        <is>
          <t>D:\codex\v3_legacy\outputs\football_odds_trader\raw\titan007\20261004\20261004_135431_titan007_odds_snapshot.csv</t>
        </is>
      </c>
      <c r="U284" s="14">
        <f>IF(Q284="","",IF(Q284="待结算","待结算",IF(Q284="红","黑",IF(Q284="半红","半黑",IF(Q284="走","走",IF(Q284="半黑","半红","红"))))))</f>
        <v/>
      </c>
      <c r="V284" s="48">
        <f>IF(OR(U284="",U284="待结算"),"",IF(L284=LEFT(F284,FIND(" vs ",F284)-1),I284,G284))</f>
        <v/>
      </c>
      <c r="W284" s="48">
        <f>IF(OR(U284="",U284="待结算"),"",IF(U284="红",V284,IF(U284="半红",V284*0.5,IF(U284="走",0,IF(U284="半黑",-0.5,-1)))))</f>
        <v/>
      </c>
      <c r="X284" s="14" t="inlineStr">
        <is>
          <t>2942656</t>
        </is>
      </c>
      <c r="Y284" s="14" t="inlineStr">
        <is>
          <t>V4</t>
        </is>
      </c>
      <c r="Z284" s="14" t="inlineStr">
        <is>
          <t>prior-2026-10-04-v1</t>
        </is>
      </c>
      <c r="AA284" s="14" t="inlineStr">
        <is>
          <t>B</t>
        </is>
      </c>
      <c r="AB284" s="14" t="n">
        <v>0.4683252310354681</v>
      </c>
      <c r="AC284" s="14" t="n">
        <v>0</v>
      </c>
      <c r="AD284" s="14" t="n">
        <v>0</v>
      </c>
      <c r="AE284" s="14" t="n">
        <v>0.2560846723277658</v>
      </c>
      <c r="AF284" s="14" t="n">
        <v>0.2755900966367661</v>
      </c>
      <c r="AG284" s="14" t="n">
        <v>0.07405930285552842</v>
      </c>
      <c r="AH284" s="14" t="n"/>
      <c r="AI284" s="14" t="n"/>
      <c r="AJ284" s="14" t="n">
        <v>0.07405930285552842</v>
      </c>
      <c r="AK284" s="14" t="n"/>
      <c r="AL284" s="14" t="n"/>
      <c r="AM284" s="14" t="n"/>
      <c r="AN284" s="14" t="inlineStr">
        <is>
          <t>EVALUATED</t>
        </is>
      </c>
      <c r="AO284" s="14" t="inlineStr">
        <is>
          <t>GIVING_VALIDATED_EDGE;BUCKET_PRIOR_ONLY;INTENT_INTERPRETATION_ONLY;FFL_OPTIONAL;EXPERT_MARKET</t>
        </is>
      </c>
      <c r="AP284" s="14" t="inlineStr">
        <is>
          <t>8f339057b71b929212eb</t>
        </is>
      </c>
      <c r="AQ284" s="14" t="n">
        <v>-0.25</v>
      </c>
      <c r="AR284" s="14" t="n">
        <v>1.02</v>
      </c>
      <c r="AS284" s="14" t="n">
        <v>-0.25</v>
      </c>
      <c r="AT284" s="14" t="n">
        <v>0.25</v>
      </c>
      <c r="AU284" s="14" t="n">
        <v>1.02</v>
      </c>
      <c r="AV284" s="14" t="n">
        <v>0.8</v>
      </c>
      <c r="AW284" s="14" t="inlineStr">
        <is>
          <t>2026-10-04T09:58:08.993953+08:00</t>
        </is>
      </c>
      <c r="AX284" s="14" t="inlineStr">
        <is>
          <t>Titan007 Next</t>
        </is>
      </c>
      <c r="AY284" s="14" t="inlineStr">
        <is>
          <t>V4 Shadow Only；real_money=false；新增冻结记录</t>
        </is>
      </c>
    </row>
    <row r="285" ht="22" customHeight="1" s="39">
      <c r="A285" s="14" t="inlineStr">
        <is>
          <t>2026-10-04</t>
        </is>
      </c>
      <c r="B285" s="14" t="inlineStr">
        <is>
          <t>2026-10-05 06:00:00</t>
        </is>
      </c>
      <c r="C285" s="14" t="inlineStr">
        <is>
          <t>NATIONAL_OFFICIAL</t>
        </is>
      </c>
      <c r="D285" s="14" t="inlineStr">
        <is>
          <t>联赛</t>
        </is>
      </c>
      <c r="E285" s="14" t="inlineStr">
        <is>
          <t>中北美国联</t>
        </is>
      </c>
      <c r="F285" s="14" t="inlineStr">
        <is>
          <t>特立尼达和多巴哥 vs 库拉索</t>
        </is>
      </c>
      <c r="G285" s="26" t="n">
        <v>0.8</v>
      </c>
      <c r="H285" s="26" t="n">
        <v>1.25</v>
      </c>
      <c r="I285" s="26" t="n">
        <v>0.96</v>
      </c>
      <c r="J285" s="26" t="inlineStr">
        <is>
          <t>0.8/1.25/0.96</t>
        </is>
      </c>
      <c r="K285" s="14" t="inlineStr">
        <is>
          <t>V4-B｜EV 0.7714727540007742</t>
        </is>
      </c>
      <c r="L285" s="14" t="inlineStr">
        <is>
          <t>特立尼达和多巴哥</t>
        </is>
      </c>
      <c r="M285" s="47" t="n">
        <v>0.973408153344429</v>
      </c>
      <c r="N285" s="14" t="inlineStr">
        <is>
          <t>V4纸面入选-B</t>
        </is>
      </c>
      <c r="O285" s="14" t="inlineStr">
        <is>
          <t>1-1</t>
        </is>
      </c>
      <c r="P285" s="14" t="inlineStr">
        <is>
          <t>已结算</t>
        </is>
      </c>
      <c r="Q285" s="14" t="inlineStr">
        <is>
          <t>红</t>
        </is>
      </c>
      <c r="R285" s="48" t="n">
        <v>0.8</v>
      </c>
      <c r="S285" s="48" t="n">
        <v>0.4</v>
      </c>
      <c r="T285" s="14" t="inlineStr">
        <is>
          <t>D:\codex\v3_legacy\outputs\football_odds_trader\raw\titan007\20261004\20261004_135431_titan007_odds_snapshot.csv</t>
        </is>
      </c>
      <c r="U285" s="14">
        <f>IF(Q285="","",IF(Q285="待结算","待结算",IF(Q285="红","黑",IF(Q285="半红","半黑",IF(Q285="走","走",IF(Q285="半黑","半红","红"))))))</f>
        <v/>
      </c>
      <c r="V285" s="48">
        <f>IF(OR(U285="",U285="待结算"),"",IF(L285=LEFT(F285,FIND(" vs ",F285)-1),I285,G285))</f>
        <v/>
      </c>
      <c r="W285" s="48">
        <f>IF(OR(U285="",U285="待结算"),"",IF(U285="红",V285,IF(U285="半红",V285*0.5,IF(U285="走",0,IF(U285="半黑",-0.5,-1)))))</f>
        <v/>
      </c>
      <c r="X285" s="14" t="inlineStr">
        <is>
          <t>3092433</t>
        </is>
      </c>
      <c r="Y285" s="14" t="inlineStr">
        <is>
          <t>V4</t>
        </is>
      </c>
      <c r="Z285" s="14" t="inlineStr">
        <is>
          <t>prior-2026-10-04-v1</t>
        </is>
      </c>
      <c r="AA285" s="14" t="inlineStr">
        <is>
          <t>B</t>
        </is>
      </c>
      <c r="AB285" s="14" t="n">
        <v>0.9540700753636269</v>
      </c>
      <c r="AC285" s="14" t="n">
        <v>0.03867615596160413</v>
      </c>
      <c r="AD285" s="14" t="n">
        <v>0</v>
      </c>
      <c r="AE285" s="14" t="n">
        <v>0</v>
      </c>
      <c r="AF285" s="14" t="n">
        <v>0.00725376867476906</v>
      </c>
      <c r="AG285" s="14" t="n">
        <v>0.7714727540007742</v>
      </c>
      <c r="AH285" s="14" t="n"/>
      <c r="AI285" s="14" t="n"/>
      <c r="AJ285" s="14" t="n">
        <v>0.7714727540007742</v>
      </c>
      <c r="AK285" s="14" t="n"/>
      <c r="AL285" s="14" t="n"/>
      <c r="AM285" s="14" t="n"/>
      <c r="AN285" s="14" t="inlineStr">
        <is>
          <t>EVALUATED</t>
        </is>
      </c>
      <c r="AO285" s="14" t="inlineStr">
        <is>
          <t>RECEIVING_VALIDATED_EDGE;BUCKET_PRIOR_ONLY;INTENT_INTERPRETATION_ONLY;FFL_OPTIONAL;EXPERT_MARKET</t>
        </is>
      </c>
      <c r="AP285" s="14" t="inlineStr">
        <is>
          <t>8c864a565ff78a579c11</t>
        </is>
      </c>
      <c r="AQ285" s="14" t="n">
        <v>1.25</v>
      </c>
      <c r="AR285" s="14" t="n">
        <v>0.8</v>
      </c>
      <c r="AS285" s="14" t="n">
        <v>-1.25</v>
      </c>
      <c r="AT285" s="14" t="n">
        <v>1.25</v>
      </c>
      <c r="AU285" s="14" t="n">
        <v>0.96</v>
      </c>
      <c r="AV285" s="14" t="n">
        <v>0.8</v>
      </c>
      <c r="AW285" s="14" t="inlineStr">
        <is>
          <t>2026-10-04T09:58:08.993953+08:00</t>
        </is>
      </c>
      <c r="AX285" s="14" t="inlineStr">
        <is>
          <t>Titan007 Next</t>
        </is>
      </c>
      <c r="AY285" s="14" t="inlineStr">
        <is>
          <t>V4 Shadow Only；real_money=false；新增冻结记录</t>
        </is>
      </c>
    </row>
    <row r="286" ht="22" customHeight="1" s="39">
      <c r="A286" s="14" t="inlineStr">
        <is>
          <t>2026-10-04</t>
        </is>
      </c>
      <c r="B286" s="14" t="inlineStr">
        <is>
          <t>2026-10-05 06:00:00</t>
        </is>
      </c>
      <c r="C286" s="14" t="inlineStr">
        <is>
          <t>CLUB_LEAGUE</t>
        </is>
      </c>
      <c r="D286" s="14" t="inlineStr">
        <is>
          <t>联赛</t>
        </is>
      </c>
      <c r="E286" s="14" t="inlineStr">
        <is>
          <t>牙买超</t>
        </is>
      </c>
      <c r="F286" s="14" t="inlineStr">
        <is>
          <t>磨力尼斯联 vs 竞技联队</t>
        </is>
      </c>
      <c r="G286" s="26" t="n">
        <v>0.74</v>
      </c>
      <c r="H286" s="26" t="n">
        <v>0.25</v>
      </c>
      <c r="I286" s="26" t="n">
        <v>0.96</v>
      </c>
      <c r="J286" s="26" t="inlineStr">
        <is>
          <t>0.74/0.25/0.96</t>
        </is>
      </c>
      <c r="K286" s="14" t="inlineStr">
        <is>
          <t>V4-B｜EV 0.11338260386626425</t>
        </is>
      </c>
      <c r="L286" s="14" t="inlineStr">
        <is>
          <t>磨力尼斯联</t>
        </is>
      </c>
      <c r="M286" s="47" t="n">
        <v>0.5650870025232744</v>
      </c>
      <c r="N286" s="14" t="inlineStr">
        <is>
          <t>V4纸面入选-B</t>
        </is>
      </c>
      <c r="O286" s="14" t="inlineStr">
        <is>
          <t>0-6</t>
        </is>
      </c>
      <c r="P286" s="14" t="inlineStr">
        <is>
          <t>已结算</t>
        </is>
      </c>
      <c r="Q286" s="14" t="inlineStr">
        <is>
          <t>黑</t>
        </is>
      </c>
      <c r="R286" s="48" t="n">
        <v>0.74</v>
      </c>
      <c r="S286" s="48" t="n">
        <v>0</v>
      </c>
      <c r="T286" s="14" t="inlineStr">
        <is>
          <t>D:\codex\v3_legacy\outputs\football_odds_trader\raw\titan007\20261004\20261004_135431_titan007_odds_snapshot.csv</t>
        </is>
      </c>
      <c r="U286" s="14">
        <f>IF(Q286="","",IF(Q286="待结算","待结算",IF(Q286="红","黑",IF(Q286="半红","半黑",IF(Q286="走","走",IF(Q286="半黑","半红","红"))))))</f>
        <v/>
      </c>
      <c r="V286" s="48">
        <f>IF(OR(U286="",U286="待结算"),"",IF(L286=LEFT(F286,FIND(" vs ",F286)-1),I286,G286))</f>
        <v/>
      </c>
      <c r="W286" s="48">
        <f>IF(OR(U286="",U286="待结算"),"",IF(U286="红",V286,IF(U286="半红",V286*0.5,IF(U286="走",0,IF(U286="半黑",-0.5,-1)))))</f>
        <v/>
      </c>
      <c r="X286" s="14" t="inlineStr">
        <is>
          <t>3094000</t>
        </is>
      </c>
      <c r="Y286" s="14" t="inlineStr">
        <is>
          <t>V4</t>
        </is>
      </c>
      <c r="Z286" s="14" t="inlineStr">
        <is>
          <t>prior-2026-10-04-v1</t>
        </is>
      </c>
      <c r="AA286" s="14" t="inlineStr">
        <is>
          <t>B</t>
        </is>
      </c>
      <c r="AB286" s="14" t="n">
        <v>0.4349557830475078</v>
      </c>
      <c r="AC286" s="14" t="n">
        <v>0.2602624389515333</v>
      </c>
      <c r="AD286" s="14" t="n">
        <v>0</v>
      </c>
      <c r="AE286" s="14" t="n">
        <v>0</v>
      </c>
      <c r="AF286" s="14" t="n">
        <v>0.3047817780009588</v>
      </c>
      <c r="AG286" s="14" t="n">
        <v>0.1133826038662643</v>
      </c>
      <c r="AH286" s="14" t="n"/>
      <c r="AI286" s="14" t="n"/>
      <c r="AJ286" s="14" t="n">
        <v>0.1133826038662643</v>
      </c>
      <c r="AK286" s="14" t="n"/>
      <c r="AL286" s="14" t="n"/>
      <c r="AM286" s="14" t="n"/>
      <c r="AN286" s="14" t="inlineStr">
        <is>
          <t>EVALUATED</t>
        </is>
      </c>
      <c r="AO286" s="14" t="inlineStr">
        <is>
          <t>RECEIVING_VALIDATED_EDGE;BUCKET_PRIOR_ONLY;INTENT_INTERPRETATION_ONLY;FFL_OPTIONAL;EXPERT_MARKET</t>
        </is>
      </c>
      <c r="AP286" s="14" t="inlineStr">
        <is>
          <t>b3787f28db853e24ae45</t>
        </is>
      </c>
      <c r="AQ286" s="14" t="n">
        <v>0.25</v>
      </c>
      <c r="AR286" s="14" t="n">
        <v>0.74</v>
      </c>
      <c r="AS286" s="14" t="n">
        <v>-0.25</v>
      </c>
      <c r="AT286" s="14" t="n">
        <v>0.25</v>
      </c>
      <c r="AU286" s="14" t="n">
        <v>0.96</v>
      </c>
      <c r="AV286" s="14" t="n">
        <v>0.74</v>
      </c>
      <c r="AW286" s="14" t="inlineStr">
        <is>
          <t>2026-10-04T09:58:08.993953+08:00</t>
        </is>
      </c>
      <c r="AX286" s="14" t="inlineStr">
        <is>
          <t>Titan007 Next</t>
        </is>
      </c>
      <c r="AY286" s="14" t="inlineStr">
        <is>
          <t>V4 Shadow Only；real_money=false；新增冻结记录</t>
        </is>
      </c>
    </row>
    <row r="287" ht="22" customHeight="1" s="39">
      <c r="A287" s="14" t="inlineStr">
        <is>
          <t>2026-10-04</t>
        </is>
      </c>
      <c r="B287" s="14" t="inlineStr">
        <is>
          <t>2026-10-05 06:15:00</t>
        </is>
      </c>
      <c r="C287" s="14" t="inlineStr">
        <is>
          <t>CLUB_LEAGUE</t>
        </is>
      </c>
      <c r="D287" s="14" t="inlineStr">
        <is>
          <t>联赛</t>
        </is>
      </c>
      <c r="E287" s="14" t="inlineStr">
        <is>
          <t>阿甲</t>
        </is>
      </c>
      <c r="F287" s="14" t="inlineStr">
        <is>
          <t>阿根廷青年人 vs 泰格雷</t>
        </is>
      </c>
      <c r="G287" s="26" t="n">
        <v>0.82</v>
      </c>
      <c r="H287" s="26" t="n">
        <v>-0.5</v>
      </c>
      <c r="I287" s="26" t="n">
        <v>1.06</v>
      </c>
      <c r="J287" s="26" t="inlineStr">
        <is>
          <t>0.82/-0.5/1.06</t>
        </is>
      </c>
      <c r="K287" s="14" t="inlineStr">
        <is>
          <t>V4-A｜EV 0.19475248596003375</t>
        </is>
      </c>
      <c r="L287" s="14" t="inlineStr">
        <is>
          <t>阿根廷青年人</t>
        </is>
      </c>
      <c r="M287" s="47" t="n">
        <v>0.6564574098681505</v>
      </c>
      <c r="N287" s="14" t="inlineStr">
        <is>
          <t>V4纸面入选-A</t>
        </is>
      </c>
      <c r="O287" s="14" t="inlineStr">
        <is>
          <t>2-1</t>
        </is>
      </c>
      <c r="P287" s="14" t="inlineStr">
        <is>
          <t>已结算</t>
        </is>
      </c>
      <c r="Q287" s="14" t="inlineStr">
        <is>
          <t>红</t>
        </is>
      </c>
      <c r="R287" s="48" t="n">
        <v>0.82</v>
      </c>
      <c r="S287" s="48" t="n">
        <v>0.41</v>
      </c>
      <c r="T287" s="14" t="inlineStr">
        <is>
          <t>D:\codex\v3_legacy\outputs\football_odds_trader\raw\titan007\20261004\20261004_135431_titan007_odds_snapshot.csv</t>
        </is>
      </c>
      <c r="U287" s="14">
        <f>IF(Q287="","",IF(Q287="待结算","待结算",IF(Q287="红","黑",IF(Q287="半红","半黑",IF(Q287="走","走",IF(Q287="半黑","半红","红"))))))</f>
        <v/>
      </c>
      <c r="V287" s="48">
        <f>IF(OR(U287="",U287="待结算"),"",IF(L287=LEFT(F287,FIND(" vs ",F287)-1),I287,G287))</f>
        <v/>
      </c>
      <c r="W287" s="48">
        <f>IF(OR(U287="",U287="待结算"),"",IF(U287="红",V287,IF(U287="半红",V287*0.5,IF(U287="走",0,IF(U287="半黑",-0.5,-1)))))</f>
        <v/>
      </c>
      <c r="X287" s="14" t="inlineStr">
        <is>
          <t>2962653</t>
        </is>
      </c>
      <c r="Y287" s="14" t="inlineStr">
        <is>
          <t>V4</t>
        </is>
      </c>
      <c r="Z287" s="14" t="inlineStr">
        <is>
          <t>prior-2026-10-04-v1</t>
        </is>
      </c>
      <c r="AA287" s="14" t="inlineStr">
        <is>
          <t>A</t>
        </is>
      </c>
      <c r="AB287" s="14" t="n">
        <v>0.6564574098681505</v>
      </c>
      <c r="AC287" s="14" t="n">
        <v>0</v>
      </c>
      <c r="AD287" s="14" t="n">
        <v>0</v>
      </c>
      <c r="AE287" s="14" t="n">
        <v>0</v>
      </c>
      <c r="AF287" s="14" t="n">
        <v>0.3435425901318496</v>
      </c>
      <c r="AG287" s="14" t="n">
        <v>0.1947524859600337</v>
      </c>
      <c r="AH287" s="14" t="n"/>
      <c r="AI287" s="14" t="n"/>
      <c r="AJ287" s="14" t="n">
        <v>0.1947524859600337</v>
      </c>
      <c r="AK287" s="14" t="n"/>
      <c r="AL287" s="14" t="n"/>
      <c r="AM287" s="14" t="n"/>
      <c r="AN287" s="14" t="inlineStr">
        <is>
          <t>EVALUATED</t>
        </is>
      </c>
      <c r="AO287" s="14" t="inlineStr">
        <is>
          <t>GIVING_VALIDATED_EDGE;BUCKET_PRIOR_ONLY;INTENT_INTERPRETATION_ONLY;FFL_OPTIONAL;EXPERT_MARKET</t>
        </is>
      </c>
      <c r="AP287" s="14" t="inlineStr">
        <is>
          <t>4cf86207a485f3f5ee77</t>
        </is>
      </c>
      <c r="AQ287" s="14" t="n">
        <v>-0.5</v>
      </c>
      <c r="AR287" s="14" t="n">
        <v>0.82</v>
      </c>
      <c r="AS287" s="14" t="n">
        <v>-0.5</v>
      </c>
      <c r="AT287" s="14" t="n">
        <v>0.5</v>
      </c>
      <c r="AU287" s="14" t="n">
        <v>0.82</v>
      </c>
      <c r="AV287" s="14" t="n">
        <v>1.06</v>
      </c>
      <c r="AW287" s="14" t="inlineStr">
        <is>
          <t>2026-10-04T09:58:08.993953+08:00</t>
        </is>
      </c>
      <c r="AX287" s="14" t="inlineStr">
        <is>
          <t>Titan007 Next</t>
        </is>
      </c>
      <c r="AY287" s="14" t="inlineStr">
        <is>
          <t>V4 Shadow Only；real_money=false；新增冻结记录</t>
        </is>
      </c>
    </row>
    <row r="288" ht="22" customHeight="1" s="39">
      <c r="A288" s="14" t="inlineStr">
        <is>
          <t>2026-10-04</t>
        </is>
      </c>
      <c r="B288" s="14" t="inlineStr">
        <is>
          <t>2026-10-05 06:25:00</t>
        </is>
      </c>
      <c r="C288" s="14" t="inlineStr">
        <is>
          <t>CLUB_LEAGUE</t>
        </is>
      </c>
      <c r="D288" s="14" t="inlineStr">
        <is>
          <t>联赛</t>
        </is>
      </c>
      <c r="E288" s="14" t="inlineStr">
        <is>
          <t>乌拉甲秋</t>
        </is>
      </c>
      <c r="F288" s="14" t="inlineStr">
        <is>
          <t>蒙特维多竞技 vs 佩纳罗尔</t>
        </is>
      </c>
      <c r="G288" s="26" t="n">
        <v>0.72</v>
      </c>
      <c r="H288" s="26" t="n">
        <v>0.5</v>
      </c>
      <c r="I288" s="26" t="n">
        <v>0.98</v>
      </c>
      <c r="J288" s="26" t="inlineStr">
        <is>
          <t>0.72/0.5/0.98</t>
        </is>
      </c>
      <c r="K288" s="14" t="inlineStr">
        <is>
          <t>V4-B｜EV 0.300429947407853</t>
        </is>
      </c>
      <c r="L288" s="14" t="inlineStr">
        <is>
          <t>蒙特维多竞技</t>
        </is>
      </c>
      <c r="M288" s="47" t="n">
        <v>0.7560639229115425</v>
      </c>
      <c r="N288" s="14" t="inlineStr">
        <is>
          <t>V4纸面入选-B</t>
        </is>
      </c>
      <c r="O288" s="14" t="inlineStr">
        <is>
          <t>0-1</t>
        </is>
      </c>
      <c r="P288" s="14" t="inlineStr">
        <is>
          <t>已结算</t>
        </is>
      </c>
      <c r="Q288" s="14" t="inlineStr">
        <is>
          <t>黑</t>
        </is>
      </c>
      <c r="R288" s="48" t="n">
        <v>0.72</v>
      </c>
      <c r="S288" s="48" t="n">
        <v>0.36</v>
      </c>
      <c r="T288" s="14" t="inlineStr">
        <is>
          <t>D:\codex\v3_legacy\outputs\football_odds_trader\raw\titan007\20261004\20261004_135431_titan007_odds_snapshot.csv</t>
        </is>
      </c>
      <c r="U288" s="14">
        <f>IF(Q288="","",IF(Q288="待结算","待结算",IF(Q288="红","黑",IF(Q288="半红","半黑",IF(Q288="走","走",IF(Q288="半黑","半红","红"))))))</f>
        <v/>
      </c>
      <c r="V288" s="48">
        <f>IF(OR(U288="",U288="待结算"),"",IF(L288=LEFT(F288,FIND(" vs ",F288)-1),I288,G288))</f>
        <v/>
      </c>
      <c r="W288" s="48">
        <f>IF(OR(U288="",U288="待结算"),"",IF(U288="红",V288,IF(U288="半红",V288*0.5,IF(U288="走",0,IF(U288="半黑",-0.5,-1)))))</f>
        <v/>
      </c>
      <c r="X288" s="14" t="inlineStr">
        <is>
          <t>3094920</t>
        </is>
      </c>
      <c r="Y288" s="14" t="inlineStr">
        <is>
          <t>V4</t>
        </is>
      </c>
      <c r="Z288" s="14" t="inlineStr">
        <is>
          <t>prior-2026-10-04-v1</t>
        </is>
      </c>
      <c r="AA288" s="14" t="inlineStr">
        <is>
          <t>B</t>
        </is>
      </c>
      <c r="AB288" s="14" t="n">
        <v>0.7560639229115425</v>
      </c>
      <c r="AC288" s="14" t="n">
        <v>0</v>
      </c>
      <c r="AD288" s="14" t="n">
        <v>0</v>
      </c>
      <c r="AE288" s="14" t="n">
        <v>0</v>
      </c>
      <c r="AF288" s="14" t="n">
        <v>0.2439360770884575</v>
      </c>
      <c r="AG288" s="14" t="n">
        <v>0.300429947407853</v>
      </c>
      <c r="AH288" s="14" t="n"/>
      <c r="AI288" s="14" t="n"/>
      <c r="AJ288" s="14" t="n">
        <v>0.300429947407853</v>
      </c>
      <c r="AK288" s="14" t="n"/>
      <c r="AL288" s="14" t="n"/>
      <c r="AM288" s="14" t="n"/>
      <c r="AN288" s="14" t="inlineStr">
        <is>
          <t>EVALUATED</t>
        </is>
      </c>
      <c r="AO288" s="14" t="inlineStr">
        <is>
          <t>RECEIVING_VALIDATED_EDGE;BUCKET_PRIOR_ONLY;INTENT_INTERPRETATION_ONLY;FFL_OPTIONAL;EXPERT_MARKET</t>
        </is>
      </c>
      <c r="AP288" s="14" t="inlineStr">
        <is>
          <t>aaade532a457ad66d4c3</t>
        </is>
      </c>
      <c r="AQ288" s="14" t="n">
        <v>0.5</v>
      </c>
      <c r="AR288" s="14" t="n">
        <v>0.72</v>
      </c>
      <c r="AS288" s="14" t="n">
        <v>-0.5</v>
      </c>
      <c r="AT288" s="14" t="n">
        <v>0.5</v>
      </c>
      <c r="AU288" s="14" t="n">
        <v>0.98</v>
      </c>
      <c r="AV288" s="14" t="n">
        <v>0.72</v>
      </c>
      <c r="AW288" s="14" t="inlineStr">
        <is>
          <t>2026-10-04T09:58:08.993953+08:00</t>
        </is>
      </c>
      <c r="AX288" s="14" t="inlineStr">
        <is>
          <t>Titan007 Next</t>
        </is>
      </c>
      <c r="AY288" s="14" t="inlineStr">
        <is>
          <t>V4 Shadow Only；real_money=false；新增冻结记录</t>
        </is>
      </c>
    </row>
    <row r="289" ht="22" customHeight="1" s="39">
      <c r="A289" s="14" t="inlineStr">
        <is>
          <t>2026-10-04</t>
        </is>
      </c>
      <c r="B289" s="14" t="inlineStr">
        <is>
          <t>2026-10-05 07:00:00</t>
        </is>
      </c>
      <c r="C289" s="14" t="inlineStr">
        <is>
          <t>CLUB_LEAGUE</t>
        </is>
      </c>
      <c r="D289" s="14" t="inlineStr">
        <is>
          <t>联赛</t>
        </is>
      </c>
      <c r="E289" s="14" t="inlineStr">
        <is>
          <t>危地甲春</t>
        </is>
      </c>
      <c r="F289" s="14" t="inlineStr">
        <is>
          <t>瓜斯塔托亚 vs 奥罗拉</t>
        </is>
      </c>
      <c r="G289" s="26" t="n">
        <v>0.9399999999999999</v>
      </c>
      <c r="H289" s="26" t="n">
        <v>-1.25</v>
      </c>
      <c r="I289" s="26" t="n">
        <v>0.76</v>
      </c>
      <c r="J289" s="26" t="inlineStr">
        <is>
          <t>0.94/-1.25/0.76</t>
        </is>
      </c>
      <c r="K289" s="14" t="inlineStr">
        <is>
          <t>V4-B｜EV 0.18000471472007312</t>
        </is>
      </c>
      <c r="L289" s="14" t="inlineStr">
        <is>
          <t>瓜斯塔托亚</t>
        </is>
      </c>
      <c r="M289" s="47" t="n">
        <v>0.5452283808283944</v>
      </c>
      <c r="N289" s="14" t="inlineStr">
        <is>
          <t>V4纸面入选-B</t>
        </is>
      </c>
      <c r="O289" s="14" t="inlineStr">
        <is>
          <t>2-1</t>
        </is>
      </c>
      <c r="P289" s="14" t="inlineStr">
        <is>
          <t>已结算</t>
        </is>
      </c>
      <c r="Q289" s="14" t="inlineStr">
        <is>
          <t>半黑</t>
        </is>
      </c>
      <c r="R289" s="48" t="n">
        <v>0.9399999999999999</v>
      </c>
      <c r="S289" s="48" t="n">
        <v>0.47</v>
      </c>
      <c r="T289" s="14" t="inlineStr">
        <is>
          <t>D:\codex\v3_legacy\outputs\football_odds_trader\raw\titan007\20261004\20261004_135431_titan007_odds_snapshot.csv</t>
        </is>
      </c>
      <c r="U289" s="14">
        <f>IF(Q289="","",IF(Q289="待结算","待结算",IF(Q289="红","黑",IF(Q289="半红","半黑",IF(Q289="走","走",IF(Q289="半黑","半红","红"))))))</f>
        <v/>
      </c>
      <c r="V289" s="48">
        <f>IF(OR(U289="",U289="待结算"),"",IF(L289=LEFT(F289,FIND(" vs ",F289)-1),I289,G289))</f>
        <v/>
      </c>
      <c r="W289" s="48">
        <f>IF(OR(U289="",U289="待结算"),"",IF(U289="红",V289,IF(U289="半红",V289*0.5,IF(U289="走",0,IF(U289="半黑",-0.5,-1)))))</f>
        <v/>
      </c>
      <c r="X289" s="14" t="inlineStr">
        <is>
          <t>3011297</t>
        </is>
      </c>
      <c r="Y289" s="14" t="inlineStr">
        <is>
          <t>V4</t>
        </is>
      </c>
      <c r="Z289" s="14" t="inlineStr">
        <is>
          <t>prior-2026-10-04-v1</t>
        </is>
      </c>
      <c r="AA289" s="14" t="inlineStr">
        <is>
          <t>B</t>
        </is>
      </c>
      <c r="AB289" s="14" t="n">
        <v>0.5452283808283944</v>
      </c>
      <c r="AC289" s="14" t="n">
        <v>0</v>
      </c>
      <c r="AD289" s="14" t="n">
        <v>0</v>
      </c>
      <c r="AE289" s="14" t="n">
        <v>0.2445233118259759</v>
      </c>
      <c r="AF289" s="14" t="n">
        <v>0.2102483073456297</v>
      </c>
      <c r="AG289" s="14" t="n">
        <v>0.1800047147200731</v>
      </c>
      <c r="AH289" s="14" t="n"/>
      <c r="AI289" s="14" t="n"/>
      <c r="AJ289" s="14" t="n">
        <v>0.1800047147200731</v>
      </c>
      <c r="AK289" s="14" t="n"/>
      <c r="AL289" s="14" t="n"/>
      <c r="AM289" s="14" t="n"/>
      <c r="AN289" s="14" t="inlineStr">
        <is>
          <t>EVALUATED</t>
        </is>
      </c>
      <c r="AO289" s="14" t="inlineStr">
        <is>
          <t>GIVING_VALIDATED_EDGE;BUCKET_PRIOR_ONLY;INTENT_INTERPRETATION_ONLY;FFL_OPTIONAL;EXPERT_MARKET</t>
        </is>
      </c>
      <c r="AP289" s="14" t="inlineStr">
        <is>
          <t>84c0885e8dc1b97dcc05</t>
        </is>
      </c>
      <c r="AQ289" s="14" t="n">
        <v>-1.25</v>
      </c>
      <c r="AR289" s="14" t="n">
        <v>0.9399999999999999</v>
      </c>
      <c r="AS289" s="14" t="n">
        <v>-1.25</v>
      </c>
      <c r="AT289" s="14" t="n">
        <v>1.25</v>
      </c>
      <c r="AU289" s="14" t="n">
        <v>0.9399999999999999</v>
      </c>
      <c r="AV289" s="14" t="n">
        <v>0.76</v>
      </c>
      <c r="AW289" s="14" t="inlineStr">
        <is>
          <t>2026-10-04T09:58:08.993953+08:00</t>
        </is>
      </c>
      <c r="AX289" s="14" t="inlineStr">
        <is>
          <t>Titan007 Next</t>
        </is>
      </c>
      <c r="AY289" s="14" t="inlineStr">
        <is>
          <t>V4 Shadow Only；real_money=false；新增冻结记录</t>
        </is>
      </c>
    </row>
    <row r="290" ht="22" customHeight="1" s="39">
      <c r="A290" s="14" t="inlineStr">
        <is>
          <t>2026-10-04</t>
        </is>
      </c>
      <c r="B290" s="14" t="inlineStr">
        <is>
          <t>2026-10-05 07:00:00</t>
        </is>
      </c>
      <c r="C290" s="14" t="inlineStr">
        <is>
          <t>UNKNOWN</t>
        </is>
      </c>
      <c r="D290" s="14" t="inlineStr">
        <is>
          <t>联赛</t>
        </is>
      </c>
      <c r="E290" s="14" t="inlineStr">
        <is>
          <t>美女职</t>
        </is>
      </c>
      <c r="F290" s="14" t="inlineStr">
        <is>
          <t>休斯顿达斯女足 vs 华盛顿精神女足</t>
        </is>
      </c>
      <c r="G290" s="26" t="n">
        <v>0.85</v>
      </c>
      <c r="H290" s="26" t="n">
        <v>0.5</v>
      </c>
      <c r="I290" s="26" t="n">
        <v>0.85</v>
      </c>
      <c r="J290" s="26" t="inlineStr">
        <is>
          <t>0.85/0.5/0.85</t>
        </is>
      </c>
      <c r="K290" s="14" t="inlineStr">
        <is>
          <t>V4-C｜EV 0.4920266893549579</t>
        </is>
      </c>
      <c r="L290" s="14" t="inlineStr">
        <is>
          <t>休斯顿达斯女足</t>
        </is>
      </c>
      <c r="M290" s="47" t="n">
        <v>0.8065009131648421</v>
      </c>
      <c r="N290" s="14" t="inlineStr">
        <is>
          <t>V4纸面入选-C</t>
        </is>
      </c>
      <c r="O290" s="14" t="inlineStr">
        <is>
          <t>2-3</t>
        </is>
      </c>
      <c r="P290" s="14" t="inlineStr">
        <is>
          <t>已结算</t>
        </is>
      </c>
      <c r="Q290" s="14" t="inlineStr">
        <is>
          <t>黑</t>
        </is>
      </c>
      <c r="R290" s="48" t="n">
        <v>0.85</v>
      </c>
      <c r="S290" s="48" t="n">
        <v>0.425</v>
      </c>
      <c r="T290" s="14" t="inlineStr">
        <is>
          <t>D:\codex\v3_legacy\outputs\football_odds_trader\raw\titan007\20261004\20261004_135431_titan007_odds_snapshot.csv</t>
        </is>
      </c>
      <c r="U290" s="14">
        <f>IF(Q290="","",IF(Q290="待结算","待结算",IF(Q290="红","黑",IF(Q290="半红","半黑",IF(Q290="走","走",IF(Q290="半黑","半红","红"))))))</f>
        <v/>
      </c>
      <c r="V290" s="48">
        <f>IF(OR(U290="",U290="待结算"),"",IF(L290=LEFT(F290,FIND(" vs ",F290)-1),I290,G290))</f>
        <v/>
      </c>
      <c r="W290" s="48">
        <f>IF(OR(U290="",U290="待结算"),"",IF(U290="红",V290,IF(U290="半红",V290*0.5,IF(U290="走",0,IF(U290="半黑",-0.5,-1)))))</f>
        <v/>
      </c>
      <c r="X290" s="14" t="inlineStr">
        <is>
          <t>2957072</t>
        </is>
      </c>
      <c r="Y290" s="14" t="inlineStr">
        <is>
          <t>V4</t>
        </is>
      </c>
      <c r="Z290" s="14" t="inlineStr">
        <is>
          <t>prior-2026-10-04-v1</t>
        </is>
      </c>
      <c r="AA290" s="14" t="inlineStr">
        <is>
          <t>C</t>
        </is>
      </c>
      <c r="AB290" s="14" t="n">
        <v>0.8065009131648421</v>
      </c>
      <c r="AC290" s="14" t="n">
        <v>0</v>
      </c>
      <c r="AD290" s="14" t="n">
        <v>0</v>
      </c>
      <c r="AE290" s="14" t="n">
        <v>0</v>
      </c>
      <c r="AF290" s="14" t="n">
        <v>0.1934990868351579</v>
      </c>
      <c r="AG290" s="14" t="n">
        <v>0.4920266893549579</v>
      </c>
      <c r="AH290" s="14" t="n"/>
      <c r="AI290" s="14" t="n"/>
      <c r="AJ290" s="14" t="n">
        <v>0.4920266893549579</v>
      </c>
      <c r="AK290" s="14" t="n"/>
      <c r="AL290" s="14" t="n"/>
      <c r="AM290" s="14" t="n"/>
      <c r="AN290" s="14" t="inlineStr">
        <is>
          <t>EVALUATED</t>
        </is>
      </c>
      <c r="AO290" s="14" t="inlineStr">
        <is>
          <t>RECEIVING_VALIDATED_EDGE;BUCKET_PRIOR_ONLY;INTENT_INTERPRETATION_ONLY;FFL_OPTIONAL;EXPERT_MARKET</t>
        </is>
      </c>
      <c r="AP290" s="14" t="inlineStr">
        <is>
          <t>6a0caf748cac00e4c74f</t>
        </is>
      </c>
      <c r="AQ290" s="14" t="n">
        <v>0.5</v>
      </c>
      <c r="AR290" s="14" t="n">
        <v>0.85</v>
      </c>
      <c r="AS290" s="14" t="n">
        <v>-0.5</v>
      </c>
      <c r="AT290" s="14" t="n">
        <v>0.5</v>
      </c>
      <c r="AU290" s="14" t="n">
        <v>0.85</v>
      </c>
      <c r="AV290" s="14" t="n">
        <v>0.85</v>
      </c>
      <c r="AW290" s="14" t="inlineStr">
        <is>
          <t>2026-10-04T09:58:08.993953+08:00</t>
        </is>
      </c>
      <c r="AX290" s="14" t="inlineStr">
        <is>
          <t>Titan007 Next</t>
        </is>
      </c>
      <c r="AY290" s="14" t="inlineStr">
        <is>
          <t>V4 Shadow Only；real_money=false；新增冻结记录</t>
        </is>
      </c>
    </row>
    <row r="291" ht="22" customHeight="1" s="39">
      <c r="A291" s="14" t="inlineStr">
        <is>
          <t>2026-10-04</t>
        </is>
      </c>
      <c r="B291" s="14" t="inlineStr">
        <is>
          <t>2026-10-05 07:10:00</t>
        </is>
      </c>
      <c r="C291" s="14" t="inlineStr">
        <is>
          <t>CLUB_LEAGUE</t>
        </is>
      </c>
      <c r="D291" s="14" t="inlineStr">
        <is>
          <t>联赛</t>
        </is>
      </c>
      <c r="E291" s="14" t="inlineStr">
        <is>
          <t>哥伦甲秋</t>
        </is>
      </c>
      <c r="F291" s="14" t="inlineStr">
        <is>
          <t>布卡拉曼加竞技 vs 巴兰基亚青年</t>
        </is>
      </c>
      <c r="G291" s="26" t="n">
        <v>1</v>
      </c>
      <c r="H291" s="26" t="n">
        <v>-0.5</v>
      </c>
      <c r="I291" s="26" t="n">
        <v>0.88</v>
      </c>
      <c r="J291" s="26" t="inlineStr">
        <is>
          <t>1.0/-0.5/0.88</t>
        </is>
      </c>
      <c r="K291" s="14" t="inlineStr">
        <is>
          <t>V4-B｜EV 0.09340947603710037</t>
        </is>
      </c>
      <c r="L291" s="14" t="inlineStr">
        <is>
          <t>布卡拉曼加竞技</t>
        </is>
      </c>
      <c r="M291" s="47" t="n">
        <v>0.5467047380185502</v>
      </c>
      <c r="N291" s="14" t="inlineStr">
        <is>
          <t>V4纸面入选-B</t>
        </is>
      </c>
      <c r="O291" s="14" t="inlineStr">
        <is>
          <t>3-1</t>
        </is>
      </c>
      <c r="P291" s="14" t="inlineStr">
        <is>
          <t>已结算</t>
        </is>
      </c>
      <c r="Q291" s="14" t="inlineStr">
        <is>
          <t>红</t>
        </is>
      </c>
      <c r="R291" s="48" t="n">
        <v>1</v>
      </c>
      <c r="S291" s="48" t="n">
        <v>0.5</v>
      </c>
      <c r="T291" s="14" t="inlineStr">
        <is>
          <t>D:\codex\v3_legacy\outputs\football_odds_trader\raw\titan007\20261004\20261004_135431_titan007_odds_snapshot.csv</t>
        </is>
      </c>
      <c r="U291" s="14">
        <f>IF(Q291="","",IF(Q291="待结算","待结算",IF(Q291="红","黑",IF(Q291="半红","半黑",IF(Q291="走","走",IF(Q291="半黑","半红","红"))))))</f>
        <v/>
      </c>
      <c r="V291" s="48">
        <f>IF(OR(U291="",U291="待结算"),"",IF(L291=LEFT(F291,FIND(" vs ",F291)-1),I291,G291))</f>
        <v/>
      </c>
      <c r="W291" s="48">
        <f>IF(OR(U291="",U291="待结算"),"",IF(U291="红",V291,IF(U291="半红",V291*0.5,IF(U291="走",0,IF(U291="半黑",-0.5,-1)))))</f>
        <v/>
      </c>
      <c r="X291" s="14" t="inlineStr">
        <is>
          <t>3011878</t>
        </is>
      </c>
      <c r="Y291" s="14" t="inlineStr">
        <is>
          <t>V4</t>
        </is>
      </c>
      <c r="Z291" s="14" t="inlineStr">
        <is>
          <t>prior-2026-10-04-v1</t>
        </is>
      </c>
      <c r="AA291" s="14" t="inlineStr">
        <is>
          <t>B</t>
        </is>
      </c>
      <c r="AB291" s="14" t="n">
        <v>0.5467047380185502</v>
      </c>
      <c r="AC291" s="14" t="n">
        <v>0</v>
      </c>
      <c r="AD291" s="14" t="n">
        <v>0</v>
      </c>
      <c r="AE291" s="14" t="n">
        <v>0</v>
      </c>
      <c r="AF291" s="14" t="n">
        <v>0.4532952619814499</v>
      </c>
      <c r="AG291" s="14" t="n">
        <v>0.09340947603710037</v>
      </c>
      <c r="AH291" s="14" t="n"/>
      <c r="AI291" s="14" t="n"/>
      <c r="AJ291" s="14" t="n">
        <v>0.09340947603710037</v>
      </c>
      <c r="AK291" s="14" t="n"/>
      <c r="AL291" s="14" t="n"/>
      <c r="AM291" s="14" t="n"/>
      <c r="AN291" s="14" t="inlineStr">
        <is>
          <t>EVALUATED</t>
        </is>
      </c>
      <c r="AO291" s="14" t="inlineStr">
        <is>
          <t>GIVING_VALIDATED_EDGE;BUCKET_PRIOR_ONLY;INTENT_INTERPRETATION_ONLY;FFL_OPTIONAL;EXPERT_MARKET</t>
        </is>
      </c>
      <c r="AP291" s="14" t="inlineStr">
        <is>
          <t>1c3cb15abac14f6dc1e4</t>
        </is>
      </c>
      <c r="AQ291" s="14" t="n">
        <v>-0.5</v>
      </c>
      <c r="AR291" s="14" t="n">
        <v>1</v>
      </c>
      <c r="AS291" s="14" t="n">
        <v>-0.5</v>
      </c>
      <c r="AT291" s="14" t="n">
        <v>0.5</v>
      </c>
      <c r="AU291" s="14" t="n">
        <v>1</v>
      </c>
      <c r="AV291" s="14" t="n">
        <v>0.88</v>
      </c>
      <c r="AW291" s="14" t="inlineStr">
        <is>
          <t>2026-10-04T09:58:08.993953+08:00</t>
        </is>
      </c>
      <c r="AX291" s="14" t="inlineStr">
        <is>
          <t>Titan007 Next</t>
        </is>
      </c>
      <c r="AY291" s="14" t="inlineStr">
        <is>
          <t>V4 Shadow Only；real_money=false；新增冻结记录</t>
        </is>
      </c>
    </row>
    <row r="292" ht="22" customHeight="1" s="39">
      <c r="A292" s="14" t="inlineStr">
        <is>
          <t>2026-10-04</t>
        </is>
      </c>
      <c r="B292" s="14" t="inlineStr">
        <is>
          <t>2026-10-05 07:30:00</t>
        </is>
      </c>
      <c r="C292" s="14" t="inlineStr">
        <is>
          <t>CLUB_CUP</t>
        </is>
      </c>
      <c r="D292" s="14" t="inlineStr">
        <is>
          <t>杯赛</t>
        </is>
      </c>
      <c r="E292" s="14" t="inlineStr">
        <is>
          <t>玻利杯</t>
        </is>
      </c>
      <c r="F292" s="14" t="inlineStr">
        <is>
          <t>石油独立 vs 玻利瓦尔</t>
        </is>
      </c>
      <c r="G292" s="26" t="n">
        <v>0.92</v>
      </c>
      <c r="H292" s="26" t="n">
        <v>0.25</v>
      </c>
      <c r="I292" s="26" t="n">
        <v>0.78</v>
      </c>
      <c r="J292" s="26" t="inlineStr">
        <is>
          <t>0.92/0.25/0.78</t>
        </is>
      </c>
      <c r="K292" s="14" t="inlineStr">
        <is>
          <t>V4-B｜EV 0.29871063775226014</t>
        </is>
      </c>
      <c r="L292" s="14" t="inlineStr">
        <is>
          <t>石油独立</t>
        </is>
      </c>
      <c r="M292" s="47" t="n">
        <v>0.6104416485922779</v>
      </c>
      <c r="N292" s="14" t="inlineStr">
        <is>
          <t>V4纸面入选-B</t>
        </is>
      </c>
      <c r="O292" s="14" t="inlineStr">
        <is>
          <t>0-3</t>
        </is>
      </c>
      <c r="P292" s="14" t="inlineStr">
        <is>
          <t>已结算</t>
        </is>
      </c>
      <c r="Q292" s="14" t="inlineStr">
        <is>
          <t>黑</t>
        </is>
      </c>
      <c r="R292" s="48" t="n">
        <v>0.92</v>
      </c>
      <c r="S292" s="48" t="n">
        <v>0</v>
      </c>
      <c r="T292" s="14" t="inlineStr">
        <is>
          <t>D:\codex\v3_legacy\outputs\football_odds_trader\raw\titan007\20261004\20261004_135431_titan007_odds_snapshot.csv</t>
        </is>
      </c>
      <c r="U292" s="14">
        <f>IF(Q292="","",IF(Q292="待结算","待结算",IF(Q292="红","黑",IF(Q292="半红","半黑",IF(Q292="走","走",IF(Q292="半黑","半红","红"))))))</f>
        <v/>
      </c>
      <c r="V292" s="48">
        <f>IF(OR(U292="",U292="待结算"),"",IF(L292=LEFT(F292,FIND(" vs ",F292)-1),I292,G292))</f>
        <v/>
      </c>
      <c r="W292" s="48">
        <f>IF(OR(U292="",U292="待结算"),"",IF(U292="红",V292,IF(U292="半红",V292*0.5,IF(U292="走",0,IF(U292="半黑",-0.5,-1)))))</f>
        <v/>
      </c>
      <c r="X292" s="14" t="inlineStr">
        <is>
          <t>3061677</t>
        </is>
      </c>
      <c r="Y292" s="14" t="inlineStr">
        <is>
          <t>V4</t>
        </is>
      </c>
      <c r="Z292" s="14" t="inlineStr">
        <is>
          <t>prior-2026-10-04-v1</t>
        </is>
      </c>
      <c r="AA292" s="14" t="inlineStr">
        <is>
          <t>B</t>
        </is>
      </c>
      <c r="AB292" s="14" t="n">
        <v>0.4837789761371913</v>
      </c>
      <c r="AC292" s="14" t="n">
        <v>0.2533253449101732</v>
      </c>
      <c r="AD292" s="14" t="n">
        <v>0</v>
      </c>
      <c r="AE292" s="14" t="n">
        <v>0</v>
      </c>
      <c r="AF292" s="14" t="n">
        <v>0.2628956789526355</v>
      </c>
      <c r="AG292" s="14" t="n">
        <v>0.2987106377522601</v>
      </c>
      <c r="AH292" s="14" t="n"/>
      <c r="AI292" s="14" t="n"/>
      <c r="AJ292" s="14" t="n">
        <v>0.2987106377522601</v>
      </c>
      <c r="AK292" s="14" t="n"/>
      <c r="AL292" s="14" t="n"/>
      <c r="AM292" s="14" t="n"/>
      <c r="AN292" s="14" t="inlineStr">
        <is>
          <t>EVALUATED</t>
        </is>
      </c>
      <c r="AO292" s="14" t="inlineStr">
        <is>
          <t>RECEIVING_VALIDATED_EDGE;BUCKET_PRIOR_ONLY;INTENT_INTERPRETATION_ONLY;FFL_OPTIONAL;EXPERT_MARKET</t>
        </is>
      </c>
      <c r="AP292" s="14" t="inlineStr">
        <is>
          <t>617eb97c070bb0b3f3e2</t>
        </is>
      </c>
      <c r="AQ292" s="14" t="n">
        <v>0.25</v>
      </c>
      <c r="AR292" s="14" t="n">
        <v>0.92</v>
      </c>
      <c r="AS292" s="14" t="n">
        <v>-0.25</v>
      </c>
      <c r="AT292" s="14" t="n">
        <v>0.25</v>
      </c>
      <c r="AU292" s="14" t="n">
        <v>0.78</v>
      </c>
      <c r="AV292" s="14" t="n">
        <v>0.92</v>
      </c>
      <c r="AW292" s="14" t="inlineStr">
        <is>
          <t>2026-10-04T09:58:08.993953+08:00</t>
        </is>
      </c>
      <c r="AX292" s="14" t="inlineStr">
        <is>
          <t>Titan007 Next</t>
        </is>
      </c>
      <c r="AY292" s="14" t="inlineStr">
        <is>
          <t>V4 Shadow Only；real_money=false；新增冻结记录</t>
        </is>
      </c>
    </row>
    <row r="293" ht="22" customHeight="1" s="39">
      <c r="A293" s="14" t="inlineStr">
        <is>
          <t>2026-10-04</t>
        </is>
      </c>
      <c r="B293" s="14" t="inlineStr">
        <is>
          <t>2026-10-05 08:30:00</t>
        </is>
      </c>
      <c r="C293" s="14" t="inlineStr">
        <is>
          <t>CLUB_LEAGUE</t>
        </is>
      </c>
      <c r="D293" s="14" t="inlineStr">
        <is>
          <t>联赛</t>
        </is>
      </c>
      <c r="E293" s="14" t="inlineStr">
        <is>
          <t>阿甲</t>
        </is>
      </c>
      <c r="F293" s="14" t="inlineStr">
        <is>
          <t>里奥夸尔托学生队 vs 竞技俱乐部</t>
        </is>
      </c>
      <c r="G293" s="26" t="n">
        <v>0.95</v>
      </c>
      <c r="H293" s="26" t="n">
        <v>0.5</v>
      </c>
      <c r="I293" s="26" t="n">
        <v>0.93</v>
      </c>
      <c r="J293" s="26" t="inlineStr">
        <is>
          <t>0.95/0.5/0.93</t>
        </is>
      </c>
      <c r="K293" s="14" t="inlineStr">
        <is>
          <t>V4-A｜EV 0.5882788011886063</t>
        </is>
      </c>
      <c r="L293" s="14" t="inlineStr">
        <is>
          <t>里奥夸尔托学生队</t>
        </is>
      </c>
      <c r="M293" s="47" t="n">
        <v>0.8145019493274904</v>
      </c>
      <c r="N293" s="14" t="inlineStr">
        <is>
          <t>V4纸面入选-A</t>
        </is>
      </c>
      <c r="O293" s="14" t="inlineStr">
        <is>
          <t>0-0</t>
        </is>
      </c>
      <c r="P293" s="14" t="inlineStr">
        <is>
          <t>已结算</t>
        </is>
      </c>
      <c r="Q293" s="14" t="inlineStr">
        <is>
          <t>红半</t>
        </is>
      </c>
      <c r="R293" s="48" t="n">
        <v>0.95</v>
      </c>
      <c r="S293" s="48" t="n">
        <v>0.475</v>
      </c>
      <c r="T293" s="14" t="inlineStr">
        <is>
          <t>D:\codex\v3_legacy\outputs\football_odds_trader\raw\titan007\20261004\20261004_135431_titan007_odds_snapshot.csv</t>
        </is>
      </c>
      <c r="U293" s="14">
        <f>IF(Q293="","",IF(Q293="待结算","待结算",IF(Q293="红","黑",IF(Q293="半红","半黑",IF(Q293="走","走",IF(Q293="半黑","半红","红"))))))</f>
        <v/>
      </c>
      <c r="V293" s="48">
        <f>IF(OR(U293="",U293="待结算"),"",IF(L293=LEFT(F293,FIND(" vs ",F293)-1),I293,G293))</f>
        <v/>
      </c>
      <c r="W293" s="48">
        <f>IF(OR(U293="",U293="待结算"),"",IF(U293="红",V293,IF(U293="半红",V293*0.5,IF(U293="走",0,IF(U293="半黑",-0.5,-1)))))</f>
        <v/>
      </c>
      <c r="X293" s="14" t="inlineStr">
        <is>
          <t>2962660</t>
        </is>
      </c>
      <c r="Y293" s="14" t="inlineStr">
        <is>
          <t>V4</t>
        </is>
      </c>
      <c r="Z293" s="14" t="inlineStr">
        <is>
          <t>prior-2026-10-04-v1</t>
        </is>
      </c>
      <c r="AA293" s="14" t="inlineStr">
        <is>
          <t>A</t>
        </is>
      </c>
      <c r="AB293" s="14" t="n">
        <v>0.8145019493274904</v>
      </c>
      <c r="AC293" s="14" t="n">
        <v>0</v>
      </c>
      <c r="AD293" s="14" t="n">
        <v>0</v>
      </c>
      <c r="AE293" s="14" t="n">
        <v>0</v>
      </c>
      <c r="AF293" s="14" t="n">
        <v>0.1854980506725096</v>
      </c>
      <c r="AG293" s="14" t="n">
        <v>0.5882788011886063</v>
      </c>
      <c r="AH293" s="14" t="n"/>
      <c r="AI293" s="14" t="n"/>
      <c r="AJ293" s="14" t="n">
        <v>0.5882788011886063</v>
      </c>
      <c r="AK293" s="14" t="n"/>
      <c r="AL293" s="14" t="n"/>
      <c r="AM293" s="14" t="n"/>
      <c r="AN293" s="14" t="inlineStr">
        <is>
          <t>EVALUATED</t>
        </is>
      </c>
      <c r="AO293" s="14" t="inlineStr">
        <is>
          <t>RECEIVING_VALIDATED_EDGE;BUCKET_PRIOR_ONLY;INTENT_INTERPRETATION_ONLY;FFL_OPTIONAL;EXPERT_MARKET</t>
        </is>
      </c>
      <c r="AP293" s="14" t="inlineStr">
        <is>
          <t>fb02237636d8b4d4bc29</t>
        </is>
      </c>
      <c r="AQ293" s="14" t="n">
        <v>0.5</v>
      </c>
      <c r="AR293" s="14" t="n">
        <v>0.95</v>
      </c>
      <c r="AS293" s="14" t="n">
        <v>-0.5</v>
      </c>
      <c r="AT293" s="14" t="n">
        <v>0.5</v>
      </c>
      <c r="AU293" s="14" t="n">
        <v>0.93</v>
      </c>
      <c r="AV293" s="14" t="n">
        <v>0.95</v>
      </c>
      <c r="AW293" s="14" t="inlineStr">
        <is>
          <t>2026-10-04T09:58:08.993953+08:00</t>
        </is>
      </c>
      <c r="AX293" s="14" t="inlineStr">
        <is>
          <t>Titan007 Next</t>
        </is>
      </c>
      <c r="AY293" s="14" t="inlineStr">
        <is>
          <t>V4 Shadow Only；real_money=false；新增冻结记录</t>
        </is>
      </c>
    </row>
    <row r="294" ht="22" customHeight="1" s="39">
      <c r="A294" s="14" t="inlineStr">
        <is>
          <t>2026-10-04</t>
        </is>
      </c>
      <c r="B294" s="14" t="inlineStr">
        <is>
          <t>2026-10-05 09:00:00</t>
        </is>
      </c>
      <c r="C294" s="14" t="inlineStr">
        <is>
          <t>CLUB_LEAGUE</t>
        </is>
      </c>
      <c r="D294" s="14" t="inlineStr">
        <is>
          <t>联赛</t>
        </is>
      </c>
      <c r="E294" s="14" t="inlineStr">
        <is>
          <t>萨尔超春</t>
        </is>
      </c>
      <c r="F294" s="14" t="inlineStr">
        <is>
          <t>CD法斯 vs 印加阿鲁巴</t>
        </is>
      </c>
      <c r="G294" s="26" t="n">
        <v>0.9</v>
      </c>
      <c r="H294" s="26" t="n">
        <v>-1.5</v>
      </c>
      <c r="I294" s="26" t="n">
        <v>0.86</v>
      </c>
      <c r="J294" s="26" t="inlineStr">
        <is>
          <t>0.9/-1.5/0.86</t>
        </is>
      </c>
      <c r="K294" s="14" t="inlineStr">
        <is>
          <t>V4-B｜EV 0.24978154386832602</t>
        </is>
      </c>
      <c r="L294" s="14" t="inlineStr">
        <is>
          <t>CD法斯</t>
        </is>
      </c>
      <c r="M294" s="47" t="n">
        <v>0.6577797599306979</v>
      </c>
      <c r="N294" s="14" t="inlineStr">
        <is>
          <t>V4纸面入选-B</t>
        </is>
      </c>
      <c r="O294" s="14" t="inlineStr">
        <is>
          <t>0-0</t>
        </is>
      </c>
      <c r="P294" s="14" t="inlineStr">
        <is>
          <t>已结算</t>
        </is>
      </c>
      <c r="Q294" s="14" t="inlineStr">
        <is>
          <t>红半</t>
        </is>
      </c>
      <c r="R294" s="48" t="n">
        <v>0.9</v>
      </c>
      <c r="S294" s="48" t="n">
        <v>0.45</v>
      </c>
      <c r="T294" s="14" t="inlineStr">
        <is>
          <t>D:\codex\v3_legacy\outputs\football_odds_trader\raw\titan007\20261004\20261004_135431_titan007_odds_snapshot.csv</t>
        </is>
      </c>
      <c r="U294" s="14">
        <f>IF(Q294="","",IF(Q294="待结算","待结算",IF(Q294="红","黑",IF(Q294="半红","半黑",IF(Q294="走","走",IF(Q294="半黑","半红","红"))))))</f>
        <v/>
      </c>
      <c r="V294" s="48">
        <f>IF(OR(U294="",U294="待结算"),"",IF(L294=LEFT(F294,FIND(" vs ",F294)-1),I294,G294))</f>
        <v/>
      </c>
      <c r="W294" s="48">
        <f>IF(OR(U294="",U294="待结算"),"",IF(U294="红",V294,IF(U294="半红",V294*0.5,IF(U294="走",0,IF(U294="半黑",-0.5,-1)))))</f>
        <v/>
      </c>
      <c r="X294" s="14" t="inlineStr">
        <is>
          <t>3041936</t>
        </is>
      </c>
      <c r="Y294" s="14" t="inlineStr">
        <is>
          <t>V4</t>
        </is>
      </c>
      <c r="Z294" s="14" t="inlineStr">
        <is>
          <t>prior-2026-10-04-v1</t>
        </is>
      </c>
      <c r="AA294" s="14" t="inlineStr">
        <is>
          <t>B</t>
        </is>
      </c>
      <c r="AB294" s="14" t="n">
        <v>0.6577797599306979</v>
      </c>
      <c r="AC294" s="14" t="n">
        <v>0</v>
      </c>
      <c r="AD294" s="14" t="n">
        <v>0</v>
      </c>
      <c r="AE294" s="14" t="n">
        <v>0</v>
      </c>
      <c r="AF294" s="14" t="n">
        <v>0.3422202400693021</v>
      </c>
      <c r="AG294" s="14" t="n">
        <v>0.249781543868326</v>
      </c>
      <c r="AH294" s="14" t="n"/>
      <c r="AI294" s="14" t="n"/>
      <c r="AJ294" s="14" t="n">
        <v>0.249781543868326</v>
      </c>
      <c r="AK294" s="14" t="n"/>
      <c r="AL294" s="14" t="n"/>
      <c r="AM294" s="14" t="n"/>
      <c r="AN294" s="14" t="inlineStr">
        <is>
          <t>EVALUATED</t>
        </is>
      </c>
      <c r="AO294" s="14" t="inlineStr">
        <is>
          <t>GIVING_VALIDATED_EDGE;BUCKET_PRIOR_ONLY;INTENT_INTERPRETATION_ONLY;FFL_OPTIONAL;EXPERT_MARKET</t>
        </is>
      </c>
      <c r="AP294" s="14" t="inlineStr">
        <is>
          <t>f010ce32ddb51104cab4</t>
        </is>
      </c>
      <c r="AQ294" s="14" t="n">
        <v>-1.5</v>
      </c>
      <c r="AR294" s="14" t="n">
        <v>0.9</v>
      </c>
      <c r="AS294" s="14" t="n">
        <v>-1.5</v>
      </c>
      <c r="AT294" s="14" t="n">
        <v>1.5</v>
      </c>
      <c r="AU294" s="14" t="n">
        <v>0.9</v>
      </c>
      <c r="AV294" s="14" t="n">
        <v>0.86</v>
      </c>
      <c r="AW294" s="14" t="inlineStr">
        <is>
          <t>2026-10-04T09:58:08.993953+08:00</t>
        </is>
      </c>
      <c r="AX294" s="14" t="inlineStr">
        <is>
          <t>Titan007 Next</t>
        </is>
      </c>
      <c r="AY294" s="14" t="inlineStr">
        <is>
          <t>V4 Shadow Only；real_money=false；新增冻结记录</t>
        </is>
      </c>
    </row>
    <row r="295" ht="22" customHeight="1" s="39">
      <c r="A295" s="14" t="inlineStr">
        <is>
          <t>2026-10-04</t>
        </is>
      </c>
      <c r="B295" s="14" t="inlineStr">
        <is>
          <t>2026-10-05 09:00:00</t>
        </is>
      </c>
      <c r="C295" s="14" t="inlineStr">
        <is>
          <t>CLUB_LEAGUE</t>
        </is>
      </c>
      <c r="D295" s="14" t="inlineStr">
        <is>
          <t>联赛</t>
        </is>
      </c>
      <c r="E295" s="14" t="inlineStr">
        <is>
          <t>危地甲春</t>
        </is>
      </c>
      <c r="F295" s="14" t="inlineStr">
        <is>
          <t>齐奥内斯交流会 vs 苏奇特佩基</t>
        </is>
      </c>
      <c r="G295" s="26" t="n">
        <v>0.9399999999999999</v>
      </c>
      <c r="H295" s="26" t="n">
        <v>-1.25</v>
      </c>
      <c r="I295" s="26" t="n">
        <v>0.76</v>
      </c>
      <c r="J295" s="26" t="inlineStr">
        <is>
          <t>0.94/-1.25/0.76</t>
        </is>
      </c>
      <c r="K295" s="14" t="inlineStr">
        <is>
          <t>V4-B｜EV 0.09910413101604681</t>
        </is>
      </c>
      <c r="L295" s="14" t="inlineStr">
        <is>
          <t>齐奥内斯交流会</t>
        </is>
      </c>
      <c r="M295" s="47" t="n">
        <v>0.5019322427789393</v>
      </c>
      <c r="N295" s="14" t="inlineStr">
        <is>
          <t>V4纸面入选-B</t>
        </is>
      </c>
      <c r="O295" s="14" t="inlineStr">
        <is>
          <t>0-0</t>
        </is>
      </c>
      <c r="P295" s="14" t="inlineStr">
        <is>
          <t>已结算</t>
        </is>
      </c>
      <c r="Q295" s="14" t="inlineStr">
        <is>
          <t>红半</t>
        </is>
      </c>
      <c r="R295" s="48" t="n">
        <v>0.9399999999999999</v>
      </c>
      <c r="S295" s="48" t="n">
        <v>0.47</v>
      </c>
      <c r="T295" s="14" t="inlineStr">
        <is>
          <t>D:\codex\v3_legacy\outputs\football_odds_trader\raw\titan007\20261004\20261004_135431_titan007_odds_snapshot.csv</t>
        </is>
      </c>
      <c r="U295" s="14">
        <f>IF(Q295="","",IF(Q295="待结算","待结算",IF(Q295="红","黑",IF(Q295="半红","半黑",IF(Q295="走","走",IF(Q295="半黑","半红","红"))))))</f>
        <v/>
      </c>
      <c r="V295" s="48">
        <f>IF(OR(U295="",U295="待结算"),"",IF(L295=LEFT(F295,FIND(" vs ",F295)-1),I295,G295))</f>
        <v/>
      </c>
      <c r="W295" s="48">
        <f>IF(OR(U295="",U295="待结算"),"",IF(U295="红",V295,IF(U295="半红",V295*0.5,IF(U295="走",0,IF(U295="半黑",-0.5,-1)))))</f>
        <v/>
      </c>
      <c r="X295" s="14" t="inlineStr">
        <is>
          <t>3011295</t>
        </is>
      </c>
      <c r="Y295" s="14" t="inlineStr">
        <is>
          <t>V4</t>
        </is>
      </c>
      <c r="Z295" s="14" t="inlineStr">
        <is>
          <t>prior-2026-10-04-v1</t>
        </is>
      </c>
      <c r="AA295" s="14" t="inlineStr">
        <is>
          <t>B</t>
        </is>
      </c>
      <c r="AB295" s="14" t="n">
        <v>0.5019322427789393</v>
      </c>
      <c r="AC295" s="14" t="n">
        <v>0</v>
      </c>
      <c r="AD295" s="14" t="n">
        <v>0</v>
      </c>
      <c r="AE295" s="14" t="n">
        <v>0.250711160049809</v>
      </c>
      <c r="AF295" s="14" t="n">
        <v>0.2473565971712516</v>
      </c>
      <c r="AG295" s="14" t="n">
        <v>0.09910413101604681</v>
      </c>
      <c r="AH295" s="14" t="n"/>
      <c r="AI295" s="14" t="n"/>
      <c r="AJ295" s="14" t="n">
        <v>0.09910413101604681</v>
      </c>
      <c r="AK295" s="14" t="n"/>
      <c r="AL295" s="14" t="n"/>
      <c r="AM295" s="14" t="n"/>
      <c r="AN295" s="14" t="inlineStr">
        <is>
          <t>EVALUATED</t>
        </is>
      </c>
      <c r="AO295" s="14" t="inlineStr">
        <is>
          <t>GIVING_VALIDATED_EDGE;BUCKET_PRIOR_ONLY;INTENT_INTERPRETATION_ONLY;FFL_OPTIONAL;EXPERT_MARKET</t>
        </is>
      </c>
      <c r="AP295" s="14" t="inlineStr">
        <is>
          <t>ca24c50f8be10f898c48</t>
        </is>
      </c>
      <c r="AQ295" s="14" t="n">
        <v>-1.25</v>
      </c>
      <c r="AR295" s="14" t="n">
        <v>0.9399999999999999</v>
      </c>
      <c r="AS295" s="14" t="n">
        <v>-1.25</v>
      </c>
      <c r="AT295" s="14" t="n">
        <v>1.25</v>
      </c>
      <c r="AU295" s="14" t="n">
        <v>0.9399999999999999</v>
      </c>
      <c r="AV295" s="14" t="n">
        <v>0.76</v>
      </c>
      <c r="AW295" s="14" t="inlineStr">
        <is>
          <t>2026-10-04T09:58:08.993953+08:00</t>
        </is>
      </c>
      <c r="AX295" s="14" t="inlineStr">
        <is>
          <t>Titan007 Next</t>
        </is>
      </c>
      <c r="AY295" s="14" t="inlineStr">
        <is>
          <t>V4 Shadow Only；real_money=false；新增冻结记录</t>
        </is>
      </c>
    </row>
    <row r="296" ht="22" customHeight="1" s="39">
      <c r="A296" s="14" t="inlineStr">
        <is>
          <t>2026-10-04</t>
        </is>
      </c>
      <c r="B296" s="14" t="inlineStr">
        <is>
          <t>2026-10-05 09:15:00</t>
        </is>
      </c>
      <c r="C296" s="14" t="inlineStr">
        <is>
          <t>CLUB_LEAGUE</t>
        </is>
      </c>
      <c r="D296" s="14" t="inlineStr">
        <is>
          <t>联赛</t>
        </is>
      </c>
      <c r="E296" s="14" t="inlineStr">
        <is>
          <t>哥伦甲秋</t>
        </is>
      </c>
      <c r="F296" s="14" t="inlineStr">
        <is>
          <t>拉尼洛斯 vs 卡利美洲</t>
        </is>
      </c>
      <c r="G296" s="26" t="n">
        <v>0.99</v>
      </c>
      <c r="H296" s="26" t="n">
        <v>0.25</v>
      </c>
      <c r="I296" s="26" t="n">
        <v>0.89</v>
      </c>
      <c r="J296" s="26" t="inlineStr">
        <is>
          <t>0.99/0.25/0.89</t>
        </is>
      </c>
      <c r="K296" s="14" t="inlineStr">
        <is>
          <t>V4-B｜EV 0.37558460034552027</t>
        </is>
      </c>
      <c r="L296" s="14" t="inlineStr">
        <is>
          <t>拉尼洛斯</t>
        </is>
      </c>
      <c r="M296" s="47" t="n">
        <v>0.6275249438258195</v>
      </c>
      <c r="N296" s="14" t="inlineStr">
        <is>
          <t>V4纸面入选-B</t>
        </is>
      </c>
      <c r="O296" s="14" t="inlineStr">
        <is>
          <t>0-0</t>
        </is>
      </c>
      <c r="P296" s="14" t="inlineStr">
        <is>
          <t>已结算</t>
        </is>
      </c>
      <c r="Q296" s="14" t="inlineStr">
        <is>
          <t>走</t>
        </is>
      </c>
      <c r="R296" s="48" t="n">
        <v>0.99</v>
      </c>
      <c r="S296" s="48" t="n">
        <v>0</v>
      </c>
      <c r="T296" s="14" t="inlineStr">
        <is>
          <t>D:\codex\v3_legacy\outputs\football_odds_trader\raw\titan007\20261004\20261004_135431_titan007_odds_snapshot.csv</t>
        </is>
      </c>
      <c r="U296" s="14">
        <f>IF(Q296="","",IF(Q296="待结算","待结算",IF(Q296="红","黑",IF(Q296="半红","半黑",IF(Q296="走","走",IF(Q296="半黑","半红","红"))))))</f>
        <v/>
      </c>
      <c r="V296" s="48">
        <f>IF(OR(U296="",U296="待结算"),"",IF(L296=LEFT(F296,FIND(" vs ",F296)-1),I296,G296))</f>
        <v/>
      </c>
      <c r="W296" s="48">
        <f>IF(OR(U296="",U296="待结算"),"",IF(U296="红",V296,IF(U296="半红",V296*0.5,IF(U296="走",0,IF(U296="半黑",-0.5,-1)))))</f>
        <v/>
      </c>
      <c r="X296" s="14" t="inlineStr">
        <is>
          <t>3011885</t>
        </is>
      </c>
      <c r="Y296" s="14" t="inlineStr">
        <is>
          <t>V4</t>
        </is>
      </c>
      <c r="Z296" s="14" t="inlineStr">
        <is>
          <t>prior-2026-10-04-v1</t>
        </is>
      </c>
      <c r="AA296" s="14" t="inlineStr">
        <is>
          <t>B</t>
        </is>
      </c>
      <c r="AB296" s="14" t="n">
        <v>0.5007149816936801</v>
      </c>
      <c r="AC296" s="14" t="n">
        <v>0.2536199242642788</v>
      </c>
      <c r="AD296" s="14" t="n">
        <v>0</v>
      </c>
      <c r="AE296" s="14" t="n">
        <v>0</v>
      </c>
      <c r="AF296" s="14" t="n">
        <v>0.2456650940420411</v>
      </c>
      <c r="AG296" s="14" t="n">
        <v>0.3755846003455203</v>
      </c>
      <c r="AH296" s="14" t="n"/>
      <c r="AI296" s="14" t="n"/>
      <c r="AJ296" s="14" t="n">
        <v>0.3755846003455203</v>
      </c>
      <c r="AK296" s="14" t="n"/>
      <c r="AL296" s="14" t="n"/>
      <c r="AM296" s="14" t="n"/>
      <c r="AN296" s="14" t="inlineStr">
        <is>
          <t>EVALUATED</t>
        </is>
      </c>
      <c r="AO296" s="14" t="inlineStr">
        <is>
          <t>RECEIVING_VALIDATED_EDGE;BUCKET_PRIOR_ONLY;INTENT_INTERPRETATION_ONLY;FFL_OPTIONAL;EXPERT_MARKET</t>
        </is>
      </c>
      <c r="AP296" s="14" t="inlineStr">
        <is>
          <t>d14c988b602aaee4bd7f</t>
        </is>
      </c>
      <c r="AQ296" s="14" t="n">
        <v>0.25</v>
      </c>
      <c r="AR296" s="14" t="n">
        <v>0.99</v>
      </c>
      <c r="AS296" s="14" t="n">
        <v>-0.25</v>
      </c>
      <c r="AT296" s="14" t="n">
        <v>0.25</v>
      </c>
      <c r="AU296" s="14" t="n">
        <v>0.89</v>
      </c>
      <c r="AV296" s="14" t="n">
        <v>0.99</v>
      </c>
      <c r="AW296" s="14" t="inlineStr">
        <is>
          <t>2026-10-04T09:58:08.993953+08:00</t>
        </is>
      </c>
      <c r="AX296" s="14" t="inlineStr">
        <is>
          <t>Titan007 Next</t>
        </is>
      </c>
      <c r="AY296" s="14" t="inlineStr">
        <is>
          <t>V4 Shadow Only；real_money=false；新增冻结记录</t>
        </is>
      </c>
    </row>
    <row r="297" ht="22" customHeight="1" s="39">
      <c r="A297" s="14" t="inlineStr">
        <is>
          <t>2026-10-04</t>
        </is>
      </c>
      <c r="B297" s="14" t="inlineStr">
        <is>
          <t>2026-10-05 10:00:00</t>
        </is>
      </c>
      <c r="C297" s="14" t="inlineStr">
        <is>
          <t>NATIONAL_OFFICIAL</t>
        </is>
      </c>
      <c r="D297" s="14" t="inlineStr">
        <is>
          <t>联赛</t>
        </is>
      </c>
      <c r="E297" s="14" t="inlineStr">
        <is>
          <t>中北美国联</t>
        </is>
      </c>
      <c r="F297" s="14" t="inlineStr">
        <is>
          <t>尼加拉瓜 vs 多米尼加共和国</t>
        </is>
      </c>
      <c r="G297" s="26" t="n">
        <v>0.7</v>
      </c>
      <c r="H297" s="26" t="n">
        <v>1</v>
      </c>
      <c r="I297" s="26" t="n">
        <v>1.06</v>
      </c>
      <c r="J297" s="26" t="inlineStr">
        <is>
          <t>0.7/1.0/1.06</t>
        </is>
      </c>
      <c r="K297" s="14" t="inlineStr">
        <is>
          <t>V4-B｜EV 0.5720832039645225</t>
        </is>
      </c>
      <c r="L297" s="14" t="inlineStr">
        <is>
          <t>尼加拉瓜</t>
        </is>
      </c>
      <c r="M297" s="47" t="n">
        <v>0.8682164241551845</v>
      </c>
      <c r="N297" s="14" t="inlineStr">
        <is>
          <t>V4纸面入选-B</t>
        </is>
      </c>
      <c r="O297" s="14" t="inlineStr">
        <is>
          <t>0-0</t>
        </is>
      </c>
      <c r="P297" s="14" t="inlineStr">
        <is>
          <t>已结算</t>
        </is>
      </c>
      <c r="Q297" s="14" t="inlineStr">
        <is>
          <t>红半</t>
        </is>
      </c>
      <c r="R297" s="48" t="n">
        <v>0.7</v>
      </c>
      <c r="S297" s="48" t="n">
        <v>0.35</v>
      </c>
      <c r="T297" s="14" t="inlineStr">
        <is>
          <t>D:\codex\v3_legacy\outputs\football_odds_trader\raw\titan007\20261004\20261004_135431_titan007_odds_snapshot.csv</t>
        </is>
      </c>
      <c r="U297" s="14">
        <f>IF(Q297="","",IF(Q297="待结算","待结算",IF(Q297="红","黑",IF(Q297="半红","半黑",IF(Q297="走","走",IF(Q297="半黑","半红","红"))))))</f>
        <v/>
      </c>
      <c r="V297" s="48">
        <f>IF(OR(U297="",U297="待结算"),"",IF(L297=LEFT(F297,FIND(" vs ",F297)-1),I297,G297))</f>
        <v/>
      </c>
      <c r="W297" s="48">
        <f>IF(OR(U297="",U297="待结算"),"",IF(U297="红",V297,IF(U297="半红",V297*0.5,IF(U297="走",0,IF(U297="半黑",-0.5,-1)))))</f>
        <v/>
      </c>
      <c r="X297" s="14" t="inlineStr">
        <is>
          <t>3092435</t>
        </is>
      </c>
      <c r="Y297" s="14" t="inlineStr">
        <is>
          <t>V4</t>
        </is>
      </c>
      <c r="Z297" s="14" t="inlineStr">
        <is>
          <t>prior-2026-10-04-v1</t>
        </is>
      </c>
      <c r="AA297" s="14" t="inlineStr">
        <is>
          <t>B</t>
        </is>
      </c>
      <c r="AB297" s="14" t="n">
        <v>0.8682164241551845</v>
      </c>
      <c r="AC297" s="14" t="n">
        <v>0</v>
      </c>
      <c r="AD297" s="14" t="n">
        <v>0.09611528290070877</v>
      </c>
      <c r="AE297" s="14" t="n">
        <v>0</v>
      </c>
      <c r="AF297" s="14" t="n">
        <v>0.03566829294410667</v>
      </c>
      <c r="AG297" s="14" t="n">
        <v>0.5720832039645225</v>
      </c>
      <c r="AH297" s="14" t="n"/>
      <c r="AI297" s="14" t="n"/>
      <c r="AJ297" s="14" t="n">
        <v>0.5720832039645225</v>
      </c>
      <c r="AK297" s="14" t="n"/>
      <c r="AL297" s="14" t="n"/>
      <c r="AM297" s="14" t="n"/>
      <c r="AN297" s="14" t="inlineStr">
        <is>
          <t>EVALUATED</t>
        </is>
      </c>
      <c r="AO297" s="14" t="inlineStr">
        <is>
          <t>RECEIVING_VALIDATED_EDGE;BUCKET_PRIOR_ONLY;INTENT_INTERPRETATION_ONLY;FFL_OPTIONAL;EXPERT_MARKET</t>
        </is>
      </c>
      <c r="AP297" s="14" t="inlineStr">
        <is>
          <t>69917c36929ab152e6d5</t>
        </is>
      </c>
      <c r="AQ297" s="14" t="n">
        <v>1</v>
      </c>
      <c r="AR297" s="14" t="n">
        <v>0.7</v>
      </c>
      <c r="AS297" s="14" t="n">
        <v>-1</v>
      </c>
      <c r="AT297" s="14" t="n">
        <v>1</v>
      </c>
      <c r="AU297" s="14" t="n">
        <v>1.06</v>
      </c>
      <c r="AV297" s="14" t="n">
        <v>0.7</v>
      </c>
      <c r="AW297" s="14" t="inlineStr">
        <is>
          <t>2026-10-04T09:58:08.993953+08:00</t>
        </is>
      </c>
      <c r="AX297" s="14" t="inlineStr">
        <is>
          <t>Titan007 Next</t>
        </is>
      </c>
      <c r="AY297" s="14" t="inlineStr">
        <is>
          <t>V4 Shadow Only；real_money=false；新增冻结记录</t>
        </is>
      </c>
    </row>
    <row r="298" ht="22" customHeight="1" s="39">
      <c r="A298" s="14" t="inlineStr">
        <is>
          <t>2026-10-05</t>
        </is>
      </c>
      <c r="B298" s="14" t="inlineStr">
        <is>
          <t>2026-10-05T22:30:00+08:00</t>
        </is>
      </c>
      <c r="C298" s="14" t="n"/>
      <c r="D298" s="14" t="n"/>
      <c r="E298" s="14" t="inlineStr">
        <is>
          <t>欧青U21外</t>
        </is>
      </c>
      <c r="F298" s="14" t="inlineStr">
        <is>
          <t>黑山U21 vs 亚美尼亚U21</t>
        </is>
      </c>
      <c r="G298" s="26" t="n">
        <v>0.87</v>
      </c>
      <c r="H298" s="26" t="n">
        <v>1.25</v>
      </c>
      <c r="I298" s="26" t="n">
        <v>0.95</v>
      </c>
      <c r="J298" s="26" t="inlineStr">
        <is>
          <t>0.87/1.25/0.95</t>
        </is>
      </c>
      <c r="K298" s="14" t="inlineStr">
        <is>
          <t>V4-C</t>
        </is>
      </c>
      <c r="L298" s="14" t="inlineStr">
        <is>
          <t>黑山U21</t>
        </is>
      </c>
      <c r="M298" s="47" t="n">
        <v>0.5850952080141414</v>
      </c>
      <c r="N298" s="14" t="inlineStr">
        <is>
          <t>V4 Shadow Only；real_money=false</t>
        </is>
      </c>
      <c r="O298" s="14" t="inlineStr">
        <is>
          <t>1-1</t>
        </is>
      </c>
      <c r="P298" s="14" t="inlineStr">
        <is>
          <t>已结算</t>
        </is>
      </c>
      <c r="Q298" s="14" t="inlineStr">
        <is>
          <t>黑</t>
        </is>
      </c>
      <c r="R298" s="48" t="n">
        <v>0.87</v>
      </c>
      <c r="S298" s="48" t="n">
        <v>-1</v>
      </c>
      <c r="T298" s="14" t="inlineStr">
        <is>
          <t>D:\codex\outputs\football_odds_trader\decision_versions\2026-10-05\RUN_20261005_094642\slate_raw.csv</t>
        </is>
      </c>
      <c r="U298" s="14" t="n"/>
      <c r="V298" s="48" t="n"/>
      <c r="W298" s="48" t="n"/>
      <c r="X298" s="14" t="inlineStr">
        <is>
          <t>2781318</t>
        </is>
      </c>
      <c r="Y298" s="14" t="inlineStr">
        <is>
          <t>V4</t>
        </is>
      </c>
      <c r="Z298" s="14" t="inlineStr">
        <is>
          <t>prior-2026-10-05-v1</t>
        </is>
      </c>
      <c r="AA298" s="14" t="inlineStr">
        <is>
          <t>C</t>
        </is>
      </c>
      <c r="AB298" s="14" t="n">
        <v>0.5850952080141414</v>
      </c>
      <c r="AC298" s="14" t="n">
        <v>0.2973772413034433</v>
      </c>
      <c r="AD298" s="14" t="n">
        <v>2</v>
      </c>
      <c r="AE298" s="14" t="n"/>
      <c r="AF298" s="14" t="n"/>
      <c r="AG298" s="14" t="n">
        <v>0.2116555896688597</v>
      </c>
      <c r="AH298" s="14" t="n"/>
      <c r="AI298" s="14" t="n"/>
      <c r="AJ298" s="14" t="n">
        <v>0.2116555896688597</v>
      </c>
      <c r="AK298" s="14" t="n"/>
      <c r="AL298" s="14" t="n"/>
      <c r="AM298" s="14" t="inlineStr">
        <is>
          <t>EVALUATED</t>
        </is>
      </c>
      <c r="AN298" s="14" t="inlineStr">
        <is>
          <t>GIVING_VALIDATED_EDGE;BUCKET_PRIOR_ONLY;INTENT_INTERPRETATION_ONLY;FFL_OPTIONAL;EXPERT_MARKET</t>
        </is>
      </c>
      <c r="AO298" s="14" t="inlineStr">
        <is>
          <t>1e0f62c0ed00aa7fd2ca</t>
        </is>
      </c>
      <c r="AP298" s="14" t="n">
        <v>-1.25</v>
      </c>
      <c r="AQ298" s="14" t="n">
        <v>0.87</v>
      </c>
      <c r="AR298" s="14" t="n">
        <v>1.25</v>
      </c>
      <c r="AS298" s="14" t="n">
        <v>-1.25</v>
      </c>
      <c r="AT298" s="14" t="n">
        <v>0.87</v>
      </c>
      <c r="AU298" s="14" t="n">
        <v>0.95</v>
      </c>
      <c r="AV298" s="14" t="inlineStr">
        <is>
          <t>2026-10-05T09:47:42.381506+08:00</t>
        </is>
      </c>
      <c r="AW298" s="14" t="inlineStr">
        <is>
          <t>Titan007/V4</t>
        </is>
      </c>
      <c r="AX298" s="14" t="inlineStr">
        <is>
          <t>Daily append；市场输入缺失时不生成决策</t>
        </is>
      </c>
      <c r="AY298" s="14" t="n"/>
    </row>
    <row r="299" ht="22" customHeight="1" s="39">
      <c r="A299" s="14" t="inlineStr">
        <is>
          <t>2026-10-05</t>
        </is>
      </c>
      <c r="B299" s="14" t="inlineStr">
        <is>
          <t>2026-10-06T00:15:00+08:00</t>
        </is>
      </c>
      <c r="C299" s="14" t="n"/>
      <c r="D299" s="14" t="n"/>
      <c r="E299" s="14" t="inlineStr">
        <is>
          <t>欧青U21外</t>
        </is>
      </c>
      <c r="F299" s="14" t="inlineStr">
        <is>
          <t>意大利U21 vs 波兰U21</t>
        </is>
      </c>
      <c r="G299" s="26" t="n">
        <v>0.84</v>
      </c>
      <c r="H299" s="26" t="n">
        <v>0.5</v>
      </c>
      <c r="I299" s="26" t="n">
        <v>0.98</v>
      </c>
      <c r="J299" s="26" t="inlineStr">
        <is>
          <t>0.84/0.5/0.98</t>
        </is>
      </c>
      <c r="K299" s="14" t="inlineStr">
        <is>
          <t>V4-C</t>
        </is>
      </c>
      <c r="L299" s="14" t="inlineStr">
        <is>
          <t>意大利U21</t>
        </is>
      </c>
      <c r="M299" s="47" t="n">
        <v>0.5878193179574905</v>
      </c>
      <c r="N299" s="14" t="inlineStr">
        <is>
          <t>V4 Shadow Only；real_money=false</t>
        </is>
      </c>
      <c r="O299" s="14" t="inlineStr">
        <is>
          <t>6-2</t>
        </is>
      </c>
      <c r="P299" s="14" t="inlineStr">
        <is>
          <t>已结算</t>
        </is>
      </c>
      <c r="Q299" s="14" t="inlineStr">
        <is>
          <t>红</t>
        </is>
      </c>
      <c r="R299" s="48" t="n">
        <v>0.84</v>
      </c>
      <c r="S299" s="48" t="n">
        <v>0.84</v>
      </c>
      <c r="T299" s="14" t="inlineStr">
        <is>
          <t>D:\codex\outputs\football_odds_trader\decision_versions\2026-10-05\RUN_20261005_094642\slate_raw.csv</t>
        </is>
      </c>
      <c r="U299" s="14" t="n"/>
      <c r="V299" s="48" t="n"/>
      <c r="W299" s="48" t="n"/>
      <c r="X299" s="14" t="inlineStr">
        <is>
          <t>2781319</t>
        </is>
      </c>
      <c r="Y299" s="14" t="inlineStr">
        <is>
          <t>V4</t>
        </is>
      </c>
      <c r="Z299" s="14" t="inlineStr">
        <is>
          <t>prior-2026-10-05-v1</t>
        </is>
      </c>
      <c r="AA299" s="14" t="inlineStr">
        <is>
          <t>C</t>
        </is>
      </c>
      <c r="AB299" s="14" t="n">
        <v>0.5878193179574905</v>
      </c>
      <c r="AC299" s="14" t="n">
        <v>0.4121806820425095</v>
      </c>
      <c r="AD299" s="14" t="n">
        <v>1</v>
      </c>
      <c r="AE299" s="14" t="n"/>
      <c r="AF299" s="14" t="n"/>
      <c r="AG299" s="14" t="n">
        <v>0.08158754504178251</v>
      </c>
      <c r="AH299" s="14" t="n"/>
      <c r="AI299" s="14" t="n"/>
      <c r="AJ299" s="14" t="n">
        <v>0.08158754504178251</v>
      </c>
      <c r="AK299" s="14" t="n"/>
      <c r="AL299" s="14" t="n"/>
      <c r="AM299" s="14" t="inlineStr">
        <is>
          <t>EVALUATED</t>
        </is>
      </c>
      <c r="AN299" s="14" t="inlineStr">
        <is>
          <t>GIVING_VALIDATED_EDGE;BUCKET_PRIOR_ONLY;INTENT_INTERPRETATION_ONLY;FFL_OPTIONAL;EXPERT_MARKET</t>
        </is>
      </c>
      <c r="AO299" s="14" t="inlineStr">
        <is>
          <t>3839d11c92ccc3ffe119</t>
        </is>
      </c>
      <c r="AP299" s="14" t="n">
        <v>-0.5</v>
      </c>
      <c r="AQ299" s="14" t="n">
        <v>0.84</v>
      </c>
      <c r="AR299" s="14" t="n">
        <v>0.5</v>
      </c>
      <c r="AS299" s="14" t="n">
        <v>-0.5</v>
      </c>
      <c r="AT299" s="14" t="n">
        <v>0.84</v>
      </c>
      <c r="AU299" s="14" t="n">
        <v>0.98</v>
      </c>
      <c r="AV299" s="14" t="inlineStr">
        <is>
          <t>2026-10-05T09:47:42.381506+08:00</t>
        </is>
      </c>
      <c r="AW299" s="14" t="inlineStr">
        <is>
          <t>Titan007/V4</t>
        </is>
      </c>
      <c r="AX299" s="14" t="inlineStr">
        <is>
          <t>Daily append；市场输入缺失时不生成决策</t>
        </is>
      </c>
      <c r="AY299" s="14" t="n"/>
    </row>
    <row r="300" ht="22" customHeight="1" s="39">
      <c r="A300" s="14" t="inlineStr">
        <is>
          <t>2026-10-05</t>
        </is>
      </c>
      <c r="B300" s="14" t="inlineStr">
        <is>
          <t>2026-10-06T00:30:00+08:00</t>
        </is>
      </c>
      <c r="C300" s="14" t="n"/>
      <c r="D300" s="14" t="n"/>
      <c r="E300" s="14" t="inlineStr">
        <is>
          <t>欧青U21外</t>
        </is>
      </c>
      <c r="F300" s="14" t="inlineStr">
        <is>
          <t>瑞典U21 vs 北马其顿U21</t>
        </is>
      </c>
      <c r="G300" s="26" t="n">
        <v>0.87</v>
      </c>
      <c r="H300" s="26" t="n">
        <v>1.5</v>
      </c>
      <c r="I300" s="26" t="n">
        <v>0.95</v>
      </c>
      <c r="J300" s="26" t="inlineStr">
        <is>
          <t>0.87/1.5/0.95</t>
        </is>
      </c>
      <c r="K300" s="14" t="inlineStr">
        <is>
          <t>V4-C</t>
        </is>
      </c>
      <c r="L300" s="14" t="inlineStr">
        <is>
          <t>瑞典U21</t>
        </is>
      </c>
      <c r="M300" s="47" t="n">
        <v>0.6643696907781583</v>
      </c>
      <c r="N300" s="14" t="inlineStr">
        <is>
          <t>V4 Shadow Only；real_money=false</t>
        </is>
      </c>
      <c r="O300" s="14" t="inlineStr">
        <is>
          <t>2-0</t>
        </is>
      </c>
      <c r="P300" s="14" t="inlineStr">
        <is>
          <t>已结算</t>
        </is>
      </c>
      <c r="Q300" s="14" t="inlineStr">
        <is>
          <t>红</t>
        </is>
      </c>
      <c r="R300" s="48" t="n">
        <v>0.87</v>
      </c>
      <c r="S300" s="48" t="n">
        <v>0.87</v>
      </c>
      <c r="T300" s="14" t="inlineStr">
        <is>
          <t>D:\codex\outputs\football_odds_trader\decision_versions\2026-10-05\RUN_20261005_094642\slate_raw.csv</t>
        </is>
      </c>
      <c r="U300" s="14" t="n"/>
      <c r="V300" s="48" t="n"/>
      <c r="W300" s="48" t="n"/>
      <c r="X300" s="14" t="inlineStr">
        <is>
          <t>2781320</t>
        </is>
      </c>
      <c r="Y300" s="14" t="inlineStr">
        <is>
          <t>V4</t>
        </is>
      </c>
      <c r="Z300" s="14" t="inlineStr">
        <is>
          <t>prior-2026-10-05-v1</t>
        </is>
      </c>
      <c r="AA300" s="14" t="inlineStr">
        <is>
          <t>C</t>
        </is>
      </c>
      <c r="AB300" s="14" t="n">
        <v>0.6643696907781583</v>
      </c>
      <c r="AC300" s="14" t="n">
        <v>0.3356303092218417</v>
      </c>
      <c r="AD300" s="14" t="n">
        <v>2.25</v>
      </c>
      <c r="AE300" s="14" t="n"/>
      <c r="AF300" s="14" t="n"/>
      <c r="AG300" s="14" t="n">
        <v>0.2423713217551561</v>
      </c>
      <c r="AH300" s="14" t="n"/>
      <c r="AI300" s="14" t="n"/>
      <c r="AJ300" s="14" t="n">
        <v>0.2423713217551561</v>
      </c>
      <c r="AK300" s="14" t="n"/>
      <c r="AL300" s="14" t="n"/>
      <c r="AM300" s="14" t="inlineStr">
        <is>
          <t>EVALUATED</t>
        </is>
      </c>
      <c r="AN300" s="14" t="inlineStr">
        <is>
          <t>GIVING_VALIDATED_EDGE;BUCKET_PRIOR_ONLY;INTENT_INTERPRETATION_ONLY;FFL_OPTIONAL;EXPERT_MARKET</t>
        </is>
      </c>
      <c r="AO300" s="14" t="inlineStr">
        <is>
          <t>530ae9208e7788fab034</t>
        </is>
      </c>
      <c r="AP300" s="14" t="n">
        <v>-1.5</v>
      </c>
      <c r="AQ300" s="14" t="n">
        <v>0.87</v>
      </c>
      <c r="AR300" s="14" t="n">
        <v>1.5</v>
      </c>
      <c r="AS300" s="14" t="n">
        <v>-1.5</v>
      </c>
      <c r="AT300" s="14" t="n">
        <v>0.87</v>
      </c>
      <c r="AU300" s="14" t="n">
        <v>0.95</v>
      </c>
      <c r="AV300" s="14" t="inlineStr">
        <is>
          <t>2026-10-05T09:47:42.381506+08:00</t>
        </is>
      </c>
      <c r="AW300" s="14" t="inlineStr">
        <is>
          <t>Titan007/V4</t>
        </is>
      </c>
      <c r="AX300" s="14" t="inlineStr">
        <is>
          <t>Daily append；市场输入缺失时不生成决策</t>
        </is>
      </c>
      <c r="AY300" s="14" t="n"/>
    </row>
    <row r="301" ht="22" customHeight="1" s="39">
      <c r="A301" s="14" t="inlineStr">
        <is>
          <t>2026-10-05</t>
        </is>
      </c>
      <c r="B301" s="14" t="inlineStr">
        <is>
          <t>2026-10-06T01:00:00+08:00</t>
        </is>
      </c>
      <c r="C301" s="14" t="inlineStr">
        <is>
          <t>CLUB_LEAGUE</t>
        </is>
      </c>
      <c r="D301" s="14" t="n"/>
      <c r="E301" s="14" t="inlineStr">
        <is>
          <t>挪甲</t>
        </is>
      </c>
      <c r="F301" s="14" t="inlineStr">
        <is>
          <t>莫斯 vs 康斯文格</t>
        </is>
      </c>
      <c r="G301" s="26" t="n">
        <v>0.97</v>
      </c>
      <c r="H301" s="26" t="n">
        <v>-0.75</v>
      </c>
      <c r="I301" s="26" t="n">
        <v>0.79</v>
      </c>
      <c r="J301" s="26" t="inlineStr">
        <is>
          <t>0.97/-0.75/0.79</t>
        </is>
      </c>
      <c r="K301" s="14" t="inlineStr">
        <is>
          <t>V4-B</t>
        </is>
      </c>
      <c r="L301" s="14" t="inlineStr">
        <is>
          <t>莫斯</t>
        </is>
      </c>
      <c r="M301" s="47" t="n">
        <v>0.1170177015549882</v>
      </c>
      <c r="N301" s="14" t="inlineStr">
        <is>
          <t>V4 Shadow Only；real_money=false</t>
        </is>
      </c>
      <c r="O301" s="14" t="inlineStr">
        <is>
          <t>0-2</t>
        </is>
      </c>
      <c r="P301" s="14" t="inlineStr">
        <is>
          <t>已结算</t>
        </is>
      </c>
      <c r="Q301" s="14" t="inlineStr">
        <is>
          <t>黑</t>
        </is>
      </c>
      <c r="R301" s="48" t="n">
        <v>0.97</v>
      </c>
      <c r="S301" s="48" t="n">
        <v>-1</v>
      </c>
      <c r="T301" s="14" t="inlineStr">
        <is>
          <t>D:\codex\outputs\football_odds_trader\decision_versions\2026-10-05\RUN_20261005_094642\slate_raw.csv</t>
        </is>
      </c>
      <c r="U301" s="14" t="n"/>
      <c r="V301" s="48" t="n"/>
      <c r="W301" s="48" t="n"/>
      <c r="X301" s="14" t="inlineStr">
        <is>
          <t>2913157</t>
        </is>
      </c>
      <c r="Y301" s="14" t="inlineStr">
        <is>
          <t>V4</t>
        </is>
      </c>
      <c r="Z301" s="14" t="inlineStr">
        <is>
          <t>prior-2026-10-05-v1</t>
        </is>
      </c>
      <c r="AA301" s="14" t="inlineStr">
        <is>
          <t>B</t>
        </is>
      </c>
      <c r="AB301" s="14" t="n">
        <v>0.1170177015549882</v>
      </c>
      <c r="AC301" s="14" t="n">
        <v>0.8223300407325251</v>
      </c>
      <c r="AD301" s="14" t="n">
        <v>-1</v>
      </c>
      <c r="AE301" s="14" t="n">
        <v>0</v>
      </c>
      <c r="AF301" s="14" t="n">
        <v>0</v>
      </c>
      <c r="AG301" s="14" t="n">
        <v>0.6806424379555611</v>
      </c>
      <c r="AH301" s="14" t="n"/>
      <c r="AI301" s="14" t="n"/>
      <c r="AJ301" s="14" t="n">
        <v>0.6806424379555611</v>
      </c>
      <c r="AK301" s="14" t="n"/>
      <c r="AL301" s="14" t="n"/>
      <c r="AM301" s="14" t="inlineStr">
        <is>
          <t>EVALUATED</t>
        </is>
      </c>
      <c r="AN301" s="14" t="inlineStr">
        <is>
          <t>RECEIVING_VALIDATED_EDGE;BUCKET_PRIOR_ONLY;INTENT_INTERPRETATION_ONLY;FFL_OPTIONAL;EXPERT_MARKET</t>
        </is>
      </c>
      <c r="AO301" s="14" t="inlineStr">
        <is>
          <t>8e9bdfec0b2255fd0b30</t>
        </is>
      </c>
      <c r="AP301" s="14" t="n">
        <v>0.75</v>
      </c>
      <c r="AQ301" s="14" t="n">
        <v>0.97</v>
      </c>
      <c r="AR301" s="14" t="n">
        <v>-0.75</v>
      </c>
      <c r="AS301" s="14" t="n">
        <v>0.75</v>
      </c>
      <c r="AT301" s="14" t="n">
        <v>0.97</v>
      </c>
      <c r="AU301" s="14" t="n">
        <v>0.79</v>
      </c>
      <c r="AV301" s="14" t="inlineStr">
        <is>
          <t>2026-10-05T09:47:42.381506+08:00</t>
        </is>
      </c>
      <c r="AW301" s="14" t="inlineStr">
        <is>
          <t>Titan007/V4</t>
        </is>
      </c>
      <c r="AX301" s="14" t="inlineStr">
        <is>
          <t>Daily append；市场输入缺失时不生成决策</t>
        </is>
      </c>
      <c r="AY301" s="14" t="n"/>
    </row>
    <row r="302" ht="22" customHeight="1" s="39">
      <c r="A302" s="14" t="inlineStr">
        <is>
          <t>2026-10-05</t>
        </is>
      </c>
      <c r="B302" s="14" t="inlineStr">
        <is>
          <t>2026-10-06T04:00:00+08:00</t>
        </is>
      </c>
      <c r="C302" s="14" t="inlineStr">
        <is>
          <t>CLUB_LEAGUE</t>
        </is>
      </c>
      <c r="D302" s="14" t="n"/>
      <c r="E302" s="14" t="inlineStr">
        <is>
          <t>阿乙</t>
        </is>
      </c>
      <c r="F302" s="14" t="inlineStr">
        <is>
          <t>新芝加哥 vs 迈普</t>
        </is>
      </c>
      <c r="G302" s="26" t="n">
        <v>0.84</v>
      </c>
      <c r="H302" s="26" t="n">
        <v>0.25</v>
      </c>
      <c r="I302" s="26" t="n">
        <v>0.92</v>
      </c>
      <c r="J302" s="26" t="inlineStr">
        <is>
          <t>0.84/0.25/0.92</t>
        </is>
      </c>
      <c r="K302" s="14" t="inlineStr">
        <is>
          <t>V4-B</t>
        </is>
      </c>
      <c r="L302" s="14" t="inlineStr">
        <is>
          <t>新芝加哥</t>
        </is>
      </c>
      <c r="M302" s="47" t="n">
        <v>0.5135254369198403</v>
      </c>
      <c r="N302" s="14" t="inlineStr">
        <is>
          <t>V4 Shadow Only；real_money=false</t>
        </is>
      </c>
      <c r="O302" s="14" t="inlineStr">
        <is>
          <t>0-1</t>
        </is>
      </c>
      <c r="P302" s="14" t="inlineStr">
        <is>
          <t>已结算</t>
        </is>
      </c>
      <c r="Q302" s="14" t="inlineStr">
        <is>
          <t>黑</t>
        </is>
      </c>
      <c r="R302" s="48" t="n">
        <v>0.84</v>
      </c>
      <c r="S302" s="48" t="n">
        <v>-1</v>
      </c>
      <c r="T302" s="14" t="inlineStr">
        <is>
          <t>D:\codex\outputs\football_odds_trader\decision_versions\2026-10-05\RUN_20261005_094642\slate_raw.csv</t>
        </is>
      </c>
      <c r="U302" s="14" t="n"/>
      <c r="V302" s="48" t="n"/>
      <c r="W302" s="48" t="n"/>
      <c r="X302" s="14" t="inlineStr">
        <is>
          <t>2916728</t>
        </is>
      </c>
      <c r="Y302" s="14" t="inlineStr">
        <is>
          <t>V4</t>
        </is>
      </c>
      <c r="Z302" s="14" t="inlineStr">
        <is>
          <t>prior-2026-10-05-v1</t>
        </is>
      </c>
      <c r="AA302" s="14" t="inlineStr">
        <is>
          <t>B</t>
        </is>
      </c>
      <c r="AB302" s="14" t="n">
        <v>0.5135254369198403</v>
      </c>
      <c r="AC302" s="14" t="n">
        <v>0.3600576884568972</v>
      </c>
      <c r="AD302" s="14" t="n">
        <v>0.5</v>
      </c>
      <c r="AE302" s="14" t="n"/>
      <c r="AF302" s="14" t="n"/>
      <c r="AG302" s="14" t="n">
        <v>0.07130367855576863</v>
      </c>
      <c r="AH302" s="14" t="n"/>
      <c r="AI302" s="14" t="n"/>
      <c r="AJ302" s="14" t="n">
        <v>0.07130367855576863</v>
      </c>
      <c r="AK302" s="14" t="n"/>
      <c r="AL302" s="14" t="n"/>
      <c r="AM302" s="14" t="inlineStr">
        <is>
          <t>EVALUATED</t>
        </is>
      </c>
      <c r="AN302" s="14" t="inlineStr">
        <is>
          <t>GIVING_VALIDATED_EDGE;BUCKET_PRIOR_ONLY;INTENT_INTERPRETATION_ONLY;FFL_OPTIONAL;EXPERT_MARKET</t>
        </is>
      </c>
      <c r="AO302" s="14" t="inlineStr">
        <is>
          <t>b2d7ccbb94f316bf32ce</t>
        </is>
      </c>
      <c r="AP302" s="14" t="n">
        <v>-0.25</v>
      </c>
      <c r="AQ302" s="14" t="n">
        <v>0.84</v>
      </c>
      <c r="AR302" s="14" t="n">
        <v>0.25</v>
      </c>
      <c r="AS302" s="14" t="n">
        <v>-0.25</v>
      </c>
      <c r="AT302" s="14" t="n">
        <v>0.84</v>
      </c>
      <c r="AU302" s="14" t="n">
        <v>0.92</v>
      </c>
      <c r="AV302" s="14" t="inlineStr">
        <is>
          <t>2026-10-05T09:47:42.381506+08:00</t>
        </is>
      </c>
      <c r="AW302" s="14" t="inlineStr">
        <is>
          <t>Titan007/V4</t>
        </is>
      </c>
      <c r="AX302" s="14" t="inlineStr">
        <is>
          <t>Daily append；市场输入缺失时不生成决策</t>
        </is>
      </c>
      <c r="AY302" s="14" t="n"/>
    </row>
    <row r="303" ht="22" customHeight="1" s="39">
      <c r="A303" s="14" t="inlineStr">
        <is>
          <t>2026-10-05</t>
        </is>
      </c>
      <c r="B303" s="14" t="inlineStr">
        <is>
          <t>2026-10-06T02:00:00+08:00</t>
        </is>
      </c>
      <c r="C303" s="14" t="inlineStr">
        <is>
          <t>CLUB_LEAGUE</t>
        </is>
      </c>
      <c r="D303" s="14" t="n"/>
      <c r="E303" s="14" t="inlineStr">
        <is>
          <t>阿乙曼特秋</t>
        </is>
      </c>
      <c r="F303" s="14" t="inlineStr">
        <is>
          <t>乌尔基萨大学 vs 意杜萨高</t>
        </is>
      </c>
      <c r="G303" s="26" t="n">
        <v>0.85</v>
      </c>
      <c r="H303" s="26" t="n">
        <v>0.75</v>
      </c>
      <c r="I303" s="26" t="n">
        <v>0.85</v>
      </c>
      <c r="J303" s="26" t="inlineStr">
        <is>
          <t>0.85/0.75/0.85</t>
        </is>
      </c>
      <c r="K303" s="14" t="inlineStr">
        <is>
          <t>V4-B</t>
        </is>
      </c>
      <c r="L303" s="14" t="inlineStr">
        <is>
          <t>乌尔基萨大学</t>
        </is>
      </c>
      <c r="M303" s="47" t="n">
        <v>0.5717178420197583</v>
      </c>
      <c r="N303" s="14" t="inlineStr">
        <is>
          <t>V4 Shadow Only；real_money=false</t>
        </is>
      </c>
      <c r="O303" s="14" t="inlineStr">
        <is>
          <t>3-2</t>
        </is>
      </c>
      <c r="P303" s="14" t="inlineStr">
        <is>
          <t>已结算</t>
        </is>
      </c>
      <c r="Q303" s="14" t="inlineStr">
        <is>
          <t>半红</t>
        </is>
      </c>
      <c r="R303" s="48" t="n">
        <v>0.85</v>
      </c>
      <c r="S303" s="48" t="n">
        <v>0.425</v>
      </c>
      <c r="T303" s="14" t="inlineStr">
        <is>
          <t>D:\codex\outputs\football_odds_trader\decision_versions\2026-10-05\RUN_20261005_094642\slate_raw.csv</t>
        </is>
      </c>
      <c r="U303" s="14" t="n"/>
      <c r="V303" s="48" t="n"/>
      <c r="W303" s="48" t="n"/>
      <c r="X303" s="14" t="inlineStr">
        <is>
          <t>2934835</t>
        </is>
      </c>
      <c r="Y303" s="14" t="inlineStr">
        <is>
          <t>V4</t>
        </is>
      </c>
      <c r="Z303" s="14" t="inlineStr">
        <is>
          <t>prior-2026-10-05-v1</t>
        </is>
      </c>
      <c r="AA303" s="14" t="inlineStr">
        <is>
          <t>B</t>
        </is>
      </c>
      <c r="AB303" s="14" t="n">
        <v>0.5717178420197583</v>
      </c>
      <c r="AC303" s="14" t="n">
        <v>0.2994231950904928</v>
      </c>
      <c r="AD303" s="14" t="n">
        <v>1.5</v>
      </c>
      <c r="AE303" s="14" t="n"/>
      <c r="AF303" s="14" t="n"/>
      <c r="AG303" s="14" t="n">
        <v>0.1865369706263018</v>
      </c>
      <c r="AH303" s="14" t="n"/>
      <c r="AI303" s="14" t="n"/>
      <c r="AJ303" s="14" t="n">
        <v>0.1865369706263018</v>
      </c>
      <c r="AK303" s="14" t="n"/>
      <c r="AL303" s="14" t="n"/>
      <c r="AM303" s="14" t="inlineStr">
        <is>
          <t>EVALUATED</t>
        </is>
      </c>
      <c r="AN303" s="14" t="inlineStr">
        <is>
          <t>GIVING_VALIDATED_EDGE;BUCKET_PRIOR_ONLY;INTENT_INTERPRETATION_ONLY;FFL_OPTIONAL;EXPERT_MARKET</t>
        </is>
      </c>
      <c r="AO303" s="14" t="inlineStr">
        <is>
          <t>bd62026a2bbc30df65ed</t>
        </is>
      </c>
      <c r="AP303" s="14" t="n">
        <v>-0.75</v>
      </c>
      <c r="AQ303" s="14" t="n">
        <v>0.85</v>
      </c>
      <c r="AR303" s="14" t="n">
        <v>0.75</v>
      </c>
      <c r="AS303" s="14" t="n">
        <v>-0.75</v>
      </c>
      <c r="AT303" s="14" t="n">
        <v>0.85</v>
      </c>
      <c r="AU303" s="14" t="n">
        <v>0.85</v>
      </c>
      <c r="AV303" s="14" t="inlineStr">
        <is>
          <t>2026-10-05T09:47:42.381506+08:00</t>
        </is>
      </c>
      <c r="AW303" s="14" t="inlineStr">
        <is>
          <t>Titan007/V4</t>
        </is>
      </c>
      <c r="AX303" s="14" t="inlineStr">
        <is>
          <t>Daily append；市场输入缺失时不生成决策</t>
        </is>
      </c>
      <c r="AY303" s="14" t="n"/>
    </row>
    <row r="304" ht="22" customHeight="1" s="39">
      <c r="A304" s="14" t="inlineStr">
        <is>
          <t>2026-10-05</t>
        </is>
      </c>
      <c r="B304" s="14" t="inlineStr">
        <is>
          <t>2026-10-06T02:00:00+08:00</t>
        </is>
      </c>
      <c r="C304" s="14" t="n"/>
      <c r="D304" s="14" t="n"/>
      <c r="E304" s="14" t="inlineStr">
        <is>
          <t>阿丙曼特</t>
        </is>
      </c>
      <c r="F304" s="14" t="inlineStr">
        <is>
          <t>鲁祖尼 vs 拉马德里</t>
        </is>
      </c>
      <c r="G304" s="26" t="n">
        <v>0.9</v>
      </c>
      <c r="H304" s="26" t="n">
        <v>0.75</v>
      </c>
      <c r="I304" s="26" t="n">
        <v>0.9</v>
      </c>
      <c r="J304" s="26" t="inlineStr">
        <is>
          <t>0.9/0.75/0.9</t>
        </is>
      </c>
      <c r="K304" s="14" t="inlineStr">
        <is>
          <t>V4-B</t>
        </is>
      </c>
      <c r="L304" s="14" t="inlineStr">
        <is>
          <t>鲁祖尼</t>
        </is>
      </c>
      <c r="M304" s="47" t="n">
        <v>0.5591745116351206</v>
      </c>
      <c r="N304" s="14" t="inlineStr">
        <is>
          <t>V4 Shadow Only；real_money=false</t>
        </is>
      </c>
      <c r="O304" s="14" t="inlineStr">
        <is>
          <t>1-0</t>
        </is>
      </c>
      <c r="P304" s="14" t="inlineStr">
        <is>
          <t>已结算</t>
        </is>
      </c>
      <c r="Q304" s="14" t="inlineStr">
        <is>
          <t>半红</t>
        </is>
      </c>
      <c r="R304" s="48" t="n">
        <v>0.9</v>
      </c>
      <c r="S304" s="48" t="n">
        <v>0.45</v>
      </c>
      <c r="T304" s="14" t="inlineStr">
        <is>
          <t>D:\codex\outputs\football_odds_trader\decision_versions\2026-10-05\RUN_20261005_094642\slate_raw.csv</t>
        </is>
      </c>
      <c r="U304" s="14" t="n"/>
      <c r="V304" s="48" t="n"/>
      <c r="W304" s="48" t="n"/>
      <c r="X304" s="14" t="inlineStr">
        <is>
          <t>2935306</t>
        </is>
      </c>
      <c r="Y304" s="14" t="inlineStr">
        <is>
          <t>V4</t>
        </is>
      </c>
      <c r="Z304" s="14" t="inlineStr">
        <is>
          <t>prior-2026-10-05-v1</t>
        </is>
      </c>
      <c r="AA304" s="14" t="inlineStr">
        <is>
          <t>B</t>
        </is>
      </c>
      <c r="AB304" s="14" t="n">
        <v>0.5591745116351206</v>
      </c>
      <c r="AC304" s="14" t="n">
        <v>0.3115035665347535</v>
      </c>
      <c r="AD304" s="14" t="n">
        <v>1.25</v>
      </c>
      <c r="AE304" s="14" t="n"/>
      <c r="AF304" s="14" t="n"/>
      <c r="AG304" s="14" t="n">
        <v>0.191753493936855</v>
      </c>
      <c r="AH304" s="14" t="n"/>
      <c r="AI304" s="14" t="n"/>
      <c r="AJ304" s="14" t="n">
        <v>0.191753493936855</v>
      </c>
      <c r="AK304" s="14" t="n"/>
      <c r="AL304" s="14" t="n"/>
      <c r="AM304" s="14" t="inlineStr">
        <is>
          <t>EVALUATED</t>
        </is>
      </c>
      <c r="AN304" s="14" t="inlineStr">
        <is>
          <t>GIVING_VALIDATED_EDGE;BUCKET_PRIOR_ONLY;INTENT_INTERPRETATION_ONLY;FFL_OPTIONAL;EXPERT_MARKET</t>
        </is>
      </c>
      <c r="AO304" s="14" t="inlineStr">
        <is>
          <t>86387467a9af6ef06f84</t>
        </is>
      </c>
      <c r="AP304" s="14" t="n">
        <v>-0.75</v>
      </c>
      <c r="AQ304" s="14" t="n">
        <v>0.9</v>
      </c>
      <c r="AR304" s="14" t="n">
        <v>0.75</v>
      </c>
      <c r="AS304" s="14" t="n">
        <v>-0.75</v>
      </c>
      <c r="AT304" s="14" t="n">
        <v>0.9</v>
      </c>
      <c r="AU304" s="14" t="n">
        <v>0.9</v>
      </c>
      <c r="AV304" s="14" t="inlineStr">
        <is>
          <t>2026-10-05T09:47:42.381506+08:00</t>
        </is>
      </c>
      <c r="AW304" s="14" t="inlineStr">
        <is>
          <t>Titan007/V4</t>
        </is>
      </c>
      <c r="AX304" s="14" t="inlineStr">
        <is>
          <t>Daily append；市场输入缺失时不生成决策</t>
        </is>
      </c>
      <c r="AY304" s="14" t="n"/>
    </row>
    <row r="305" ht="22" customHeight="1" s="39">
      <c r="A305" s="14" t="inlineStr">
        <is>
          <t>2026-10-05</t>
        </is>
      </c>
      <c r="B305" s="14" t="inlineStr">
        <is>
          <t>2026-10-06T08:15:00+08:00</t>
        </is>
      </c>
      <c r="C305" s="14" t="inlineStr">
        <is>
          <t>CLUB_LEAGUE</t>
        </is>
      </c>
      <c r="D305" s="14" t="n"/>
      <c r="E305" s="14" t="inlineStr">
        <is>
          <t>阿甲</t>
        </is>
      </c>
      <c r="F305" s="14" t="inlineStr">
        <is>
          <t>班菲尔德 vs 罗萨里奥中央</t>
        </is>
      </c>
      <c r="G305" s="26" t="n">
        <v>0.9399999999999999</v>
      </c>
      <c r="H305" s="26" t="n">
        <v>-0.5</v>
      </c>
      <c r="I305" s="26" t="n">
        <v>0.9399999999999999</v>
      </c>
      <c r="J305" s="26" t="inlineStr">
        <is>
          <t>0.94/-0.5/0.94</t>
        </is>
      </c>
      <c r="K305" s="14" t="inlineStr">
        <is>
          <t>V4-A</t>
        </is>
      </c>
      <c r="L305" s="14" t="inlineStr">
        <is>
          <t>班菲尔德</t>
        </is>
      </c>
      <c r="M305" s="47" t="n">
        <v>0.1793446831069152</v>
      </c>
      <c r="N305" s="14" t="inlineStr">
        <is>
          <t>V4 Shadow Only；real_money=false</t>
        </is>
      </c>
      <c r="O305" s="14" t="inlineStr">
        <is>
          <t>0-0</t>
        </is>
      </c>
      <c r="P305" s="14" t="inlineStr">
        <is>
          <t>EVALUATED</t>
        </is>
      </c>
      <c r="Q305" s="14" t="inlineStr">
        <is>
          <t>A</t>
        </is>
      </c>
      <c r="R305" s="48" t="n">
        <v>0.9399999999999999</v>
      </c>
      <c r="S305" s="48" t="n"/>
      <c r="T305" s="14" t="inlineStr">
        <is>
          <t>D:\codex\outputs\football_odds_trader\decision_versions\2026-10-05\RUN_20261005_094642\slate_raw.csv</t>
        </is>
      </c>
      <c r="U305" s="14" t="n"/>
      <c r="V305" s="48" t="n"/>
      <c r="W305" s="48" t="n"/>
      <c r="X305" s="14" t="inlineStr">
        <is>
          <t>2962655</t>
        </is>
      </c>
      <c r="Y305" s="14" t="inlineStr">
        <is>
          <t>V4</t>
        </is>
      </c>
      <c r="Z305" s="14" t="inlineStr">
        <is>
          <t>prior-2026-10-05-v1</t>
        </is>
      </c>
      <c r="AA305" s="14" t="inlineStr">
        <is>
          <t>A</t>
        </is>
      </c>
      <c r="AB305" s="14" t="n">
        <v>0.1793446831069152</v>
      </c>
      <c r="AC305" s="14" t="n">
        <v>0.8206553168930848</v>
      </c>
      <c r="AD305" s="14" t="n">
        <v>-1</v>
      </c>
      <c r="AE305" s="14" t="n">
        <v>0</v>
      </c>
      <c r="AF305" s="14" t="n">
        <v>0</v>
      </c>
      <c r="AG305" s="14" t="n">
        <v>0.5920713147725845</v>
      </c>
      <c r="AH305" s="14" t="n"/>
      <c r="AI305" s="14" t="n"/>
      <c r="AJ305" s="14" t="n">
        <v>0.5920713147725845</v>
      </c>
      <c r="AK305" s="14" t="n"/>
      <c r="AL305" s="14" t="n"/>
      <c r="AM305" s="14" t="inlineStr">
        <is>
          <t>EVALUATED</t>
        </is>
      </c>
      <c r="AN305" s="14" t="inlineStr">
        <is>
          <t>RECEIVING_VALIDATED_EDGE;BUCKET_PRIOR_ONLY;INTENT_INTERPRETATION_ONLY;FFL_OPTIONAL;EXPERT_MARKET</t>
        </is>
      </c>
      <c r="AO305" s="14" t="inlineStr">
        <is>
          <t>a6577fa4b842e1ab05ed</t>
        </is>
      </c>
      <c r="AP305" s="14" t="n">
        <v>0.5</v>
      </c>
      <c r="AQ305" s="14" t="n">
        <v>0.9399999999999999</v>
      </c>
      <c r="AR305" s="14" t="n">
        <v>-0.5</v>
      </c>
      <c r="AS305" s="14" t="n">
        <v>0.5</v>
      </c>
      <c r="AT305" s="14" t="n">
        <v>0.9399999999999999</v>
      </c>
      <c r="AU305" s="14" t="n">
        <v>0.9399999999999999</v>
      </c>
      <c r="AV305" s="14" t="inlineStr">
        <is>
          <t>2026-10-05T09:47:42.381506+08:00</t>
        </is>
      </c>
      <c r="AW305" s="14" t="inlineStr">
        <is>
          <t>Titan007/V4</t>
        </is>
      </c>
      <c r="AX305" s="14" t="inlineStr">
        <is>
          <t>Daily append；市场输入缺失时不生成决策</t>
        </is>
      </c>
      <c r="AY305" s="14" t="n"/>
    </row>
    <row r="306" ht="22" customHeight="1" s="39">
      <c r="A306" s="14" t="inlineStr">
        <is>
          <t>2026-10-05</t>
        </is>
      </c>
      <c r="B306" s="14" t="inlineStr">
        <is>
          <t>2026-10-06T03:45:00+08:00</t>
        </is>
      </c>
      <c r="C306" s="14" t="inlineStr">
        <is>
          <t>CLUB_LEAGUE</t>
        </is>
      </c>
      <c r="D306" s="14" t="n"/>
      <c r="E306" s="14" t="inlineStr">
        <is>
          <t>阿甲</t>
        </is>
      </c>
      <c r="F306" s="14" t="inlineStr">
        <is>
          <t>利斯特雷 vs 科尔多瓦中央SDE</t>
        </is>
      </c>
      <c r="G306" s="26" t="n">
        <v>0.91</v>
      </c>
      <c r="H306" s="26" t="n">
        <v>0.5</v>
      </c>
      <c r="I306" s="26" t="n">
        <v>0.97</v>
      </c>
      <c r="J306" s="26" t="inlineStr">
        <is>
          <t>0.91/0.5/0.97</t>
        </is>
      </c>
      <c r="K306" s="14" t="inlineStr">
        <is>
          <t>V4-A</t>
        </is>
      </c>
      <c r="L306" s="14" t="inlineStr">
        <is>
          <t>利斯特雷</t>
        </is>
      </c>
      <c r="M306" s="47" t="n">
        <v>0.6191356144304923</v>
      </c>
      <c r="N306" s="14" t="inlineStr">
        <is>
          <t>V4 Shadow Only；real_money=false</t>
        </is>
      </c>
      <c r="O306" s="14" t="inlineStr">
        <is>
          <t>1-1</t>
        </is>
      </c>
      <c r="P306" s="14" t="inlineStr">
        <is>
          <t>已结算</t>
        </is>
      </c>
      <c r="Q306" s="14" t="inlineStr">
        <is>
          <t>黑</t>
        </is>
      </c>
      <c r="R306" s="48" t="n">
        <v>0.91</v>
      </c>
      <c r="S306" s="48" t="n">
        <v>-1</v>
      </c>
      <c r="T306" s="14" t="inlineStr">
        <is>
          <t>D:\codex\outputs\football_odds_trader\decision_versions\2026-10-05\RUN_20261005_094642\slate_raw.csv</t>
        </is>
      </c>
      <c r="U306" s="14" t="n"/>
      <c r="V306" s="48" t="n"/>
      <c r="W306" s="48" t="n"/>
      <c r="X306" s="14" t="inlineStr">
        <is>
          <t>2962658</t>
        </is>
      </c>
      <c r="Y306" s="14" t="inlineStr">
        <is>
          <t>V4</t>
        </is>
      </c>
      <c r="Z306" s="14" t="inlineStr">
        <is>
          <t>prior-2026-10-05-v1</t>
        </is>
      </c>
      <c r="AA306" s="14" t="inlineStr">
        <is>
          <t>A</t>
        </is>
      </c>
      <c r="AB306" s="14" t="n">
        <v>0.6191356144304923</v>
      </c>
      <c r="AC306" s="14" t="n">
        <v>0.3808643855695077</v>
      </c>
      <c r="AD306" s="14" t="n">
        <v>1</v>
      </c>
      <c r="AE306" s="14" t="n"/>
      <c r="AF306" s="14" t="n"/>
      <c r="AG306" s="14" t="n">
        <v>0.1825490235622402</v>
      </c>
      <c r="AH306" s="14" t="n"/>
      <c r="AI306" s="14" t="n"/>
      <c r="AJ306" s="14" t="n">
        <v>0.1825490235622402</v>
      </c>
      <c r="AK306" s="14" t="n"/>
      <c r="AL306" s="14" t="n"/>
      <c r="AM306" s="14" t="inlineStr">
        <is>
          <t>EVALUATED</t>
        </is>
      </c>
      <c r="AN306" s="14" t="inlineStr">
        <is>
          <t>GIVING_VALIDATED_EDGE;BUCKET_PRIOR_ONLY;INTENT_INTERPRETATION_ONLY;FFL_OPTIONAL;EXPERT_MARKET</t>
        </is>
      </c>
      <c r="AO306" s="14" t="inlineStr">
        <is>
          <t>884c3753f6d6ad831060</t>
        </is>
      </c>
      <c r="AP306" s="14" t="n">
        <v>-0.5</v>
      </c>
      <c r="AQ306" s="14" t="n">
        <v>0.91</v>
      </c>
      <c r="AR306" s="14" t="n">
        <v>0.5</v>
      </c>
      <c r="AS306" s="14" t="n">
        <v>-0.5</v>
      </c>
      <c r="AT306" s="14" t="n">
        <v>0.91</v>
      </c>
      <c r="AU306" s="14" t="n">
        <v>0.97</v>
      </c>
      <c r="AV306" s="14" t="inlineStr">
        <is>
          <t>2026-10-05T09:47:42.381506+08:00</t>
        </is>
      </c>
      <c r="AW306" s="14" t="inlineStr">
        <is>
          <t>Titan007/V4</t>
        </is>
      </c>
      <c r="AX306" s="14" t="inlineStr">
        <is>
          <t>Daily append；市场输入缺失时不生成决策</t>
        </is>
      </c>
      <c r="AY306" s="14" t="n"/>
    </row>
    <row r="307" ht="22" customHeight="1" s="39">
      <c r="A307" s="14" t="inlineStr">
        <is>
          <t>2026-10-05</t>
        </is>
      </c>
      <c r="B307" s="14" t="inlineStr">
        <is>
          <t>2026-10-06T06:00:00+08:00</t>
        </is>
      </c>
      <c r="C307" s="14" t="inlineStr">
        <is>
          <t>CLUB_LEAGUE</t>
        </is>
      </c>
      <c r="D307" s="14" t="n"/>
      <c r="E307" s="14" t="inlineStr">
        <is>
          <t>阿甲</t>
        </is>
      </c>
      <c r="F307" s="14" t="inlineStr">
        <is>
          <t>拉普拉塔大学生 vs 甘拿斯亚门多萨</t>
        </is>
      </c>
      <c r="G307" s="26" t="n">
        <v>0.96</v>
      </c>
      <c r="H307" s="26" t="n">
        <v>0.75</v>
      </c>
      <c r="I307" s="26" t="n">
        <v>0.92</v>
      </c>
      <c r="J307" s="26" t="inlineStr">
        <is>
          <t>0.96/0.75/0.92</t>
        </is>
      </c>
      <c r="K307" s="14" t="inlineStr">
        <is>
          <t>V4-A</t>
        </is>
      </c>
      <c r="L307" s="14" t="inlineStr">
        <is>
          <t>拉普拉塔大学生</t>
        </is>
      </c>
      <c r="M307" s="47" t="n">
        <v>0.5477578796234124</v>
      </c>
      <c r="N307" s="14" t="inlineStr">
        <is>
          <t>V4 Shadow Only；real_money=false</t>
        </is>
      </c>
      <c r="O307" s="14" t="inlineStr">
        <is>
          <t>3-0</t>
        </is>
      </c>
      <c r="P307" s="14" t="inlineStr">
        <is>
          <t>已结算</t>
        </is>
      </c>
      <c r="Q307" s="14" t="inlineStr">
        <is>
          <t>红</t>
        </is>
      </c>
      <c r="R307" s="48" t="n">
        <v>0.96</v>
      </c>
      <c r="S307" s="48" t="n">
        <v>0.96</v>
      </c>
      <c r="T307" s="14" t="inlineStr">
        <is>
          <t>D:\codex\outputs\football_odds_trader\decision_versions\2026-10-05\RUN_20261005_094642\slate_raw.csv</t>
        </is>
      </c>
      <c r="U307" s="14" t="n"/>
      <c r="V307" s="48" t="n"/>
      <c r="W307" s="48" t="n"/>
      <c r="X307" s="14" t="inlineStr">
        <is>
          <t>2962659</t>
        </is>
      </c>
      <c r="Y307" s="14" t="inlineStr">
        <is>
          <t>V4</t>
        </is>
      </c>
      <c r="Z307" s="14" t="inlineStr">
        <is>
          <t>prior-2026-10-05-v1</t>
        </is>
      </c>
      <c r="AA307" s="14" t="inlineStr">
        <is>
          <t>A</t>
        </is>
      </c>
      <c r="AB307" s="14" t="n">
        <v>0.5477578796234124</v>
      </c>
      <c r="AC307" s="14" t="n">
        <v>0.3231255200168899</v>
      </c>
      <c r="AD307" s="14" t="n">
        <v>1.25</v>
      </c>
      <c r="AE307" s="14" t="n"/>
      <c r="AF307" s="14" t="n"/>
      <c r="AG307" s="14" t="n">
        <v>0.2027220444215859</v>
      </c>
      <c r="AH307" s="14" t="n"/>
      <c r="AI307" s="14" t="n"/>
      <c r="AJ307" s="14" t="n">
        <v>0.2027220444215859</v>
      </c>
      <c r="AK307" s="14" t="n"/>
      <c r="AL307" s="14" t="n"/>
      <c r="AM307" s="14" t="inlineStr">
        <is>
          <t>EVALUATED</t>
        </is>
      </c>
      <c r="AN307" s="14" t="inlineStr">
        <is>
          <t>GIVING_VALIDATED_EDGE;BUCKET_PRIOR_ONLY;INTENT_INTERPRETATION_ONLY;FFL_OPTIONAL;EXPERT_MARKET</t>
        </is>
      </c>
      <c r="AO307" s="14" t="inlineStr">
        <is>
          <t>d7bb3743f959d5b79940</t>
        </is>
      </c>
      <c r="AP307" s="14" t="n">
        <v>-0.75</v>
      </c>
      <c r="AQ307" s="14" t="n">
        <v>0.96</v>
      </c>
      <c r="AR307" s="14" t="n">
        <v>0.75</v>
      </c>
      <c r="AS307" s="14" t="n">
        <v>-0.75</v>
      </c>
      <c r="AT307" s="14" t="n">
        <v>0.96</v>
      </c>
      <c r="AU307" s="14" t="n">
        <v>0.92</v>
      </c>
      <c r="AV307" s="14" t="inlineStr">
        <is>
          <t>2026-10-05T09:47:42.381506+08:00</t>
        </is>
      </c>
      <c r="AW307" s="14" t="inlineStr">
        <is>
          <t>Titan007/V4</t>
        </is>
      </c>
      <c r="AX307" s="14" t="inlineStr">
        <is>
          <t>Daily append；市场输入缺失时不生成决策</t>
        </is>
      </c>
      <c r="AY307" s="14" t="n"/>
    </row>
    <row r="308" ht="22" customHeight="1" s="39">
      <c r="A308" s="14" t="inlineStr">
        <is>
          <t>2026-10-05</t>
        </is>
      </c>
      <c r="B308" s="14" t="inlineStr">
        <is>
          <t>2026-10-06T06:00:00+08:00</t>
        </is>
      </c>
      <c r="C308" s="14" t="inlineStr">
        <is>
          <t>CLUB_LEAGUE</t>
        </is>
      </c>
      <c r="D308" s="14" t="n"/>
      <c r="E308" s="14" t="inlineStr">
        <is>
          <t>阿甲</t>
        </is>
      </c>
      <c r="F308" s="14" t="inlineStr">
        <is>
          <t>萨斯菲尔德 vs 普拉腾斯</t>
        </is>
      </c>
      <c r="G308" s="26" t="n">
        <v>1</v>
      </c>
      <c r="H308" s="26" t="n">
        <v>0.5</v>
      </c>
      <c r="I308" s="26" t="n">
        <v>0.88</v>
      </c>
      <c r="J308" s="26" t="inlineStr">
        <is>
          <t>1.0/0.5/0.88</t>
        </is>
      </c>
      <c r="K308" s="14" t="inlineStr">
        <is>
          <t>V4-A</t>
        </is>
      </c>
      <c r="L308" s="14" t="inlineStr">
        <is>
          <t>萨斯菲尔德</t>
        </is>
      </c>
      <c r="M308" s="47" t="n">
        <v>0.5996163864340015</v>
      </c>
      <c r="N308" s="14" t="inlineStr">
        <is>
          <t>V4 Shadow Only；real_money=false</t>
        </is>
      </c>
      <c r="O308" s="14" t="inlineStr">
        <is>
          <t>2-2</t>
        </is>
      </c>
      <c r="P308" s="14" t="inlineStr">
        <is>
          <t>已结算</t>
        </is>
      </c>
      <c r="Q308" s="14" t="inlineStr">
        <is>
          <t>黑</t>
        </is>
      </c>
      <c r="R308" s="48" t="n">
        <v>1</v>
      </c>
      <c r="S308" s="48" t="n">
        <v>-1</v>
      </c>
      <c r="T308" s="14" t="inlineStr">
        <is>
          <t>D:\codex\outputs\football_odds_trader\decision_versions\2026-10-05\RUN_20261005_094642\slate_raw.csv</t>
        </is>
      </c>
      <c r="U308" s="14" t="n"/>
      <c r="V308" s="48" t="n"/>
      <c r="W308" s="48" t="n"/>
      <c r="X308" s="14" t="inlineStr">
        <is>
          <t>2962667</t>
        </is>
      </c>
      <c r="Y308" s="14" t="inlineStr">
        <is>
          <t>V4</t>
        </is>
      </c>
      <c r="Z308" s="14" t="inlineStr">
        <is>
          <t>prior-2026-10-05-v1</t>
        </is>
      </c>
      <c r="AA308" s="14" t="inlineStr">
        <is>
          <t>A</t>
        </is>
      </c>
      <c r="AB308" s="14" t="n">
        <v>0.5996163864340015</v>
      </c>
      <c r="AC308" s="14" t="n">
        <v>0.4003836135659986</v>
      </c>
      <c r="AD308" s="14" t="n">
        <v>1</v>
      </c>
      <c r="AE308" s="14" t="n"/>
      <c r="AF308" s="14" t="n"/>
      <c r="AG308" s="14" t="n">
        <v>0.1992327728680029</v>
      </c>
      <c r="AH308" s="14" t="n"/>
      <c r="AI308" s="14" t="n"/>
      <c r="AJ308" s="14" t="n">
        <v>0.1992327728680029</v>
      </c>
      <c r="AK308" s="14" t="n"/>
      <c r="AL308" s="14" t="n"/>
      <c r="AM308" s="14" t="inlineStr">
        <is>
          <t>EVALUATED</t>
        </is>
      </c>
      <c r="AN308" s="14" t="inlineStr">
        <is>
          <t>GIVING_VALIDATED_EDGE;BUCKET_PRIOR_ONLY;INTENT_INTERPRETATION_ONLY;FFL_OPTIONAL;EXPERT_MARKET</t>
        </is>
      </c>
      <c r="AO308" s="14" t="inlineStr">
        <is>
          <t>a8de3c45e6d537159365</t>
        </is>
      </c>
      <c r="AP308" s="14" t="n">
        <v>-0.5</v>
      </c>
      <c r="AQ308" s="14" t="n">
        <v>1</v>
      </c>
      <c r="AR308" s="14" t="n">
        <v>0.5</v>
      </c>
      <c r="AS308" s="14" t="n">
        <v>-0.5</v>
      </c>
      <c r="AT308" s="14" t="n">
        <v>1</v>
      </c>
      <c r="AU308" s="14" t="n">
        <v>0.88</v>
      </c>
      <c r="AV308" s="14" t="inlineStr">
        <is>
          <t>2026-10-05T09:47:42.381506+08:00</t>
        </is>
      </c>
      <c r="AW308" s="14" t="inlineStr">
        <is>
          <t>Titan007/V4</t>
        </is>
      </c>
      <c r="AX308" s="14" t="inlineStr">
        <is>
          <t>Daily append；市场输入缺失时不生成决策</t>
        </is>
      </c>
      <c r="AY308" s="14" t="n"/>
    </row>
    <row r="309" ht="22" customHeight="1" s="39">
      <c r="A309" s="14" t="inlineStr">
        <is>
          <t>2026-10-05</t>
        </is>
      </c>
      <c r="B309" s="14" t="inlineStr">
        <is>
          <t>2026-10-06T02:45:00+08:00</t>
        </is>
      </c>
      <c r="C309" s="14" t="n"/>
      <c r="D309" s="14" t="n"/>
      <c r="E309" s="14" t="inlineStr">
        <is>
          <t>欧国联</t>
        </is>
      </c>
      <c r="F309" s="14" t="inlineStr">
        <is>
          <t>法国 vs 比利时</t>
        </is>
      </c>
      <c r="G309" s="26" t="n">
        <v>0.83</v>
      </c>
      <c r="H309" s="26" t="n">
        <v>1</v>
      </c>
      <c r="I309" s="26" t="n">
        <v>1.05</v>
      </c>
      <c r="J309" s="26" t="inlineStr">
        <is>
          <t>0.83/1.0/1.05</t>
        </is>
      </c>
      <c r="K309" s="14" t="inlineStr">
        <is>
          <t>V4-B</t>
        </is>
      </c>
      <c r="L309" s="14" t="inlineStr">
        <is>
          <t>法国</t>
        </is>
      </c>
      <c r="M309" s="47" t="n">
        <v>0.4768666691342301</v>
      </c>
      <c r="N309" s="14" t="inlineStr">
        <is>
          <t>V4 Shadow Only；real_money=false</t>
        </is>
      </c>
      <c r="O309" s="14" t="inlineStr">
        <is>
          <t>4-1</t>
        </is>
      </c>
      <c r="P309" s="14" t="inlineStr">
        <is>
          <t>已结算</t>
        </is>
      </c>
      <c r="Q309" s="14" t="inlineStr">
        <is>
          <t>红</t>
        </is>
      </c>
      <c r="R309" s="48" t="n">
        <v>0.83</v>
      </c>
      <c r="S309" s="48" t="n">
        <v>0.83</v>
      </c>
      <c r="T309" s="14" t="inlineStr">
        <is>
          <t>D:\codex\outputs\football_odds_trader\decision_versions\2026-10-05\RUN_20261005_094642\slate_raw.csv</t>
        </is>
      </c>
      <c r="U309" s="14" t="n"/>
      <c r="V309" s="48" t="n"/>
      <c r="W309" s="48" t="n"/>
      <c r="X309" s="14" t="inlineStr">
        <is>
          <t>2981453</t>
        </is>
      </c>
      <c r="Y309" s="14" t="inlineStr">
        <is>
          <t>V4</t>
        </is>
      </c>
      <c r="Z309" s="14" t="inlineStr">
        <is>
          <t>prior-2026-10-05-v1</t>
        </is>
      </c>
      <c r="AA309" s="14" t="inlineStr">
        <is>
          <t>B</t>
        </is>
      </c>
      <c r="AB309" s="14" t="n">
        <v>0.4768666691342301</v>
      </c>
      <c r="AC309" s="14" t="n">
        <v>0.271045121687492</v>
      </c>
      <c r="AD309" s="14" t="n">
        <v>1.5</v>
      </c>
      <c r="AE309" s="14" t="n"/>
      <c r="AF309" s="14" t="n"/>
      <c r="AG309" s="14" t="n">
        <v>0.124754213693919</v>
      </c>
      <c r="AH309" s="14" t="n"/>
      <c r="AI309" s="14" t="n"/>
      <c r="AJ309" s="14" t="n">
        <v>0.124754213693919</v>
      </c>
      <c r="AK309" s="14" t="n"/>
      <c r="AL309" s="14" t="n"/>
      <c r="AM309" s="14" t="inlineStr">
        <is>
          <t>EVALUATED</t>
        </is>
      </c>
      <c r="AN309" s="14" t="inlineStr">
        <is>
          <t>GIVING_VALIDATED_EDGE;BUCKET_PRIOR_ONLY;INTENT_INTERPRETATION_ONLY;FFL_OPTIONAL;EXPERT_MARKET</t>
        </is>
      </c>
      <c r="AO309" s="14" t="inlineStr">
        <is>
          <t>b532385dc812bc816e94</t>
        </is>
      </c>
      <c r="AP309" s="14" t="n">
        <v>-1</v>
      </c>
      <c r="AQ309" s="14" t="n">
        <v>0.83</v>
      </c>
      <c r="AR309" s="14" t="n">
        <v>1</v>
      </c>
      <c r="AS309" s="14" t="n">
        <v>-1</v>
      </c>
      <c r="AT309" s="14" t="n">
        <v>0.83</v>
      </c>
      <c r="AU309" s="14" t="n">
        <v>1.05</v>
      </c>
      <c r="AV309" s="14" t="inlineStr">
        <is>
          <t>2026-10-05T09:47:42.381506+08:00</t>
        </is>
      </c>
      <c r="AW309" s="14" t="inlineStr">
        <is>
          <t>Titan007/V4</t>
        </is>
      </c>
      <c r="AX309" s="14" t="inlineStr">
        <is>
          <t>Daily append；市场输入缺失时不生成决策</t>
        </is>
      </c>
      <c r="AY309" s="14" t="n"/>
    </row>
    <row r="310" ht="22" customHeight="1" s="39">
      <c r="A310" s="14" t="inlineStr">
        <is>
          <t>2026-10-05</t>
        </is>
      </c>
      <c r="B310" s="14" t="inlineStr">
        <is>
          <t>2026-10-06T02:45:00+08:00</t>
        </is>
      </c>
      <c r="C310" s="14" t="n"/>
      <c r="D310" s="14" t="n"/>
      <c r="E310" s="14" t="inlineStr">
        <is>
          <t>欧国联</t>
        </is>
      </c>
      <c r="F310" s="14" t="inlineStr">
        <is>
          <t>意大利 vs 土耳其</t>
        </is>
      </c>
      <c r="G310" s="26" t="n">
        <v>0.89</v>
      </c>
      <c r="H310" s="26" t="n">
        <v>1.25</v>
      </c>
      <c r="I310" s="26" t="n">
        <v>0.99</v>
      </c>
      <c r="J310" s="26" t="inlineStr">
        <is>
          <t>0.89/1.25/0.99</t>
        </is>
      </c>
      <c r="K310" s="14" t="inlineStr">
        <is>
          <t>V4-B</t>
        </is>
      </c>
      <c r="L310" s="14" t="inlineStr">
        <is>
          <t>意大利</t>
        </is>
      </c>
      <c r="M310" s="47" t="n">
        <v>0.5495173973137363</v>
      </c>
      <c r="N310" s="14" t="inlineStr">
        <is>
          <t>V4 Shadow Only；real_money=false</t>
        </is>
      </c>
      <c r="O310" s="14" t="inlineStr">
        <is>
          <t>3-1</t>
        </is>
      </c>
      <c r="P310" s="14" t="inlineStr">
        <is>
          <t>已结算</t>
        </is>
      </c>
      <c r="Q310" s="14" t="inlineStr">
        <is>
          <t>红</t>
        </is>
      </c>
      <c r="R310" s="48" t="n">
        <v>0.89</v>
      </c>
      <c r="S310" s="48" t="n">
        <v>0.89</v>
      </c>
      <c r="T310" s="14" t="inlineStr">
        <is>
          <t>D:\codex\outputs\football_odds_trader\decision_versions\2026-10-05\RUN_20261005_094642\slate_raw.csv</t>
        </is>
      </c>
      <c r="U310" s="14" t="n"/>
      <c r="V310" s="48" t="n"/>
      <c r="W310" s="48" t="n"/>
      <c r="X310" s="14" t="inlineStr">
        <is>
          <t>2981454</t>
        </is>
      </c>
      <c r="Y310" s="14" t="inlineStr">
        <is>
          <t>V4</t>
        </is>
      </c>
      <c r="Z310" s="14" t="inlineStr">
        <is>
          <t>prior-2026-10-05-v1</t>
        </is>
      </c>
      <c r="AA310" s="14" t="inlineStr">
        <is>
          <t>B</t>
        </is>
      </c>
      <c r="AB310" s="14" t="n">
        <v>0.5495173973137363</v>
      </c>
      <c r="AC310" s="14" t="n">
        <v>0.3295739045242509</v>
      </c>
      <c r="AD310" s="14" t="n">
        <v>1.75</v>
      </c>
      <c r="AE310" s="14" t="n"/>
      <c r="AF310" s="14" t="n"/>
      <c r="AG310" s="14" t="n">
        <v>0.1594965790849744</v>
      </c>
      <c r="AH310" s="14" t="n"/>
      <c r="AI310" s="14" t="n"/>
      <c r="AJ310" s="14" t="n">
        <v>0.1594965790849744</v>
      </c>
      <c r="AK310" s="14" t="n"/>
      <c r="AL310" s="14" t="n"/>
      <c r="AM310" s="14" t="inlineStr">
        <is>
          <t>EVALUATED</t>
        </is>
      </c>
      <c r="AN310" s="14" t="inlineStr">
        <is>
          <t>GIVING_VALIDATED_EDGE;BUCKET_PRIOR_ONLY;INTENT_INTERPRETATION_ONLY;FFL_OPTIONAL;EXPERT_MARKET</t>
        </is>
      </c>
      <c r="AO310" s="14" t="inlineStr">
        <is>
          <t>71f18289e612b8f2d113</t>
        </is>
      </c>
      <c r="AP310" s="14" t="n">
        <v>-1.25</v>
      </c>
      <c r="AQ310" s="14" t="n">
        <v>0.89</v>
      </c>
      <c r="AR310" s="14" t="n">
        <v>1.25</v>
      </c>
      <c r="AS310" s="14" t="n">
        <v>-1.25</v>
      </c>
      <c r="AT310" s="14" t="n">
        <v>0.89</v>
      </c>
      <c r="AU310" s="14" t="n">
        <v>0.99</v>
      </c>
      <c r="AV310" s="14" t="inlineStr">
        <is>
          <t>2026-10-05T09:47:42.381506+08:00</t>
        </is>
      </c>
      <c r="AW310" s="14" t="inlineStr">
        <is>
          <t>Titan007/V4</t>
        </is>
      </c>
      <c r="AX310" s="14" t="inlineStr">
        <is>
          <t>Daily append；市场输入缺失时不生成决策</t>
        </is>
      </c>
      <c r="AY310" s="14" t="n"/>
    </row>
    <row r="311" ht="22" customHeight="1" s="39">
      <c r="A311" s="14" t="inlineStr">
        <is>
          <t>2026-10-05</t>
        </is>
      </c>
      <c r="B311" s="14" t="inlineStr">
        <is>
          <t>2026-10-06T02:45:00+08:00</t>
        </is>
      </c>
      <c r="C311" s="14" t="n"/>
      <c r="D311" s="14" t="n"/>
      <c r="E311" s="14" t="inlineStr">
        <is>
          <t>欧国联</t>
        </is>
      </c>
      <c r="F311" s="14" t="inlineStr">
        <is>
          <t>罗马尼亚 vs 瑞典</t>
        </is>
      </c>
      <c r="G311" s="26" t="n">
        <v>0.95</v>
      </c>
      <c r="H311" s="26" t="n">
        <v>-0.75</v>
      </c>
      <c r="I311" s="26" t="n">
        <v>0.93</v>
      </c>
      <c r="J311" s="26" t="inlineStr">
        <is>
          <t>0.95/-0.75/0.93</t>
        </is>
      </c>
      <c r="K311" s="14" t="inlineStr">
        <is>
          <t>V4-B</t>
        </is>
      </c>
      <c r="L311" s="14" t="inlineStr">
        <is>
          <t>罗马尼亚</t>
        </is>
      </c>
      <c r="M311" s="47" t="n">
        <v>0.1014041579432815</v>
      </c>
      <c r="N311" s="14" t="inlineStr">
        <is>
          <t>V4 Shadow Only；real_money=false</t>
        </is>
      </c>
      <c r="O311" s="14" t="inlineStr">
        <is>
          <t>0-1</t>
        </is>
      </c>
      <c r="P311" s="14" t="inlineStr">
        <is>
          <t>已结算</t>
        </is>
      </c>
      <c r="Q311" s="14" t="inlineStr">
        <is>
          <t>半黑</t>
        </is>
      </c>
      <c r="R311" s="48" t="n">
        <v>0.95</v>
      </c>
      <c r="S311" s="48" t="n">
        <v>-0.5</v>
      </c>
      <c r="T311" s="14" t="inlineStr">
        <is>
          <t>D:\codex\outputs\football_odds_trader\decision_versions\2026-10-05\RUN_20261005_094642\slate_raw.csv</t>
        </is>
      </c>
      <c r="U311" s="14" t="n"/>
      <c r="V311" s="48" t="n"/>
      <c r="W311" s="48" t="n"/>
      <c r="X311" s="14" t="inlineStr">
        <is>
          <t>2981503</t>
        </is>
      </c>
      <c r="Y311" s="14" t="inlineStr">
        <is>
          <t>V4</t>
        </is>
      </c>
      <c r="Z311" s="14" t="inlineStr">
        <is>
          <t>prior-2026-10-05-v1</t>
        </is>
      </c>
      <c r="AA311" s="14" t="inlineStr">
        <is>
          <t>B</t>
        </is>
      </c>
      <c r="AB311" s="14" t="n">
        <v>0.1014041579432815</v>
      </c>
      <c r="AC311" s="14" t="n">
        <v>0.8434860199860266</v>
      </c>
      <c r="AD311" s="14" t="n">
        <v>-1</v>
      </c>
      <c r="AE311" s="14" t="n">
        <v>0</v>
      </c>
      <c r="AF311" s="14" t="n">
        <v>0</v>
      </c>
      <c r="AG311" s="14" t="n">
        <v>0.6999075610434436</v>
      </c>
      <c r="AH311" s="14" t="n"/>
      <c r="AI311" s="14" t="n"/>
      <c r="AJ311" s="14" t="n">
        <v>0.6999075610434436</v>
      </c>
      <c r="AK311" s="14" t="n"/>
      <c r="AL311" s="14" t="n"/>
      <c r="AM311" s="14" t="inlineStr">
        <is>
          <t>EVALUATED</t>
        </is>
      </c>
      <c r="AN311" s="14" t="inlineStr">
        <is>
          <t>RECEIVING_VALIDATED_EDGE;BUCKET_PRIOR_ONLY;INTENT_INTERPRETATION_ONLY;FFL_OPTIONAL;EXPERT_MARKET</t>
        </is>
      </c>
      <c r="AO311" s="14" t="inlineStr">
        <is>
          <t>83ffa86767613997cab2</t>
        </is>
      </c>
      <c r="AP311" s="14" t="n">
        <v>0.75</v>
      </c>
      <c r="AQ311" s="14" t="n">
        <v>0.95</v>
      </c>
      <c r="AR311" s="14" t="n">
        <v>-0.75</v>
      </c>
      <c r="AS311" s="14" t="n">
        <v>0.75</v>
      </c>
      <c r="AT311" s="14" t="n">
        <v>0.95</v>
      </c>
      <c r="AU311" s="14" t="n">
        <v>0.93</v>
      </c>
      <c r="AV311" s="14" t="inlineStr">
        <is>
          <t>2026-10-05T09:47:42.381506+08:00</t>
        </is>
      </c>
      <c r="AW311" s="14" t="inlineStr">
        <is>
          <t>Titan007/V4</t>
        </is>
      </c>
      <c r="AX311" s="14" t="inlineStr">
        <is>
          <t>Daily append；市场输入缺失时不生成决策</t>
        </is>
      </c>
      <c r="AY311" s="14" t="n"/>
    </row>
    <row r="312" ht="22" customHeight="1" s="39">
      <c r="A312" s="14" t="inlineStr">
        <is>
          <t>2026-10-05</t>
        </is>
      </c>
      <c r="B312" s="14" t="inlineStr">
        <is>
          <t>2026-10-06T02:45:00+08:00</t>
        </is>
      </c>
      <c r="C312" s="14" t="n"/>
      <c r="D312" s="14" t="n"/>
      <c r="E312" s="14" t="inlineStr">
        <is>
          <t>欧国联</t>
        </is>
      </c>
      <c r="F312" s="14" t="inlineStr">
        <is>
          <t>波黑 vs 波兰</t>
        </is>
      </c>
      <c r="G312" s="26" t="n">
        <v>0.84</v>
      </c>
      <c r="H312" s="26" t="n">
        <v>-0.25</v>
      </c>
      <c r="I312" s="26" t="n">
        <v>1.04</v>
      </c>
      <c r="J312" s="26" t="inlineStr">
        <is>
          <t>0.84/-0.25/1.04</t>
        </is>
      </c>
      <c r="K312" s="14" t="inlineStr">
        <is>
          <t>V4-B</t>
        </is>
      </c>
      <c r="L312" s="14" t="inlineStr">
        <is>
          <t>波黑</t>
        </is>
      </c>
      <c r="M312" s="47" t="n">
        <v>0.3063167313589431</v>
      </c>
      <c r="N312" s="14" t="inlineStr">
        <is>
          <t>V4 Shadow Only；real_money=false</t>
        </is>
      </c>
      <c r="O312" s="14" t="inlineStr">
        <is>
          <t>1-0</t>
        </is>
      </c>
      <c r="P312" s="14" t="inlineStr">
        <is>
          <t>已结算</t>
        </is>
      </c>
      <c r="Q312" s="14" t="inlineStr">
        <is>
          <t>红</t>
        </is>
      </c>
      <c r="R312" s="48" t="n">
        <v>0.84</v>
      </c>
      <c r="S312" s="48" t="n">
        <v>0.84</v>
      </c>
      <c r="T312" s="14" t="inlineStr">
        <is>
          <t>D:\codex\outputs\football_odds_trader\decision_versions\2026-10-05\RUN_20261005_094642\slate_raw.csv</t>
        </is>
      </c>
      <c r="U312" s="14" t="n"/>
      <c r="V312" s="48" t="n"/>
      <c r="W312" s="48" t="n"/>
      <c r="X312" s="14" t="inlineStr">
        <is>
          <t>2981504</t>
        </is>
      </c>
      <c r="Y312" s="14" t="inlineStr">
        <is>
          <t>V4</t>
        </is>
      </c>
      <c r="Z312" s="14" t="inlineStr">
        <is>
          <t>prior-2026-10-05-v1</t>
        </is>
      </c>
      <c r="AA312" s="14" t="inlineStr">
        <is>
          <t>B</t>
        </is>
      </c>
      <c r="AB312" s="14" t="n">
        <v>0.3063167313589431</v>
      </c>
      <c r="AC312" s="14" t="n">
        <v>0.5628633100291516</v>
      </c>
      <c r="AD312" s="14" t="n">
        <v>-0.25</v>
      </c>
      <c r="AE312" s="14" t="n">
        <v>0</v>
      </c>
      <c r="AF312" s="14" t="n">
        <v>0</v>
      </c>
      <c r="AG312" s="14" t="n">
        <v>0.1664884490655443</v>
      </c>
      <c r="AH312" s="14" t="n"/>
      <c r="AI312" s="14" t="n"/>
      <c r="AJ312" s="14" t="n">
        <v>0.1664884490655443</v>
      </c>
      <c r="AK312" s="14" t="n"/>
      <c r="AL312" s="14" t="n"/>
      <c r="AM312" s="14" t="inlineStr">
        <is>
          <t>EVALUATED</t>
        </is>
      </c>
      <c r="AN312" s="14" t="inlineStr">
        <is>
          <t>RECEIVING_VALIDATED_EDGE;BUCKET_PRIOR_ONLY;INTENT_INTERPRETATION_ONLY;FFL_OPTIONAL;EXPERT_MARKET</t>
        </is>
      </c>
      <c r="AO312" s="14" t="inlineStr">
        <is>
          <t>8b6df4cd54fd1a0d1f8d</t>
        </is>
      </c>
      <c r="AP312" s="14" t="n">
        <v>0.25</v>
      </c>
      <c r="AQ312" s="14" t="n">
        <v>0.84</v>
      </c>
      <c r="AR312" s="14" t="n">
        <v>-0.25</v>
      </c>
      <c r="AS312" s="14" t="n">
        <v>0.25</v>
      </c>
      <c r="AT312" s="14" t="n">
        <v>0.84</v>
      </c>
      <c r="AU312" s="14" t="n">
        <v>1.04</v>
      </c>
      <c r="AV312" s="14" t="inlineStr">
        <is>
          <t>2026-10-05T09:47:42.381506+08:00</t>
        </is>
      </c>
      <c r="AW312" s="14" t="inlineStr">
        <is>
          <t>Titan007/V4</t>
        </is>
      </c>
      <c r="AX312" s="14" t="inlineStr">
        <is>
          <t>Daily append；市场输入缺失时不生成决策</t>
        </is>
      </c>
      <c r="AY312" s="14" t="n"/>
    </row>
    <row r="313" ht="22" customHeight="1" s="39">
      <c r="A313" s="14" t="inlineStr">
        <is>
          <t>2026-10-05</t>
        </is>
      </c>
      <c r="B313" s="14" t="inlineStr">
        <is>
          <t>2026-10-06T02:45:00+08:00</t>
        </is>
      </c>
      <c r="C313" s="14" t="n"/>
      <c r="D313" s="14" t="n"/>
      <c r="E313" s="14" t="inlineStr">
        <is>
          <t>欧国联</t>
        </is>
      </c>
      <c r="F313" s="14" t="inlineStr">
        <is>
          <t>黑山 vs 亚美尼亚</t>
        </is>
      </c>
      <c r="G313" s="26" t="n">
        <v>0.87</v>
      </c>
      <c r="H313" s="26" t="n">
        <v>1</v>
      </c>
      <c r="I313" s="26" t="n">
        <v>0.95</v>
      </c>
      <c r="J313" s="26" t="inlineStr">
        <is>
          <t>0.87/1.0/0.95</t>
        </is>
      </c>
      <c r="K313" s="14" t="inlineStr">
        <is>
          <t>V4-B</t>
        </is>
      </c>
      <c r="L313" s="14" t="inlineStr">
        <is>
          <t>黑山</t>
        </is>
      </c>
      <c r="M313" s="47" t="n">
        <v>0.4826100482372964</v>
      </c>
      <c r="N313" s="14" t="inlineStr">
        <is>
          <t>V4 Shadow Only；real_money=false</t>
        </is>
      </c>
      <c r="O313" s="14" t="inlineStr">
        <is>
          <t>0-0</t>
        </is>
      </c>
      <c r="P313" s="14" t="inlineStr">
        <is>
          <t>已结算</t>
        </is>
      </c>
      <c r="Q313" s="14" t="inlineStr">
        <is>
          <t>黑</t>
        </is>
      </c>
      <c r="R313" s="48" t="n">
        <v>0.87</v>
      </c>
      <c r="S313" s="48" t="n">
        <v>-1</v>
      </c>
      <c r="T313" s="14" t="inlineStr">
        <is>
          <t>D:\codex\outputs\football_odds_trader\decision_versions\2026-10-05\RUN_20261005_094642\slate_raw.csv</t>
        </is>
      </c>
      <c r="U313" s="14" t="n"/>
      <c r="V313" s="48" t="n"/>
      <c r="W313" s="48" t="n"/>
      <c r="X313" s="14" t="inlineStr">
        <is>
          <t>2981547</t>
        </is>
      </c>
      <c r="Y313" s="14" t="inlineStr">
        <is>
          <t>V4</t>
        </is>
      </c>
      <c r="Z313" s="14" t="inlineStr">
        <is>
          <t>prior-2026-10-05-v1</t>
        </is>
      </c>
      <c r="AA313" s="14" t="inlineStr">
        <is>
          <t>B</t>
        </is>
      </c>
      <c r="AB313" s="14" t="n">
        <v>0.4826100482372964</v>
      </c>
      <c r="AC313" s="14" t="n">
        <v>0.2650719238611547</v>
      </c>
      <c r="AD313" s="14" t="n">
        <v>1.5</v>
      </c>
      <c r="AE313" s="14" t="n"/>
      <c r="AF313" s="14" t="n"/>
      <c r="AG313" s="14" t="n">
        <v>0.1547988181052932</v>
      </c>
      <c r="AH313" s="14" t="n"/>
      <c r="AI313" s="14" t="n"/>
      <c r="AJ313" s="14" t="n">
        <v>0.1547988181052932</v>
      </c>
      <c r="AK313" s="14" t="n"/>
      <c r="AL313" s="14" t="n"/>
      <c r="AM313" s="14" t="inlineStr">
        <is>
          <t>EVALUATED</t>
        </is>
      </c>
      <c r="AN313" s="14" t="inlineStr">
        <is>
          <t>GIVING_VALIDATED_EDGE;BUCKET_PRIOR_ONLY;INTENT_INTERPRETATION_ONLY;FFL_OPTIONAL;EXPERT_MARKET</t>
        </is>
      </c>
      <c r="AO313" s="14" t="inlineStr">
        <is>
          <t>8b79d1b53ad2ba058b3f</t>
        </is>
      </c>
      <c r="AP313" s="14" t="n">
        <v>-1</v>
      </c>
      <c r="AQ313" s="14" t="n">
        <v>0.87</v>
      </c>
      <c r="AR313" s="14" t="n">
        <v>1</v>
      </c>
      <c r="AS313" s="14" t="n">
        <v>-1</v>
      </c>
      <c r="AT313" s="14" t="n">
        <v>0.87</v>
      </c>
      <c r="AU313" s="14" t="n">
        <v>0.95</v>
      </c>
      <c r="AV313" s="14" t="inlineStr">
        <is>
          <t>2026-10-05T09:47:42.381506+08:00</t>
        </is>
      </c>
      <c r="AW313" s="14" t="inlineStr">
        <is>
          <t>Titan007/V4</t>
        </is>
      </c>
      <c r="AX313" s="14" t="inlineStr">
        <is>
          <t>Daily append；市场输入缺失时不生成决策</t>
        </is>
      </c>
      <c r="AY313" s="14" t="n"/>
    </row>
    <row r="314" ht="22" customHeight="1" s="39">
      <c r="A314" s="14" t="inlineStr">
        <is>
          <t>2026-10-05</t>
        </is>
      </c>
      <c r="B314" s="14" t="inlineStr">
        <is>
          <t>2026-10-06T00:00:00+08:00</t>
        </is>
      </c>
      <c r="C314" s="14" t="n"/>
      <c r="D314" s="14" t="n"/>
      <c r="E314" s="14" t="inlineStr">
        <is>
          <t>欧国联</t>
        </is>
      </c>
      <c r="F314" s="14" t="inlineStr">
        <is>
          <t>塞浦路斯 vs 拉脱维亚</t>
        </is>
      </c>
      <c r="G314" s="26" t="n">
        <v>0.79</v>
      </c>
      <c r="H314" s="26" t="n">
        <v>0.75</v>
      </c>
      <c r="I314" s="26" t="n">
        <v>1.03</v>
      </c>
      <c r="J314" s="26" t="inlineStr">
        <is>
          <t>0.79/0.75/1.03</t>
        </is>
      </c>
      <c r="K314" s="14" t="inlineStr">
        <is>
          <t>V4-B</t>
        </is>
      </c>
      <c r="L314" s="14" t="inlineStr">
        <is>
          <t>塞浦路斯</t>
        </is>
      </c>
      <c r="M314" s="47" t="n">
        <v>0.5822530592317229</v>
      </c>
      <c r="N314" s="14" t="inlineStr">
        <is>
          <t>V4 Shadow Only；real_money=false</t>
        </is>
      </c>
      <c r="O314" s="14" t="inlineStr">
        <is>
          <t>2-1</t>
        </is>
      </c>
      <c r="P314" s="14" t="inlineStr">
        <is>
          <t>已结算</t>
        </is>
      </c>
      <c r="Q314" s="14" t="inlineStr">
        <is>
          <t>半红</t>
        </is>
      </c>
      <c r="R314" s="48" t="n">
        <v>0.79</v>
      </c>
      <c r="S314" s="48" t="n">
        <v>0.395</v>
      </c>
      <c r="T314" s="14" t="inlineStr">
        <is>
          <t>D:\codex\outputs\football_odds_trader\decision_versions\2026-10-05\RUN_20261005_094642\slate_raw.csv</t>
        </is>
      </c>
      <c r="U314" s="14" t="n"/>
      <c r="V314" s="48" t="n"/>
      <c r="W314" s="48" t="n"/>
      <c r="X314" s="14" t="inlineStr">
        <is>
          <t>2981548</t>
        </is>
      </c>
      <c r="Y314" s="14" t="inlineStr">
        <is>
          <t>V4</t>
        </is>
      </c>
      <c r="Z314" s="14" t="inlineStr">
        <is>
          <t>prior-2026-10-05-v1</t>
        </is>
      </c>
      <c r="AA314" s="14" t="inlineStr">
        <is>
          <t>B</t>
        </is>
      </c>
      <c r="AB314" s="14" t="n">
        <v>0.5822530592317229</v>
      </c>
      <c r="AC314" s="14" t="n">
        <v>0.2896600755987642</v>
      </c>
      <c r="AD314" s="14" t="n">
        <v>1.5</v>
      </c>
      <c r="AE314" s="14" t="n"/>
      <c r="AF314" s="14" t="n"/>
      <c r="AG314" s="14" t="n">
        <v>0.1703198411942969</v>
      </c>
      <c r="AH314" s="14" t="n"/>
      <c r="AI314" s="14" t="n"/>
      <c r="AJ314" s="14" t="n">
        <v>0.1703198411942969</v>
      </c>
      <c r="AK314" s="14" t="n"/>
      <c r="AL314" s="14" t="n"/>
      <c r="AM314" s="14" t="inlineStr">
        <is>
          <t>EVALUATED</t>
        </is>
      </c>
      <c r="AN314" s="14" t="inlineStr">
        <is>
          <t>GIVING_VALIDATED_EDGE;BUCKET_PRIOR_ONLY;INTENT_INTERPRETATION_ONLY;FFL_OPTIONAL;EXPERT_MARKET</t>
        </is>
      </c>
      <c r="AO314" s="14" t="inlineStr">
        <is>
          <t>b65deb3f62f5bb93e225</t>
        </is>
      </c>
      <c r="AP314" s="14" t="n">
        <v>-0.75</v>
      </c>
      <c r="AQ314" s="14" t="n">
        <v>0.79</v>
      </c>
      <c r="AR314" s="14" t="n">
        <v>0.75</v>
      </c>
      <c r="AS314" s="14" t="n">
        <v>-0.75</v>
      </c>
      <c r="AT314" s="14" t="n">
        <v>0.79</v>
      </c>
      <c r="AU314" s="14" t="n">
        <v>1.03</v>
      </c>
      <c r="AV314" s="14" t="inlineStr">
        <is>
          <t>2026-10-05T09:47:42.381506+08:00</t>
        </is>
      </c>
      <c r="AW314" s="14" t="inlineStr">
        <is>
          <t>Titan007/V4</t>
        </is>
      </c>
      <c r="AX314" s="14" t="inlineStr">
        <is>
          <t>Daily append；市场输入缺失时不生成决策</t>
        </is>
      </c>
      <c r="AY314" s="14" t="n"/>
    </row>
    <row r="315" ht="22" customHeight="1" s="39">
      <c r="A315" s="14" t="inlineStr">
        <is>
          <t>2026-10-05</t>
        </is>
      </c>
      <c r="B315" s="14" t="inlineStr">
        <is>
          <t>2026-10-06T08:00:00+08:00</t>
        </is>
      </c>
      <c r="C315" s="14" t="inlineStr">
        <is>
          <t>CLUB_LEAGUE</t>
        </is>
      </c>
      <c r="D315" s="14" t="n"/>
      <c r="E315" s="14" t="inlineStr">
        <is>
          <t>哥伦甲秋</t>
        </is>
      </c>
      <c r="F315" s="14" t="inlineStr">
        <is>
          <t>麦德林独立 vs 圣塔菲</t>
        </is>
      </c>
      <c r="G315" s="26" t="n">
        <v>0.93</v>
      </c>
      <c r="H315" s="26" t="n">
        <v>0.5</v>
      </c>
      <c r="I315" s="26" t="n">
        <v>0.95</v>
      </c>
      <c r="J315" s="26" t="inlineStr">
        <is>
          <t>0.93/0.5/0.95</t>
        </is>
      </c>
      <c r="K315" s="14" t="inlineStr">
        <is>
          <t>V4-B</t>
        </is>
      </c>
      <c r="L315" s="14" t="inlineStr">
        <is>
          <t>麦德林独立</t>
        </is>
      </c>
      <c r="M315" s="47" t="n">
        <v>0.5735662786084781</v>
      </c>
      <c r="N315" s="14" t="inlineStr">
        <is>
          <t>V4 Shadow Only；real_money=false</t>
        </is>
      </c>
      <c r="O315" s="14" t="inlineStr">
        <is>
          <t>0-0</t>
        </is>
      </c>
      <c r="P315" s="14" t="inlineStr">
        <is>
          <t>EVALUATED</t>
        </is>
      </c>
      <c r="Q315" s="14" t="inlineStr">
        <is>
          <t>B</t>
        </is>
      </c>
      <c r="R315" s="48" t="n">
        <v>0.93</v>
      </c>
      <c r="S315" s="48" t="n"/>
      <c r="T315" s="14" t="inlineStr">
        <is>
          <t>D:\codex\outputs\football_odds_trader\decision_versions\2026-10-05\RUN_20261005_094642\slate_raw.csv</t>
        </is>
      </c>
      <c r="U315" s="14" t="n"/>
      <c r="V315" s="48" t="n"/>
      <c r="W315" s="48" t="n"/>
      <c r="X315" s="14" t="inlineStr">
        <is>
          <t>3011883</t>
        </is>
      </c>
      <c r="Y315" s="14" t="inlineStr">
        <is>
          <t>V4</t>
        </is>
      </c>
      <c r="Z315" s="14" t="inlineStr">
        <is>
          <t>prior-2026-10-05-v1</t>
        </is>
      </c>
      <c r="AA315" s="14" t="inlineStr">
        <is>
          <t>B</t>
        </is>
      </c>
      <c r="AB315" s="14" t="n">
        <v>0.5735662786084781</v>
      </c>
      <c r="AC315" s="14" t="n">
        <v>0.426433721391522</v>
      </c>
      <c r="AD315" s="14" t="n">
        <v>0.75</v>
      </c>
      <c r="AE315" s="14" t="n"/>
      <c r="AF315" s="14" t="n"/>
      <c r="AG315" s="14" t="n">
        <v>0.1069829177143627</v>
      </c>
      <c r="AH315" s="14" t="n"/>
      <c r="AI315" s="14" t="n"/>
      <c r="AJ315" s="14" t="n">
        <v>0.1069829177143627</v>
      </c>
      <c r="AK315" s="14" t="n"/>
      <c r="AL315" s="14" t="n"/>
      <c r="AM315" s="14" t="inlineStr">
        <is>
          <t>EVALUATED</t>
        </is>
      </c>
      <c r="AN315" s="14" t="inlineStr">
        <is>
          <t>GIVING_VALIDATED_EDGE;BUCKET_PRIOR_ONLY;INTENT_INTERPRETATION_ONLY;FFL_OPTIONAL;EXPERT_MARKET</t>
        </is>
      </c>
      <c r="AO315" s="14" t="inlineStr">
        <is>
          <t>a9332022bd85ec028d5e</t>
        </is>
      </c>
      <c r="AP315" s="14" t="n">
        <v>-0.5</v>
      </c>
      <c r="AQ315" s="14" t="n">
        <v>0.93</v>
      </c>
      <c r="AR315" s="14" t="n">
        <v>0.5</v>
      </c>
      <c r="AS315" s="14" t="n">
        <v>-0.5</v>
      </c>
      <c r="AT315" s="14" t="n">
        <v>0.93</v>
      </c>
      <c r="AU315" s="14" t="n">
        <v>0.95</v>
      </c>
      <c r="AV315" s="14" t="inlineStr">
        <is>
          <t>2026-10-05T09:47:42.381506+08:00</t>
        </is>
      </c>
      <c r="AW315" s="14" t="inlineStr">
        <is>
          <t>Titan007/V4</t>
        </is>
      </c>
      <c r="AX315" s="14" t="inlineStr">
        <is>
          <t>Daily append；市场输入缺失时不生成决策</t>
        </is>
      </c>
      <c r="AY315" s="14" t="n"/>
    </row>
    <row r="316" ht="22" customHeight="1" s="39">
      <c r="A316" s="14" t="inlineStr">
        <is>
          <t>2026-10-05</t>
        </is>
      </c>
      <c r="B316" s="14" t="inlineStr">
        <is>
          <t>2026-10-06T02:30:00+08:00</t>
        </is>
      </c>
      <c r="C316" s="14" t="inlineStr">
        <is>
          <t>CLUB_LEAGUE</t>
        </is>
      </c>
      <c r="D316" s="14" t="n"/>
      <c r="E316" s="14" t="inlineStr">
        <is>
          <t>西乙</t>
        </is>
      </c>
      <c r="F316" s="14" t="inlineStr">
        <is>
          <t>科尔多瓦 vs 特内里费</t>
        </is>
      </c>
      <c r="G316" s="26" t="n">
        <v>0.93</v>
      </c>
      <c r="H316" s="26" t="n">
        <v>0.5</v>
      </c>
      <c r="I316" s="26" t="n">
        <v>0.95</v>
      </c>
      <c r="J316" s="26" t="inlineStr">
        <is>
          <t>0.93/0.5/0.95</t>
        </is>
      </c>
      <c r="K316" s="14" t="inlineStr">
        <is>
          <t>V4-B</t>
        </is>
      </c>
      <c r="L316" s="14" t="inlineStr">
        <is>
          <t>科尔多瓦</t>
        </is>
      </c>
      <c r="M316" s="47" t="n">
        <v>0.5647804734631759</v>
      </c>
      <c r="N316" s="14" t="inlineStr">
        <is>
          <t>V4 Shadow Only；real_money=false</t>
        </is>
      </c>
      <c r="O316" s="14" t="inlineStr">
        <is>
          <t>3-2</t>
        </is>
      </c>
      <c r="P316" s="14" t="inlineStr">
        <is>
          <t>已结算</t>
        </is>
      </c>
      <c r="Q316" s="14" t="inlineStr">
        <is>
          <t>红</t>
        </is>
      </c>
      <c r="R316" s="48" t="n">
        <v>0.93</v>
      </c>
      <c r="S316" s="48" t="n">
        <v>0.93</v>
      </c>
      <c r="T316" s="14" t="inlineStr">
        <is>
          <t>D:\codex\outputs\football_odds_trader\decision_versions\2026-10-05\RUN_20261005_094642\slate_raw.csv</t>
        </is>
      </c>
      <c r="U316" s="14" t="n"/>
      <c r="V316" s="48" t="n"/>
      <c r="W316" s="48" t="n"/>
      <c r="X316" s="14" t="inlineStr">
        <is>
          <t>3014103</t>
        </is>
      </c>
      <c r="Y316" s="14" t="inlineStr">
        <is>
          <t>V4</t>
        </is>
      </c>
      <c r="Z316" s="14" t="inlineStr">
        <is>
          <t>prior-2026-10-05-v1</t>
        </is>
      </c>
      <c r="AA316" s="14" t="inlineStr">
        <is>
          <t>B</t>
        </is>
      </c>
      <c r="AB316" s="14" t="n">
        <v>0.5647804734631759</v>
      </c>
      <c r="AC316" s="14" t="n">
        <v>0.435219526536824</v>
      </c>
      <c r="AD316" s="14" t="n">
        <v>0.75</v>
      </c>
      <c r="AE316" s="14" t="n"/>
      <c r="AF316" s="14" t="n"/>
      <c r="AG316" s="14" t="n">
        <v>0.09002631378392961</v>
      </c>
      <c r="AH316" s="14" t="n"/>
      <c r="AI316" s="14" t="n"/>
      <c r="AJ316" s="14" t="n">
        <v>0.09002631378392961</v>
      </c>
      <c r="AK316" s="14" t="n"/>
      <c r="AL316" s="14" t="n"/>
      <c r="AM316" s="14" t="inlineStr">
        <is>
          <t>EVALUATED</t>
        </is>
      </c>
      <c r="AN316" s="14" t="inlineStr">
        <is>
          <t>GIVING_VALIDATED_EDGE;BUCKET_PRIOR_ONLY;INTENT_INTERPRETATION_ONLY;FFL_OPTIONAL;EXPERT_MARKET</t>
        </is>
      </c>
      <c r="AO316" s="14" t="inlineStr">
        <is>
          <t>7fe49eddfe71b928b946</t>
        </is>
      </c>
      <c r="AP316" s="14" t="n">
        <v>-0.5</v>
      </c>
      <c r="AQ316" s="14" t="n">
        <v>0.93</v>
      </c>
      <c r="AR316" s="14" t="n">
        <v>0.5</v>
      </c>
      <c r="AS316" s="14" t="n">
        <v>-0.5</v>
      </c>
      <c r="AT316" s="14" t="n">
        <v>0.93</v>
      </c>
      <c r="AU316" s="14" t="n">
        <v>0.95</v>
      </c>
      <c r="AV316" s="14" t="inlineStr">
        <is>
          <t>2026-10-05T09:47:42.381506+08:00</t>
        </is>
      </c>
      <c r="AW316" s="14" t="inlineStr">
        <is>
          <t>Titan007/V4</t>
        </is>
      </c>
      <c r="AX316" s="14" t="inlineStr">
        <is>
          <t>Daily append；市场输入缺失时不生成决策</t>
        </is>
      </c>
      <c r="AY316" s="14" t="n"/>
    </row>
    <row r="317" ht="22" customHeight="1" s="39">
      <c r="A317" s="14" t="inlineStr">
        <is>
          <t>2026-10-05</t>
        </is>
      </c>
      <c r="B317" s="14" t="inlineStr">
        <is>
          <t>2026-10-06T09:00:00+08:00</t>
        </is>
      </c>
      <c r="C317" s="14" t="n"/>
      <c r="D317" s="14" t="n"/>
      <c r="E317" s="14" t="inlineStr">
        <is>
          <t>巴马甲秋</t>
        </is>
      </c>
      <c r="F317" s="14" t="inlineStr">
        <is>
          <t>圣米格利托体育 vs 科克莱联</t>
        </is>
      </c>
      <c r="G317" s="26" t="n">
        <v>0.93</v>
      </c>
      <c r="H317" s="26" t="n">
        <v>0.5</v>
      </c>
      <c r="I317" s="26" t="n">
        <v>0.88</v>
      </c>
      <c r="J317" s="26" t="inlineStr">
        <is>
          <t>0.93/0.5/0.88</t>
        </is>
      </c>
      <c r="K317" s="14" t="inlineStr">
        <is>
          <t>V4-B</t>
        </is>
      </c>
      <c r="L317" s="14" t="inlineStr">
        <is>
          <t>圣米格利托体育</t>
        </is>
      </c>
      <c r="M317" s="47" t="n">
        <v>0.5653681387163687</v>
      </c>
      <c r="N317" s="14" t="inlineStr">
        <is>
          <t>V4 Shadow Only；real_money=false</t>
        </is>
      </c>
      <c r="O317" s="14" t="inlineStr">
        <is>
          <t>0-0</t>
        </is>
      </c>
      <c r="P317" s="14" t="inlineStr">
        <is>
          <t>EVALUATED</t>
        </is>
      </c>
      <c r="Q317" s="14" t="inlineStr">
        <is>
          <t>B</t>
        </is>
      </c>
      <c r="R317" s="48" t="n">
        <v>0.93</v>
      </c>
      <c r="S317" s="48" t="n"/>
      <c r="T317" s="14" t="inlineStr">
        <is>
          <t>D:\codex\outputs\football_odds_trader\decision_versions\2026-10-05\RUN_20261005_094642\slate_raw.csv</t>
        </is>
      </c>
      <c r="U317" s="14" t="n"/>
      <c r="V317" s="48" t="n"/>
      <c r="W317" s="48" t="n"/>
      <c r="X317" s="14" t="inlineStr">
        <is>
          <t>3036212</t>
        </is>
      </c>
      <c r="Y317" s="14" t="inlineStr">
        <is>
          <t>V4</t>
        </is>
      </c>
      <c r="Z317" s="14" t="inlineStr">
        <is>
          <t>prior-2026-10-05-v1</t>
        </is>
      </c>
      <c r="AA317" s="14" t="inlineStr">
        <is>
          <t>B</t>
        </is>
      </c>
      <c r="AB317" s="14" t="n">
        <v>0.5653681387163687</v>
      </c>
      <c r="AC317" s="14" t="n">
        <v>0.4346318612836313</v>
      </c>
      <c r="AD317" s="14" t="n">
        <v>0.75</v>
      </c>
      <c r="AE317" s="14" t="n"/>
      <c r="AF317" s="14" t="n"/>
      <c r="AG317" s="14" t="n">
        <v>0.0911605077225916</v>
      </c>
      <c r="AH317" s="14" t="n"/>
      <c r="AI317" s="14" t="n"/>
      <c r="AJ317" s="14" t="n">
        <v>0.0911605077225916</v>
      </c>
      <c r="AK317" s="14" t="n"/>
      <c r="AL317" s="14" t="n"/>
      <c r="AM317" s="14" t="inlineStr">
        <is>
          <t>EVALUATED</t>
        </is>
      </c>
      <c r="AN317" s="14" t="inlineStr">
        <is>
          <t>GIVING_VALIDATED_EDGE;BUCKET_PRIOR_ONLY;INTENT_INTERPRETATION_ONLY;FFL_OPTIONAL;EXPERT_MARKET</t>
        </is>
      </c>
      <c r="AO317" s="14" t="inlineStr">
        <is>
          <t>c6b2a3517366a175c627</t>
        </is>
      </c>
      <c r="AP317" s="14" t="n">
        <v>-0.5</v>
      </c>
      <c r="AQ317" s="14" t="n">
        <v>0.93</v>
      </c>
      <c r="AR317" s="14" t="n">
        <v>0.5</v>
      </c>
      <c r="AS317" s="14" t="n">
        <v>-0.5</v>
      </c>
      <c r="AT317" s="14" t="n">
        <v>0.93</v>
      </c>
      <c r="AU317" s="14" t="n">
        <v>0.88</v>
      </c>
      <c r="AV317" s="14" t="inlineStr">
        <is>
          <t>2026-10-05T09:47:42.381506+08:00</t>
        </is>
      </c>
      <c r="AW317" s="14" t="inlineStr">
        <is>
          <t>Titan007/V4</t>
        </is>
      </c>
      <c r="AX317" s="14" t="inlineStr">
        <is>
          <t>Daily append；市场输入缺失时不生成决策</t>
        </is>
      </c>
      <c r="AY317" s="14" t="n"/>
    </row>
    <row r="318" ht="22" customHeight="1" s="39">
      <c r="A318" s="14" t="inlineStr">
        <is>
          <t>2026-10-05</t>
        </is>
      </c>
      <c r="B318" s="14" t="inlineStr">
        <is>
          <t>2026-10-06T02:45:00+08:00</t>
        </is>
      </c>
      <c r="C318" s="14" t="n"/>
      <c r="D318" s="14" t="n"/>
      <c r="E318" s="14" t="inlineStr">
        <is>
          <t>英依超</t>
        </is>
      </c>
      <c r="F318" s="14" t="inlineStr">
        <is>
          <t>卡尔顿斯 vs 东伯尼</t>
        </is>
      </c>
      <c r="G318" s="26" t="n">
        <v>0.79</v>
      </c>
      <c r="H318" s="26" t="n">
        <v>-0.25</v>
      </c>
      <c r="I318" s="26" t="n">
        <v>0.91</v>
      </c>
      <c r="J318" s="26" t="inlineStr">
        <is>
          <t>0.79/-0.25/0.91</t>
        </is>
      </c>
      <c r="K318" s="14" t="inlineStr">
        <is>
          <t>V4-B</t>
        </is>
      </c>
      <c r="L318" s="14" t="inlineStr">
        <is>
          <t>卡尔顿斯</t>
        </is>
      </c>
      <c r="M318" s="47" t="n">
        <v>0.3034419728933978</v>
      </c>
      <c r="N318" s="14" t="inlineStr">
        <is>
          <t>V4 Shadow Only；real_money=false</t>
        </is>
      </c>
      <c r="O318" s="14" t="inlineStr">
        <is>
          <t>0-4</t>
        </is>
      </c>
      <c r="P318" s="14" t="inlineStr">
        <is>
          <t>已结算</t>
        </is>
      </c>
      <c r="Q318" s="14" t="inlineStr">
        <is>
          <t>黑</t>
        </is>
      </c>
      <c r="R318" s="48" t="n">
        <v>0.79</v>
      </c>
      <c r="S318" s="48" t="n">
        <v>-1</v>
      </c>
      <c r="T318" s="14" t="inlineStr">
        <is>
          <t>D:\codex\outputs\football_odds_trader\decision_versions\2026-10-05\RUN_20261005_094642\slate_raw.csv</t>
        </is>
      </c>
      <c r="U318" s="14" t="n"/>
      <c r="V318" s="48" t="n"/>
      <c r="W318" s="48" t="n"/>
      <c r="X318" s="14" t="inlineStr">
        <is>
          <t>3037427</t>
        </is>
      </c>
      <c r="Y318" s="14" t="inlineStr">
        <is>
          <t>V4</t>
        </is>
      </c>
      <c r="Z318" s="14" t="inlineStr">
        <is>
          <t>prior-2026-10-05-v1</t>
        </is>
      </c>
      <c r="AA318" s="14" t="inlineStr">
        <is>
          <t>B</t>
        </is>
      </c>
      <c r="AB318" s="14" t="n">
        <v>0.3034419728933978</v>
      </c>
      <c r="AC318" s="14" t="n">
        <v>0.5669776085103964</v>
      </c>
      <c r="AD318" s="14" t="n">
        <v>-0.25</v>
      </c>
      <c r="AE318" s="14" t="n">
        <v>0</v>
      </c>
      <c r="AF318" s="14" t="n">
        <v>0</v>
      </c>
      <c r="AG318" s="14" t="n">
        <v>0.1444703378298154</v>
      </c>
      <c r="AH318" s="14" t="n"/>
      <c r="AI318" s="14" t="n"/>
      <c r="AJ318" s="14" t="n">
        <v>0.1444703378298154</v>
      </c>
      <c r="AK318" s="14" t="n"/>
      <c r="AL318" s="14" t="n"/>
      <c r="AM318" s="14" t="inlineStr">
        <is>
          <t>EVALUATED</t>
        </is>
      </c>
      <c r="AN318" s="14" t="inlineStr">
        <is>
          <t>RECEIVING_VALIDATED_EDGE;BUCKET_PRIOR_ONLY;INTENT_INTERPRETATION_ONLY;FFL_OPTIONAL;EXPERT_MARKET</t>
        </is>
      </c>
      <c r="AO318" s="14" t="inlineStr">
        <is>
          <t>a42a0128b8b58042f1e6</t>
        </is>
      </c>
      <c r="AP318" s="14" t="n">
        <v>0.25</v>
      </c>
      <c r="AQ318" s="14" t="n">
        <v>0.79</v>
      </c>
      <c r="AR318" s="14" t="n">
        <v>-0.25</v>
      </c>
      <c r="AS318" s="14" t="n">
        <v>0.25</v>
      </c>
      <c r="AT318" s="14" t="n">
        <v>0.79</v>
      </c>
      <c r="AU318" s="14" t="n">
        <v>0.91</v>
      </c>
      <c r="AV318" s="14" t="inlineStr">
        <is>
          <t>2026-10-05T09:47:42.381506+08:00</t>
        </is>
      </c>
      <c r="AW318" s="14" t="inlineStr">
        <is>
          <t>Titan007/V4</t>
        </is>
      </c>
      <c r="AX318" s="14" t="inlineStr">
        <is>
          <t>Daily append；市场输入缺失时不生成决策</t>
        </is>
      </c>
      <c r="AY318" s="14" t="n"/>
    </row>
    <row r="319" ht="22" customHeight="1" s="39">
      <c r="A319" s="14" t="inlineStr">
        <is>
          <t>2026-10-05</t>
        </is>
      </c>
      <c r="B319" s="14" t="inlineStr">
        <is>
          <t>2026-10-06T00:00:00+08:00</t>
        </is>
      </c>
      <c r="C319" s="14" t="n"/>
      <c r="D319" s="14" t="n"/>
      <c r="E319" s="14" t="inlineStr">
        <is>
          <t>塞尔甲</t>
        </is>
      </c>
      <c r="F319" s="14" t="inlineStr">
        <is>
          <t>巴奇卡托波拉 vs 格拉菲卡贝尔格莱德</t>
        </is>
      </c>
      <c r="G319" s="26" t="n">
        <v>0.8</v>
      </c>
      <c r="H319" s="26" t="n">
        <v>1.5</v>
      </c>
      <c r="I319" s="26" t="n">
        <v>0.9</v>
      </c>
      <c r="J319" s="26" t="inlineStr">
        <is>
          <t>0.8/1.5/0.9</t>
        </is>
      </c>
      <c r="K319" s="14" t="inlineStr">
        <is>
          <t>V4-B</t>
        </is>
      </c>
      <c r="L319" s="14" t="inlineStr">
        <is>
          <t>巴奇卡托波拉</t>
        </is>
      </c>
      <c r="M319" s="47" t="n">
        <v>0.6564909381273087</v>
      </c>
      <c r="N319" s="14" t="inlineStr">
        <is>
          <t>V4 Shadow Only；real_money=false</t>
        </is>
      </c>
      <c r="O319" s="14" t="inlineStr">
        <is>
          <t>4-1</t>
        </is>
      </c>
      <c r="P319" s="14" t="inlineStr">
        <is>
          <t>已结算</t>
        </is>
      </c>
      <c r="Q319" s="14" t="inlineStr">
        <is>
          <t>红</t>
        </is>
      </c>
      <c r="R319" s="48" t="n">
        <v>0.8</v>
      </c>
      <c r="S319" s="48" t="n">
        <v>0.8</v>
      </c>
      <c r="T319" s="14" t="inlineStr">
        <is>
          <t>D:\codex\outputs\football_odds_trader\decision_versions\2026-10-05\RUN_20261005_094642\slate_raw.csv</t>
        </is>
      </c>
      <c r="U319" s="14" t="n"/>
      <c r="V319" s="48" t="n"/>
      <c r="W319" s="48" t="n"/>
      <c r="X319" s="14" t="inlineStr">
        <is>
          <t>3050284</t>
        </is>
      </c>
      <c r="Y319" s="14" t="inlineStr">
        <is>
          <t>V4</t>
        </is>
      </c>
      <c r="Z319" s="14" t="inlineStr">
        <is>
          <t>prior-2026-10-05-v1</t>
        </is>
      </c>
      <c r="AA319" s="14" t="inlineStr">
        <is>
          <t>B</t>
        </is>
      </c>
      <c r="AB319" s="14" t="n">
        <v>0.6564909381273087</v>
      </c>
      <c r="AC319" s="14" t="n">
        <v>0.3435090618726913</v>
      </c>
      <c r="AD319" s="14" t="n">
        <v>2.25</v>
      </c>
      <c r="AE319" s="14" t="n"/>
      <c r="AF319" s="14" t="n"/>
      <c r="AG319" s="14" t="n">
        <v>0.1816836886291557</v>
      </c>
      <c r="AH319" s="14" t="n"/>
      <c r="AI319" s="14" t="n"/>
      <c r="AJ319" s="14" t="n">
        <v>0.1816836886291557</v>
      </c>
      <c r="AK319" s="14" t="n"/>
      <c r="AL319" s="14" t="n"/>
      <c r="AM319" s="14" t="inlineStr">
        <is>
          <t>EVALUATED</t>
        </is>
      </c>
      <c r="AN319" s="14" t="inlineStr">
        <is>
          <t>GIVING_VALIDATED_EDGE;BUCKET_PRIOR_ONLY;INTENT_INTERPRETATION_ONLY;FFL_OPTIONAL;EXPERT_MARKET</t>
        </is>
      </c>
      <c r="AO319" s="14" t="inlineStr">
        <is>
          <t>84563fa6ceaa320de27d</t>
        </is>
      </c>
      <c r="AP319" s="14" t="n">
        <v>-1.5</v>
      </c>
      <c r="AQ319" s="14" t="n">
        <v>0.8</v>
      </c>
      <c r="AR319" s="14" t="n">
        <v>1.5</v>
      </c>
      <c r="AS319" s="14" t="n">
        <v>-1.5</v>
      </c>
      <c r="AT319" s="14" t="n">
        <v>0.8</v>
      </c>
      <c r="AU319" s="14" t="n">
        <v>0.9</v>
      </c>
      <c r="AV319" s="14" t="inlineStr">
        <is>
          <t>2026-10-05T09:47:42.381506+08:00</t>
        </is>
      </c>
      <c r="AW319" s="14" t="inlineStr">
        <is>
          <t>Titan007/V4</t>
        </is>
      </c>
      <c r="AX319" s="14" t="inlineStr">
        <is>
          <t>Daily append；市场输入缺失时不生成决策</t>
        </is>
      </c>
      <c r="AY319" s="14" t="n"/>
    </row>
    <row r="320" ht="22" customHeight="1" s="39">
      <c r="A320" s="14" t="inlineStr">
        <is>
          <t>2026-10-05</t>
        </is>
      </c>
      <c r="B320" s="14" t="inlineStr">
        <is>
          <t>2026-10-06T06:15:00+08:00</t>
        </is>
      </c>
      <c r="C320" s="14" t="inlineStr">
        <is>
          <t>CLUB_LEAGUE</t>
        </is>
      </c>
      <c r="D320" s="14" t="n"/>
      <c r="E320" s="14" t="inlineStr">
        <is>
          <t>巴拉甲秋</t>
        </is>
      </c>
      <c r="F320" s="14" t="inlineStr">
        <is>
          <t>波特诺山丘 vs 五月二日体育会</t>
        </is>
      </c>
      <c r="G320" s="26" t="n">
        <v>0.93</v>
      </c>
      <c r="H320" s="26" t="n">
        <v>1</v>
      </c>
      <c r="I320" s="26" t="n">
        <v>0.83</v>
      </c>
      <c r="J320" s="26" t="inlineStr">
        <is>
          <t>0.93/1.0/0.83</t>
        </is>
      </c>
      <c r="K320" s="14" t="inlineStr">
        <is>
          <t>V4-B</t>
        </is>
      </c>
      <c r="L320" s="14" t="inlineStr">
        <is>
          <t>波特诺山丘</t>
        </is>
      </c>
      <c r="M320" s="47" t="n">
        <v>0.4809389260622546</v>
      </c>
      <c r="N320" s="14" t="inlineStr">
        <is>
          <t>V4 Shadow Only；real_money=false</t>
        </is>
      </c>
      <c r="O320" s="14" t="inlineStr">
        <is>
          <t>0-2</t>
        </is>
      </c>
      <c r="P320" s="14" t="inlineStr">
        <is>
          <t>已结算</t>
        </is>
      </c>
      <c r="Q320" s="14" t="inlineStr">
        <is>
          <t>黑</t>
        </is>
      </c>
      <c r="R320" s="48" t="n">
        <v>0.93</v>
      </c>
      <c r="S320" s="48" t="n">
        <v>-1</v>
      </c>
      <c r="T320" s="14" t="inlineStr">
        <is>
          <t>D:\codex\outputs\football_odds_trader\decision_versions\2026-10-05\RUN_20261005_094642\slate_raw.csv</t>
        </is>
      </c>
      <c r="U320" s="14" t="n"/>
      <c r="V320" s="48" t="n"/>
      <c r="W320" s="48" t="n"/>
      <c r="X320" s="14" t="inlineStr">
        <is>
          <t>3074194</t>
        </is>
      </c>
      <c r="Y320" s="14" t="inlineStr">
        <is>
          <t>V4</t>
        </is>
      </c>
      <c r="Z320" s="14" t="inlineStr">
        <is>
          <t>prior-2026-10-05-v1</t>
        </is>
      </c>
      <c r="AA320" s="14" t="inlineStr">
        <is>
          <t>B</t>
        </is>
      </c>
      <c r="AB320" s="14" t="n">
        <v>0.4809389260622546</v>
      </c>
      <c r="AC320" s="14" t="n">
        <v>0.2654712080297005</v>
      </c>
      <c r="AD320" s="14" t="n">
        <v>1.5</v>
      </c>
      <c r="AE320" s="14" t="n"/>
      <c r="AF320" s="14" t="n"/>
      <c r="AG320" s="14" t="n">
        <v>0.1818019932081963</v>
      </c>
      <c r="AH320" s="14" t="n"/>
      <c r="AI320" s="14" t="n"/>
      <c r="AJ320" s="14" t="n">
        <v>0.1818019932081963</v>
      </c>
      <c r="AK320" s="14" t="n"/>
      <c r="AL320" s="14" t="n"/>
      <c r="AM320" s="14" t="inlineStr">
        <is>
          <t>EVALUATED</t>
        </is>
      </c>
      <c r="AN320" s="14" t="inlineStr">
        <is>
          <t>GIVING_VALIDATED_EDGE;BUCKET_PRIOR_ONLY;INTENT_INTERPRETATION_ONLY;FFL_OPTIONAL;EXPERT_MARKET</t>
        </is>
      </c>
      <c r="AO320" s="14" t="inlineStr">
        <is>
          <t>f52c31289b71649cbd4d</t>
        </is>
      </c>
      <c r="AP320" s="14" t="n">
        <v>-1</v>
      </c>
      <c r="AQ320" s="14" t="n">
        <v>0.93</v>
      </c>
      <c r="AR320" s="14" t="n">
        <v>1</v>
      </c>
      <c r="AS320" s="14" t="n">
        <v>-1</v>
      </c>
      <c r="AT320" s="14" t="n">
        <v>0.93</v>
      </c>
      <c r="AU320" s="14" t="n">
        <v>0.83</v>
      </c>
      <c r="AV320" s="14" t="inlineStr">
        <is>
          <t>2026-10-05T09:47:42.381506+08:00</t>
        </is>
      </c>
      <c r="AW320" s="14" t="inlineStr">
        <is>
          <t>Titan007/V4</t>
        </is>
      </c>
      <c r="AX320" s="14" t="inlineStr">
        <is>
          <t>Daily append；市场输入缺失时不生成决策</t>
        </is>
      </c>
      <c r="AY320" s="14" t="n"/>
    </row>
    <row r="321" ht="22" customHeight="1" s="39">
      <c r="A321" s="14" t="inlineStr">
        <is>
          <t>2026-10-05</t>
        </is>
      </c>
      <c r="B321" s="14" t="inlineStr">
        <is>
          <t>2026-10-06T04:00:00+08:00</t>
        </is>
      </c>
      <c r="C321" s="14" t="inlineStr">
        <is>
          <t>CLUB_LEAGUE</t>
        </is>
      </c>
      <c r="D321" s="14" t="n"/>
      <c r="E321" s="14" t="inlineStr">
        <is>
          <t>巴拉甲秋</t>
        </is>
      </c>
      <c r="F321" s="14" t="inlineStr">
        <is>
          <t>泰里尼登斯 vs 卢捷诺体育会</t>
        </is>
      </c>
      <c r="G321" s="26" t="n">
        <v>0.83</v>
      </c>
      <c r="H321" s="26" t="n">
        <v>0.5</v>
      </c>
      <c r="I321" s="26" t="n">
        <v>0.93</v>
      </c>
      <c r="J321" s="26" t="inlineStr">
        <is>
          <t>0.83/0.5/0.93</t>
        </is>
      </c>
      <c r="K321" s="14" t="inlineStr">
        <is>
          <t>V4-B</t>
        </is>
      </c>
      <c r="L321" s="14" t="inlineStr">
        <is>
          <t>泰里尼登斯</t>
        </is>
      </c>
      <c r="M321" s="47" t="n">
        <v>0.5969897807765826</v>
      </c>
      <c r="N321" s="14" t="inlineStr">
        <is>
          <t>V4 Shadow Only；real_money=false</t>
        </is>
      </c>
      <c r="O321" s="14" t="inlineStr">
        <is>
          <t>3-2</t>
        </is>
      </c>
      <c r="P321" s="14" t="inlineStr">
        <is>
          <t>已结算</t>
        </is>
      </c>
      <c r="Q321" s="14" t="inlineStr">
        <is>
          <t>红</t>
        </is>
      </c>
      <c r="R321" s="48" t="n">
        <v>0.83</v>
      </c>
      <c r="S321" s="48" t="n">
        <v>0.83</v>
      </c>
      <c r="T321" s="14" t="inlineStr">
        <is>
          <t>D:\codex\outputs\football_odds_trader\decision_versions\2026-10-05\RUN_20261005_094642\slate_raw.csv</t>
        </is>
      </c>
      <c r="U321" s="14" t="n"/>
      <c r="V321" s="48" t="n"/>
      <c r="W321" s="48" t="n"/>
      <c r="X321" s="14" t="inlineStr">
        <is>
          <t>3074198</t>
        </is>
      </c>
      <c r="Y321" s="14" t="inlineStr">
        <is>
          <t>V4</t>
        </is>
      </c>
      <c r="Z321" s="14" t="inlineStr">
        <is>
          <t>prior-2026-10-05-v1</t>
        </is>
      </c>
      <c r="AA321" s="14" t="inlineStr">
        <is>
          <t>B</t>
        </is>
      </c>
      <c r="AB321" s="14" t="n">
        <v>0.5969897807765826</v>
      </c>
      <c r="AC321" s="14" t="n">
        <v>0.4030102192234174</v>
      </c>
      <c r="AD321" s="14" t="n">
        <v>1</v>
      </c>
      <c r="AE321" s="14" t="n"/>
      <c r="AF321" s="14" t="n"/>
      <c r="AG321" s="14" t="n">
        <v>0.09249129882114615</v>
      </c>
      <c r="AH321" s="14" t="n"/>
      <c r="AI321" s="14" t="n"/>
      <c r="AJ321" s="14" t="n">
        <v>0.09249129882114615</v>
      </c>
      <c r="AK321" s="14" t="n"/>
      <c r="AL321" s="14" t="n"/>
      <c r="AM321" s="14" t="inlineStr">
        <is>
          <t>EVALUATED</t>
        </is>
      </c>
      <c r="AN321" s="14" t="inlineStr">
        <is>
          <t>GIVING_VALIDATED_EDGE;BUCKET_PRIOR_ONLY;INTENT_INTERPRETATION_ONLY;FFL_OPTIONAL;EXPERT_MARKET</t>
        </is>
      </c>
      <c r="AO321" s="14" t="inlineStr">
        <is>
          <t>a31831c21f7aa3aacb0c</t>
        </is>
      </c>
      <c r="AP321" s="14" t="n">
        <v>-0.5</v>
      </c>
      <c r="AQ321" s="14" t="n">
        <v>0.83</v>
      </c>
      <c r="AR321" s="14" t="n">
        <v>0.5</v>
      </c>
      <c r="AS321" s="14" t="n">
        <v>-0.5</v>
      </c>
      <c r="AT321" s="14" t="n">
        <v>0.83</v>
      </c>
      <c r="AU321" s="14" t="n">
        <v>0.93</v>
      </c>
      <c r="AV321" s="14" t="inlineStr">
        <is>
          <t>2026-10-05T09:47:42.381506+08:00</t>
        </is>
      </c>
      <c r="AW321" s="14" t="inlineStr">
        <is>
          <t>Titan007/V4</t>
        </is>
      </c>
      <c r="AX321" s="14" t="inlineStr">
        <is>
          <t>Daily append；市场输入缺失时不生成决策</t>
        </is>
      </c>
      <c r="AY321" s="14" t="n"/>
    </row>
    <row r="322" ht="22" customHeight="1" s="39">
      <c r="A322" s="14" t="inlineStr">
        <is>
          <t>2026-10-05</t>
        </is>
      </c>
      <c r="B322" s="14" t="inlineStr">
        <is>
          <t>2026-10-05T19:00:00+08:00</t>
        </is>
      </c>
      <c r="C322" s="14" t="n"/>
      <c r="D322" s="14" t="n"/>
      <c r="E322" s="14" t="inlineStr">
        <is>
          <t>中U21</t>
        </is>
      </c>
      <c r="F322" s="14" t="inlineStr">
        <is>
          <t>深圳新鹏城U21 vs 天津津门虎U21</t>
        </is>
      </c>
      <c r="G322" s="26" t="n">
        <v>0.98</v>
      </c>
      <c r="H322" s="26" t="n">
        <v>-1.25</v>
      </c>
      <c r="I322" s="26" t="n">
        <v>0.83</v>
      </c>
      <c r="J322" s="26" t="inlineStr">
        <is>
          <t>0.98/-1.25/0.83</t>
        </is>
      </c>
      <c r="K322" s="14" t="inlineStr">
        <is>
          <t>V4-C</t>
        </is>
      </c>
      <c r="L322" s="14" t="inlineStr">
        <is>
          <t>深圳新鹏城U21</t>
        </is>
      </c>
      <c r="M322" s="47" t="n">
        <v>0.01573376893886061</v>
      </c>
      <c r="N322" s="14" t="inlineStr">
        <is>
          <t>V4 Shadow Only；real_money=false</t>
        </is>
      </c>
      <c r="O322" s="14" t="inlineStr">
        <is>
          <t>0-0</t>
        </is>
      </c>
      <c r="P322" s="14" t="inlineStr">
        <is>
          <t>已结算</t>
        </is>
      </c>
      <c r="Q322" s="14" t="inlineStr">
        <is>
          <t>红</t>
        </is>
      </c>
      <c r="R322" s="48" t="n">
        <v>0.98</v>
      </c>
      <c r="S322" s="48" t="n">
        <v>0.98</v>
      </c>
      <c r="T322" s="14" t="inlineStr">
        <is>
          <t>D:\codex\outputs\football_odds_trader\decision_versions\2026-10-05\RUN_20261005_094642\slate_raw.csv</t>
        </is>
      </c>
      <c r="U322" s="14" t="n"/>
      <c r="V322" s="48" t="n"/>
      <c r="W322" s="48" t="n"/>
      <c r="X322" s="14" t="inlineStr">
        <is>
          <t>3087366</t>
        </is>
      </c>
      <c r="Y322" s="14" t="inlineStr">
        <is>
          <t>V4</t>
        </is>
      </c>
      <c r="Z322" s="14" t="inlineStr">
        <is>
          <t>prior-2026-10-05-v1</t>
        </is>
      </c>
      <c r="AA322" s="14" t="inlineStr">
        <is>
          <t>C</t>
        </is>
      </c>
      <c r="AB322" s="14" t="n">
        <v>0.01573376893886061</v>
      </c>
      <c r="AC322" s="14" t="n">
        <v>0.9543300354718409</v>
      </c>
      <c r="AD322" s="14" t="n">
        <v>-1.75</v>
      </c>
      <c r="AE322" s="14" t="n">
        <v>0</v>
      </c>
      <c r="AF322" s="14" t="n">
        <v>0</v>
      </c>
      <c r="AG322" s="14" t="n">
        <v>0.9195096658235435</v>
      </c>
      <c r="AH322" s="14" t="n"/>
      <c r="AI322" s="14" t="n"/>
      <c r="AJ322" s="14" t="n">
        <v>0.9195096658235435</v>
      </c>
      <c r="AK322" s="14" t="n"/>
      <c r="AL322" s="14" t="n"/>
      <c r="AM322" s="14" t="inlineStr">
        <is>
          <t>EVALUATED</t>
        </is>
      </c>
      <c r="AN322" s="14" t="inlineStr">
        <is>
          <t>RECEIVING_VALIDATED_EDGE;BUCKET_PRIOR_ONLY;INTENT_INTERPRETATION_ONLY;FFL_OPTIONAL;EXPERT_MARKET</t>
        </is>
      </c>
      <c r="AO322" s="14" t="inlineStr">
        <is>
          <t>adf0a9429ebfbc461e09</t>
        </is>
      </c>
      <c r="AP322" s="14" t="n">
        <v>1.25</v>
      </c>
      <c r="AQ322" s="14" t="n">
        <v>0.98</v>
      </c>
      <c r="AR322" s="14" t="n">
        <v>-1.25</v>
      </c>
      <c r="AS322" s="14" t="n">
        <v>1.25</v>
      </c>
      <c r="AT322" s="14" t="n">
        <v>0.98</v>
      </c>
      <c r="AU322" s="14" t="n">
        <v>0.83</v>
      </c>
      <c r="AV322" s="14" t="inlineStr">
        <is>
          <t>2026-10-05T09:47:42.381506+08:00</t>
        </is>
      </c>
      <c r="AW322" s="14" t="inlineStr">
        <is>
          <t>Titan007/V4</t>
        </is>
      </c>
      <c r="AX322" s="14" t="inlineStr">
        <is>
          <t>Daily append；市场输入缺失时不生成决策</t>
        </is>
      </c>
      <c r="AY322" s="14" t="n"/>
    </row>
    <row r="323" ht="22" customHeight="1" s="39">
      <c r="A323" s="14" t="inlineStr">
        <is>
          <t>2026-10-05</t>
        </is>
      </c>
      <c r="B323" s="14" t="inlineStr">
        <is>
          <t>2026-10-05T15:30:00+08:00</t>
        </is>
      </c>
      <c r="C323" s="14" t="n"/>
      <c r="D323" s="14" t="n"/>
      <c r="E323" s="14" t="inlineStr">
        <is>
          <t>中U21</t>
        </is>
      </c>
      <c r="F323" s="14" t="inlineStr">
        <is>
          <t>武汉三镇U21 vs 上海海港U21</t>
        </is>
      </c>
      <c r="G323" s="26" t="n">
        <v>0.95</v>
      </c>
      <c r="H323" s="26" t="n">
        <v>-1</v>
      </c>
      <c r="I323" s="26" t="n">
        <v>0.85</v>
      </c>
      <c r="J323" s="26" t="inlineStr">
        <is>
          <t>0.95/-1.0/0.85</t>
        </is>
      </c>
      <c r="K323" s="14" t="inlineStr">
        <is>
          <t>V4-C</t>
        </is>
      </c>
      <c r="L323" s="14" t="inlineStr">
        <is>
          <t>武汉三镇U21</t>
        </is>
      </c>
      <c r="M323" s="47" t="n">
        <v>0.02589890303110871</v>
      </c>
      <c r="N323" s="14" t="inlineStr">
        <is>
          <t>V4 Shadow Only；real_money=false</t>
        </is>
      </c>
      <c r="O323" s="14" t="inlineStr">
        <is>
          <t>0-0</t>
        </is>
      </c>
      <c r="P323" s="14" t="inlineStr">
        <is>
          <t>已结算</t>
        </is>
      </c>
      <c r="Q323" s="14" t="inlineStr">
        <is>
          <t>红</t>
        </is>
      </c>
      <c r="R323" s="48" t="n">
        <v>0.95</v>
      </c>
      <c r="S323" s="48" t="n">
        <v>0.95</v>
      </c>
      <c r="T323" s="14" t="inlineStr">
        <is>
          <t>D:\codex\outputs\football_odds_trader\decision_versions\2026-10-05\RUN_20261005_094642\slate_raw.csv</t>
        </is>
      </c>
      <c r="U323" s="14" t="n"/>
      <c r="V323" s="48" t="n"/>
      <c r="W323" s="48" t="n"/>
      <c r="X323" s="14" t="inlineStr">
        <is>
          <t>3087368</t>
        </is>
      </c>
      <c r="Y323" s="14" t="inlineStr">
        <is>
          <t>V4</t>
        </is>
      </c>
      <c r="Z323" s="14" t="inlineStr">
        <is>
          <t>prior-2026-10-05-v1</t>
        </is>
      </c>
      <c r="AA323" s="14" t="inlineStr">
        <is>
          <t>C</t>
        </is>
      </c>
      <c r="AB323" s="14" t="n">
        <v>0.02589890303110871</v>
      </c>
      <c r="AC323" s="14" t="n">
        <v>0.8945368995294677</v>
      </c>
      <c r="AD323" s="14" t="n">
        <v>-1.5</v>
      </c>
      <c r="AE323" s="14" t="n">
        <v>0</v>
      </c>
      <c r="AF323" s="14" t="n">
        <v>0</v>
      </c>
      <c r="AG323" s="14" t="n">
        <v>0.8239111515218855</v>
      </c>
      <c r="AH323" s="14" t="n"/>
      <c r="AI323" s="14" t="n"/>
      <c r="AJ323" s="14" t="n">
        <v>0.8239111515218855</v>
      </c>
      <c r="AK323" s="14" t="n"/>
      <c r="AL323" s="14" t="n"/>
      <c r="AM323" s="14" t="inlineStr">
        <is>
          <t>EVALUATED</t>
        </is>
      </c>
      <c r="AN323" s="14" t="inlineStr">
        <is>
          <t>RECEIVING_VALIDATED_EDGE;BUCKET_PRIOR_ONLY;INTENT_INTERPRETATION_ONLY;FFL_OPTIONAL;EXPERT_MARKET</t>
        </is>
      </c>
      <c r="AO323" s="14" t="inlineStr">
        <is>
          <t>760787f972c3654c9959</t>
        </is>
      </c>
      <c r="AP323" s="14" t="n">
        <v>1</v>
      </c>
      <c r="AQ323" s="14" t="n">
        <v>0.95</v>
      </c>
      <c r="AR323" s="14" t="n">
        <v>-1</v>
      </c>
      <c r="AS323" s="14" t="n">
        <v>1</v>
      </c>
      <c r="AT323" s="14" t="n">
        <v>0.95</v>
      </c>
      <c r="AU323" s="14" t="n">
        <v>0.85</v>
      </c>
      <c r="AV323" s="14" t="inlineStr">
        <is>
          <t>2026-10-05T09:47:42.381506+08:00</t>
        </is>
      </c>
      <c r="AW323" s="14" t="inlineStr">
        <is>
          <t>Titan007/V4</t>
        </is>
      </c>
      <c r="AX323" s="14" t="inlineStr">
        <is>
          <t>Daily append；市场输入缺失时不生成决策</t>
        </is>
      </c>
      <c r="AY323" s="14" t="n"/>
    </row>
    <row r="324" ht="22" customHeight="1" s="39">
      <c r="A324" s="14" t="inlineStr">
        <is>
          <t>2026-10-05</t>
        </is>
      </c>
      <c r="B324" s="14" t="inlineStr">
        <is>
          <t>2026-10-05T21:30:00+08:00</t>
        </is>
      </c>
      <c r="C324" s="14" t="n"/>
      <c r="D324" s="14" t="n"/>
      <c r="E324" s="14" t="inlineStr">
        <is>
          <t>伊朗甲</t>
        </is>
      </c>
      <c r="F324" s="14" t="inlineStr">
        <is>
          <t>哈瓦达尔 vs 帕尔斯布什尔</t>
        </is>
      </c>
      <c r="G324" s="26" t="n">
        <v>0.77</v>
      </c>
      <c r="H324" s="26" t="n">
        <v>-0.5</v>
      </c>
      <c r="I324" s="26" t="n">
        <v>1.01</v>
      </c>
      <c r="J324" s="26" t="inlineStr">
        <is>
          <t>0.77/-0.5/1.01</t>
        </is>
      </c>
      <c r="K324" s="14" t="inlineStr">
        <is>
          <t>V4-B</t>
        </is>
      </c>
      <c r="L324" s="14" t="inlineStr">
        <is>
          <t>哈瓦达尔</t>
        </is>
      </c>
      <c r="M324" s="47" t="n">
        <v>0.1722325271785804</v>
      </c>
      <c r="N324" s="14" t="inlineStr">
        <is>
          <t>V4 Shadow Only；real_money=false</t>
        </is>
      </c>
      <c r="O324" s="14" t="inlineStr">
        <is>
          <t>0-1</t>
        </is>
      </c>
      <c r="P324" s="14" t="inlineStr">
        <is>
          <t>已结算</t>
        </is>
      </c>
      <c r="Q324" s="14" t="inlineStr">
        <is>
          <t>黑</t>
        </is>
      </c>
      <c r="R324" s="48" t="n">
        <v>0.77</v>
      </c>
      <c r="S324" s="48" t="n">
        <v>-1</v>
      </c>
      <c r="T324" s="14" t="inlineStr">
        <is>
          <t>D:\codex\outputs\football_odds_trader\decision_versions\2026-10-05\RUN_20261005_094642\slate_raw.csv</t>
        </is>
      </c>
      <c r="U324" s="14" t="n"/>
      <c r="V324" s="48" t="n"/>
      <c r="W324" s="48" t="n"/>
      <c r="X324" s="14" t="inlineStr">
        <is>
          <t>3089248</t>
        </is>
      </c>
      <c r="Y324" s="14" t="inlineStr">
        <is>
          <t>V4</t>
        </is>
      </c>
      <c r="Z324" s="14" t="inlineStr">
        <is>
          <t>prior-2026-10-05-v1</t>
        </is>
      </c>
      <c r="AA324" s="14" t="inlineStr">
        <is>
          <t>B</t>
        </is>
      </c>
      <c r="AB324" s="14" t="n">
        <v>0.1722325271785804</v>
      </c>
      <c r="AC324" s="14" t="n">
        <v>0.8277674728214196</v>
      </c>
      <c r="AD324" s="14" t="n">
        <v>-1</v>
      </c>
      <c r="AE324" s="14" t="n">
        <v>0</v>
      </c>
      <c r="AF324" s="14" t="n">
        <v>0</v>
      </c>
      <c r="AG324" s="14" t="n">
        <v>0.4651484268939127</v>
      </c>
      <c r="AH324" s="14" t="n"/>
      <c r="AI324" s="14" t="n"/>
      <c r="AJ324" s="14" t="n">
        <v>0.4651484268939127</v>
      </c>
      <c r="AK324" s="14" t="n"/>
      <c r="AL324" s="14" t="n"/>
      <c r="AM324" s="14" t="inlineStr">
        <is>
          <t>EVALUATED</t>
        </is>
      </c>
      <c r="AN324" s="14" t="inlineStr">
        <is>
          <t>RECEIVING_VALIDATED_EDGE;BUCKET_PRIOR_ONLY;INTENT_INTERPRETATION_ONLY;FFL_OPTIONAL;EXPERT_MARKET</t>
        </is>
      </c>
      <c r="AO324" s="14" t="inlineStr">
        <is>
          <t>3d857bf521667b47ea63</t>
        </is>
      </c>
      <c r="AP324" s="14" t="n">
        <v>0.5</v>
      </c>
      <c r="AQ324" s="14" t="n">
        <v>0.77</v>
      </c>
      <c r="AR324" s="14" t="n">
        <v>-0.5</v>
      </c>
      <c r="AS324" s="14" t="n">
        <v>0.5</v>
      </c>
      <c r="AT324" s="14" t="n">
        <v>0.77</v>
      </c>
      <c r="AU324" s="14" t="n">
        <v>1.01</v>
      </c>
      <c r="AV324" s="14" t="inlineStr">
        <is>
          <t>2026-10-05T09:47:42.381506+08:00</t>
        </is>
      </c>
      <c r="AW324" s="14" t="inlineStr">
        <is>
          <t>Titan007/V4</t>
        </is>
      </c>
      <c r="AX324" s="14" t="inlineStr">
        <is>
          <t>Daily append；市场输入缺失时不生成决策</t>
        </is>
      </c>
      <c r="AY324" s="14" t="n"/>
    </row>
    <row r="325" ht="22" customHeight="1" s="39">
      <c r="A325" s="14" t="inlineStr">
        <is>
          <t>2026-10-05</t>
        </is>
      </c>
      <c r="B325" s="14" t="inlineStr">
        <is>
          <t>2026-10-06T08:00:00+08:00</t>
        </is>
      </c>
      <c r="C325" s="14" t="inlineStr">
        <is>
          <t>NATIONAL_OFFICIAL</t>
        </is>
      </c>
      <c r="D325" s="14" t="n"/>
      <c r="E325" s="14" t="inlineStr">
        <is>
          <t>中北美国联</t>
        </is>
      </c>
      <c r="F325" s="14" t="inlineStr">
        <is>
          <t>危地马拉 vs 苏里南</t>
        </is>
      </c>
      <c r="G325" s="26" t="n">
        <v>1.04</v>
      </c>
      <c r="H325" s="26" t="n">
        <v>0.25</v>
      </c>
      <c r="I325" s="26" t="n">
        <v>0.78</v>
      </c>
      <c r="J325" s="26" t="inlineStr">
        <is>
          <t>1.04/0.25/0.78</t>
        </is>
      </c>
      <c r="K325" s="14" t="inlineStr">
        <is>
          <t>V4-C</t>
        </is>
      </c>
      <c r="L325" s="14" t="inlineStr">
        <is>
          <t>危地马拉</t>
        </is>
      </c>
      <c r="M325" s="47" t="n">
        <v>0.4556069025727608</v>
      </c>
      <c r="N325" s="14" t="inlineStr">
        <is>
          <t>V4 Shadow Only；real_money=false</t>
        </is>
      </c>
      <c r="O325" s="14" t="inlineStr">
        <is>
          <t>0-0</t>
        </is>
      </c>
      <c r="P325" s="14" t="inlineStr">
        <is>
          <t>EVALUATED</t>
        </is>
      </c>
      <c r="Q325" s="14" t="inlineStr">
        <is>
          <t>C</t>
        </is>
      </c>
      <c r="R325" s="48" t="n">
        <v>1.04</v>
      </c>
      <c r="S325" s="48" t="n"/>
      <c r="T325" s="14" t="inlineStr">
        <is>
          <t>D:\codex\outputs\football_odds_trader\decision_versions\2026-10-05\RUN_20261005_094642\slate_raw.csv</t>
        </is>
      </c>
      <c r="U325" s="14" t="n"/>
      <c r="V325" s="48" t="n"/>
      <c r="W325" s="48" t="n"/>
      <c r="X325" s="14" t="inlineStr">
        <is>
          <t>3092446</t>
        </is>
      </c>
      <c r="Y325" s="14" t="inlineStr">
        <is>
          <t>V4</t>
        </is>
      </c>
      <c r="Z325" s="14" t="inlineStr">
        <is>
          <t>prior-2026-10-05-v1</t>
        </is>
      </c>
      <c r="AA325" s="14" t="inlineStr">
        <is>
          <t>C</t>
        </is>
      </c>
      <c r="AB325" s="14" t="n">
        <v>0.4556069025727608</v>
      </c>
      <c r="AC325" s="14" t="n">
        <v>0.4148904922918532</v>
      </c>
      <c r="AD325" s="14" t="n">
        <v>0.25</v>
      </c>
      <c r="AE325" s="14" t="n"/>
      <c r="AF325" s="14" t="n"/>
      <c r="AG325" s="14" t="n">
        <v>0.05894068638381811</v>
      </c>
      <c r="AH325" s="14" t="n"/>
      <c r="AI325" s="14" t="n"/>
      <c r="AJ325" s="14" t="n">
        <v>0.05894068638381811</v>
      </c>
      <c r="AK325" s="14" t="n"/>
      <c r="AL325" s="14" t="n"/>
      <c r="AM325" s="14" t="inlineStr">
        <is>
          <t>EVALUATED</t>
        </is>
      </c>
      <c r="AN325" s="14" t="inlineStr">
        <is>
          <t>GIVING_VALIDATED_EDGE;BUCKET_PRIOR_ONLY;INTENT_INTERPRETATION_ONLY;FFL_OPTIONAL;EXPERT_MARKET</t>
        </is>
      </c>
      <c r="AO325" s="14" t="inlineStr">
        <is>
          <t>289af861998fc2e1212a</t>
        </is>
      </c>
      <c r="AP325" s="14" t="n">
        <v>-0.25</v>
      </c>
      <c r="AQ325" s="14" t="n">
        <v>1.04</v>
      </c>
      <c r="AR325" s="14" t="n">
        <v>0.25</v>
      </c>
      <c r="AS325" s="14" t="n">
        <v>-0.25</v>
      </c>
      <c r="AT325" s="14" t="n">
        <v>1.04</v>
      </c>
      <c r="AU325" s="14" t="n">
        <v>0.78</v>
      </c>
      <c r="AV325" s="14" t="inlineStr">
        <is>
          <t>2026-10-05T09:47:42.381506+08:00</t>
        </is>
      </c>
      <c r="AW325" s="14" t="inlineStr">
        <is>
          <t>Titan007/V4</t>
        </is>
      </c>
      <c r="AX325" s="14" t="inlineStr">
        <is>
          <t>Daily append；市场输入缺失时不生成决策</t>
        </is>
      </c>
      <c r="AY325" s="14" t="n"/>
    </row>
    <row r="326" ht="22" customHeight="1" s="39">
      <c r="A326" s="14" t="inlineStr">
        <is>
          <t>2026-10-05</t>
        </is>
      </c>
      <c r="B326" s="14" t="inlineStr">
        <is>
          <t>2026-10-06T10:00:00+08:00</t>
        </is>
      </c>
      <c r="C326" s="14" t="inlineStr">
        <is>
          <t>NATIONAL_OFFICIAL</t>
        </is>
      </c>
      <c r="D326" s="14" t="n"/>
      <c r="E326" s="14" t="inlineStr">
        <is>
          <t>中北美国联</t>
        </is>
      </c>
      <c r="F326" s="14" t="inlineStr">
        <is>
          <t>洪都拉斯 vs 牙买加</t>
        </is>
      </c>
      <c r="G326" s="26" t="n">
        <v>0.98</v>
      </c>
      <c r="H326" s="26" t="n">
        <v>0.5</v>
      </c>
      <c r="I326" s="26" t="n">
        <v>0.84</v>
      </c>
      <c r="J326" s="26" t="inlineStr">
        <is>
          <t>0.98/0.5/0.84</t>
        </is>
      </c>
      <c r="K326" s="14" t="inlineStr">
        <is>
          <t>V4-B</t>
        </is>
      </c>
      <c r="L326" s="14" t="inlineStr">
        <is>
          <t>洪都拉斯</t>
        </is>
      </c>
      <c r="M326" s="47" t="n">
        <v>0.5517709310246485</v>
      </c>
      <c r="N326" s="14" t="inlineStr">
        <is>
          <t>V4 Shadow Only；real_money=false</t>
        </is>
      </c>
      <c r="O326" s="14" t="inlineStr">
        <is>
          <t>0-0</t>
        </is>
      </c>
      <c r="P326" s="14" t="inlineStr">
        <is>
          <t>EVALUATED</t>
        </is>
      </c>
      <c r="Q326" s="14" t="inlineStr">
        <is>
          <t>B</t>
        </is>
      </c>
      <c r="R326" s="48" t="n">
        <v>0.98</v>
      </c>
      <c r="S326" s="48" t="n"/>
      <c r="T326" s="14" t="inlineStr">
        <is>
          <t>D:\codex\outputs\football_odds_trader\decision_versions\2026-10-05\RUN_20261005_094642\slate_raw.csv</t>
        </is>
      </c>
      <c r="U326" s="14" t="n"/>
      <c r="V326" s="48" t="n"/>
      <c r="W326" s="48" t="n"/>
      <c r="X326" s="14" t="inlineStr">
        <is>
          <t>3092447</t>
        </is>
      </c>
      <c r="Y326" s="14" t="inlineStr">
        <is>
          <t>V4</t>
        </is>
      </c>
      <c r="Z326" s="14" t="inlineStr">
        <is>
          <t>prior-2026-10-05-v1</t>
        </is>
      </c>
      <c r="AA326" s="14" t="inlineStr">
        <is>
          <t>B</t>
        </is>
      </c>
      <c r="AB326" s="14" t="n">
        <v>0.5517709310246485</v>
      </c>
      <c r="AC326" s="14" t="n">
        <v>0.4482290689753515</v>
      </c>
      <c r="AD326" s="14" t="n">
        <v>0.75</v>
      </c>
      <c r="AE326" s="14" t="n"/>
      <c r="AF326" s="14" t="n"/>
      <c r="AG326" s="14" t="n">
        <v>0.09250644342880399</v>
      </c>
      <c r="AH326" s="14" t="n"/>
      <c r="AI326" s="14" t="n"/>
      <c r="AJ326" s="14" t="n">
        <v>0.09250644342880399</v>
      </c>
      <c r="AK326" s="14" t="n"/>
      <c r="AL326" s="14" t="n"/>
      <c r="AM326" s="14" t="inlineStr">
        <is>
          <t>EVALUATED</t>
        </is>
      </c>
      <c r="AN326" s="14" t="inlineStr">
        <is>
          <t>GIVING_VALIDATED_EDGE;BUCKET_PRIOR_ONLY;INTENT_INTERPRETATION_ONLY;FFL_OPTIONAL;EXPERT_MARKET</t>
        </is>
      </c>
      <c r="AO326" s="14" t="inlineStr">
        <is>
          <t>4746d4c1f3373ba4f408</t>
        </is>
      </c>
      <c r="AP326" s="14" t="n">
        <v>-0.5</v>
      </c>
      <c r="AQ326" s="14" t="n">
        <v>0.98</v>
      </c>
      <c r="AR326" s="14" t="n">
        <v>0.5</v>
      </c>
      <c r="AS326" s="14" t="n">
        <v>-0.5</v>
      </c>
      <c r="AT326" s="14" t="n">
        <v>0.98</v>
      </c>
      <c r="AU326" s="14" t="n">
        <v>0.84</v>
      </c>
      <c r="AV326" s="14" t="inlineStr">
        <is>
          <t>2026-10-05T09:47:42.381506+08:00</t>
        </is>
      </c>
      <c r="AW326" s="14" t="inlineStr">
        <is>
          <t>Titan007/V4</t>
        </is>
      </c>
      <c r="AX326" s="14" t="inlineStr">
        <is>
          <t>Daily append；市场输入缺失时不生成决策</t>
        </is>
      </c>
      <c r="AY326" s="14" t="n"/>
    </row>
    <row r="327" ht="22" customHeight="1" s="39">
      <c r="A327" s="14" t="inlineStr">
        <is>
          <t>2026-10-05</t>
        </is>
      </c>
      <c r="B327" s="14" t="inlineStr">
        <is>
          <t>2026-10-06T03:00:00+08:00</t>
        </is>
      </c>
      <c r="C327" s="14" t="inlineStr">
        <is>
          <t>NATIONAL_OFFICIAL</t>
        </is>
      </c>
      <c r="D327" s="14" t="n"/>
      <c r="E327" s="14" t="inlineStr">
        <is>
          <t>中北美国联</t>
        </is>
      </c>
      <c r="F327" s="14" t="inlineStr">
        <is>
          <t>瓜德罗普 vs 圣卢西亚</t>
        </is>
      </c>
      <c r="G327" s="26" t="n">
        <v>0.89</v>
      </c>
      <c r="H327" s="26" t="n">
        <v>-0.5</v>
      </c>
      <c r="I327" s="26" t="n">
        <v>0.8100000000000001</v>
      </c>
      <c r="J327" s="26" t="inlineStr">
        <is>
          <t>0.89/-0.5/0.81</t>
        </is>
      </c>
      <c r="K327" s="14" t="inlineStr">
        <is>
          <t>V4-B</t>
        </is>
      </c>
      <c r="L327" s="14" t="inlineStr">
        <is>
          <t>瓜德罗普</t>
        </is>
      </c>
      <c r="M327" s="47" t="n">
        <v>0.2088203568308909</v>
      </c>
      <c r="N327" s="14" t="inlineStr">
        <is>
          <t>V4 Shadow Only；real_money=false</t>
        </is>
      </c>
      <c r="O327" s="14" t="inlineStr">
        <is>
          <t>0-1</t>
        </is>
      </c>
      <c r="P327" s="14" t="inlineStr">
        <is>
          <t>已结算</t>
        </is>
      </c>
      <c r="Q327" s="14" t="inlineStr">
        <is>
          <t>黑</t>
        </is>
      </c>
      <c r="R327" s="48" t="n">
        <v>0.89</v>
      </c>
      <c r="S327" s="48" t="n">
        <v>-1</v>
      </c>
      <c r="T327" s="14" t="inlineStr">
        <is>
          <t>D:\codex\outputs\football_odds_trader\decision_versions\2026-10-05\RUN_20261005_094642\slate_raw.csv</t>
        </is>
      </c>
      <c r="U327" s="14" t="n"/>
      <c r="V327" s="48" t="n"/>
      <c r="W327" s="48" t="n"/>
      <c r="X327" s="14" t="inlineStr">
        <is>
          <t>3092466</t>
        </is>
      </c>
      <c r="Y327" s="14" t="inlineStr">
        <is>
          <t>V4</t>
        </is>
      </c>
      <c r="Z327" s="14" t="inlineStr">
        <is>
          <t>prior-2026-10-05-v1</t>
        </is>
      </c>
      <c r="AA327" s="14" t="inlineStr">
        <is>
          <t>B</t>
        </is>
      </c>
      <c r="AB327" s="14" t="n">
        <v>0.2088203568308909</v>
      </c>
      <c r="AC327" s="14" t="n">
        <v>0.791179643169109</v>
      </c>
      <c r="AD327" s="14" t="n">
        <v>-0.75</v>
      </c>
      <c r="AE327" s="14" t="n">
        <v>0</v>
      </c>
      <c r="AF327" s="14" t="n">
        <v>0</v>
      </c>
      <c r="AG327" s="14" t="n">
        <v>0.4953295255896161</v>
      </c>
      <c r="AH327" s="14" t="n"/>
      <c r="AI327" s="14" t="n"/>
      <c r="AJ327" s="14" t="n">
        <v>0.4953295255896161</v>
      </c>
      <c r="AK327" s="14" t="n"/>
      <c r="AL327" s="14" t="n"/>
      <c r="AM327" s="14" t="inlineStr">
        <is>
          <t>EVALUATED</t>
        </is>
      </c>
      <c r="AN327" s="14" t="inlineStr">
        <is>
          <t>RECEIVING_VALIDATED_EDGE;BUCKET_PRIOR_ONLY;INTENT_INTERPRETATION_ONLY;FFL_OPTIONAL;EXPERT_MARKET</t>
        </is>
      </c>
      <c r="AO327" s="14" t="inlineStr">
        <is>
          <t>2e982d68dabecc578ba1</t>
        </is>
      </c>
      <c r="AP327" s="14" t="n">
        <v>0.5</v>
      </c>
      <c r="AQ327" s="14" t="n">
        <v>0.89</v>
      </c>
      <c r="AR327" s="14" t="n">
        <v>-0.5</v>
      </c>
      <c r="AS327" s="14" t="n">
        <v>0.5</v>
      </c>
      <c r="AT327" s="14" t="n">
        <v>0.89</v>
      </c>
      <c r="AU327" s="14" t="n">
        <v>0.8100000000000001</v>
      </c>
      <c r="AV327" s="14" t="inlineStr">
        <is>
          <t>2026-10-05T09:47:42.381506+08:00</t>
        </is>
      </c>
      <c r="AW327" s="14" t="inlineStr">
        <is>
          <t>Titan007/V4</t>
        </is>
      </c>
      <c r="AX327" s="14" t="inlineStr">
        <is>
          <t>Daily append；市场输入缺失时不生成决策</t>
        </is>
      </c>
      <c r="AY327" s="14" t="n"/>
    </row>
    <row r="328" ht="22" customHeight="1" s="39">
      <c r="A328" s="14" t="inlineStr">
        <is>
          <t>2026-10-05</t>
        </is>
      </c>
      <c r="B328" s="14" t="inlineStr">
        <is>
          <t>2026-10-06T08:00:00+08:00</t>
        </is>
      </c>
      <c r="C328" s="14" t="inlineStr">
        <is>
          <t>NATIONAL_OFFICIAL</t>
        </is>
      </c>
      <c r="D328" s="14" t="n"/>
      <c r="E328" s="14" t="inlineStr">
        <is>
          <t>中北美国联</t>
        </is>
      </c>
      <c r="F328" s="14" t="inlineStr">
        <is>
          <t>百慕大群岛 vs 巴巴多斯</t>
        </is>
      </c>
      <c r="G328" s="26" t="n">
        <v>0.87</v>
      </c>
      <c r="H328" s="26" t="n">
        <v>-0.5</v>
      </c>
      <c r="I328" s="26" t="n">
        <v>0.83</v>
      </c>
      <c r="J328" s="26" t="inlineStr">
        <is>
          <t>0.87/-0.5/0.83</t>
        </is>
      </c>
      <c r="K328" s="14" t="inlineStr">
        <is>
          <t>V4-B</t>
        </is>
      </c>
      <c r="L328" s="14" t="inlineStr">
        <is>
          <t>百慕大群岛</t>
        </is>
      </c>
      <c r="M328" s="47" t="n">
        <v>0.216806190867622</v>
      </c>
      <c r="N328" s="14" t="inlineStr">
        <is>
          <t>V4 Shadow Only；real_money=false</t>
        </is>
      </c>
      <c r="O328" s="14" t="inlineStr">
        <is>
          <t>0-0</t>
        </is>
      </c>
      <c r="P328" s="14" t="inlineStr">
        <is>
          <t>EVALUATED</t>
        </is>
      </c>
      <c r="Q328" s="14" t="inlineStr">
        <is>
          <t>B</t>
        </is>
      </c>
      <c r="R328" s="48" t="n">
        <v>0.87</v>
      </c>
      <c r="S328" s="48" t="n"/>
      <c r="T328" s="14" t="inlineStr">
        <is>
          <t>D:\codex\outputs\football_odds_trader\decision_versions\2026-10-05\RUN_20261005_094642\slate_raw.csv</t>
        </is>
      </c>
      <c r="U328" s="14" t="n"/>
      <c r="V328" s="48" t="n"/>
      <c r="W328" s="48" t="n"/>
      <c r="X328" s="14" t="inlineStr">
        <is>
          <t>3092467</t>
        </is>
      </c>
      <c r="Y328" s="14" t="inlineStr">
        <is>
          <t>V4</t>
        </is>
      </c>
      <c r="Z328" s="14" t="inlineStr">
        <is>
          <t>prior-2026-10-05-v1</t>
        </is>
      </c>
      <c r="AA328" s="14" t="inlineStr">
        <is>
          <t>B</t>
        </is>
      </c>
      <c r="AB328" s="14" t="n">
        <v>0.216806190867622</v>
      </c>
      <c r="AC328" s="14" t="n">
        <v>0.783193809132378</v>
      </c>
      <c r="AD328" s="14" t="n">
        <v>-0.75</v>
      </c>
      <c r="AE328" s="14" t="n">
        <v>0</v>
      </c>
      <c r="AF328" s="14" t="n">
        <v>0</v>
      </c>
      <c r="AG328" s="14" t="n">
        <v>0.4645724230775468</v>
      </c>
      <c r="AH328" s="14" t="n"/>
      <c r="AI328" s="14" t="n"/>
      <c r="AJ328" s="14" t="n">
        <v>0.4645724230775468</v>
      </c>
      <c r="AK328" s="14" t="n"/>
      <c r="AL328" s="14" t="n"/>
      <c r="AM328" s="14" t="inlineStr">
        <is>
          <t>EVALUATED</t>
        </is>
      </c>
      <c r="AN328" s="14" t="inlineStr">
        <is>
          <t>RECEIVING_VALIDATED_EDGE;BUCKET_PRIOR_ONLY;INTENT_INTERPRETATION_ONLY;FFL_OPTIONAL;EXPERT_MARKET</t>
        </is>
      </c>
      <c r="AO328" s="14" t="inlineStr">
        <is>
          <t>fac0ada4d0bca55f95b2</t>
        </is>
      </c>
      <c r="AP328" s="14" t="n">
        <v>0.5</v>
      </c>
      <c r="AQ328" s="14" t="n">
        <v>0.87</v>
      </c>
      <c r="AR328" s="14" t="n">
        <v>-0.5</v>
      </c>
      <c r="AS328" s="14" t="n">
        <v>0.5</v>
      </c>
      <c r="AT328" s="14" t="n">
        <v>0.87</v>
      </c>
      <c r="AU328" s="14" t="n">
        <v>0.83</v>
      </c>
      <c r="AV328" s="14" t="inlineStr">
        <is>
          <t>2026-10-05T09:47:42.381506+08:00</t>
        </is>
      </c>
      <c r="AW328" s="14" t="inlineStr">
        <is>
          <t>Titan007/V4</t>
        </is>
      </c>
      <c r="AX328" s="14" t="inlineStr">
        <is>
          <t>Daily append；市场输入缺失时不生成决策</t>
        </is>
      </c>
      <c r="AY328" s="14" t="n"/>
    </row>
    <row r="329" ht="22" customHeight="1" s="39">
      <c r="A329" s="14" t="inlineStr">
        <is>
          <t>2026-10-05</t>
        </is>
      </c>
      <c r="B329" s="14" t="inlineStr">
        <is>
          <t>2026-10-06T08:00:00+08:00</t>
        </is>
      </c>
      <c r="C329" s="14" t="inlineStr">
        <is>
          <t>NATIONAL_OFFICIAL</t>
        </is>
      </c>
      <c r="D329" s="14" t="n"/>
      <c r="E329" s="14" t="inlineStr">
        <is>
          <t>中北美国联</t>
        </is>
      </c>
      <c r="F329" s="14" t="inlineStr">
        <is>
          <t>格林纳达 vs 博奈尔</t>
        </is>
      </c>
      <c r="G329" s="26" t="n">
        <v>1</v>
      </c>
      <c r="H329" s="26" t="n">
        <v>1.5</v>
      </c>
      <c r="I329" s="26" t="n">
        <v>0.7</v>
      </c>
      <c r="J329" s="26" t="inlineStr">
        <is>
          <t>1.0/1.5/0.7</t>
        </is>
      </c>
      <c r="K329" s="14" t="inlineStr">
        <is>
          <t>V4-C</t>
        </is>
      </c>
      <c r="L329" s="14" t="inlineStr">
        <is>
          <t>格林纳达</t>
        </is>
      </c>
      <c r="M329" s="47" t="n">
        <v>0.5349210375474165</v>
      </c>
      <c r="N329" s="14" t="inlineStr">
        <is>
          <t>V4 Shadow Only；real_money=false</t>
        </is>
      </c>
      <c r="O329" s="14" t="inlineStr">
        <is>
          <t>0-0</t>
        </is>
      </c>
      <c r="P329" s="14" t="inlineStr">
        <is>
          <t>EVALUATED</t>
        </is>
      </c>
      <c r="Q329" s="14" t="inlineStr">
        <is>
          <t>C</t>
        </is>
      </c>
      <c r="R329" s="48" t="n">
        <v>1</v>
      </c>
      <c r="S329" s="48" t="n"/>
      <c r="T329" s="14" t="inlineStr">
        <is>
          <t>D:\codex\outputs\football_odds_trader\decision_versions\2026-10-05\RUN_20261005_094642\slate_raw.csv</t>
        </is>
      </c>
      <c r="U329" s="14" t="n"/>
      <c r="V329" s="48" t="n"/>
      <c r="W329" s="48" t="n"/>
      <c r="X329" s="14" t="inlineStr">
        <is>
          <t>3092479</t>
        </is>
      </c>
      <c r="Y329" s="14" t="inlineStr">
        <is>
          <t>V4</t>
        </is>
      </c>
      <c r="Z329" s="14" t="inlineStr">
        <is>
          <t>prior-2026-10-05-v1</t>
        </is>
      </c>
      <c r="AA329" s="14" t="inlineStr">
        <is>
          <t>C</t>
        </is>
      </c>
      <c r="AB329" s="14" t="n">
        <v>0.5349210375474165</v>
      </c>
      <c r="AC329" s="14" t="n">
        <v>0.4650789624525835</v>
      </c>
      <c r="AD329" s="14" t="n">
        <v>1.75</v>
      </c>
      <c r="AE329" s="14" t="n"/>
      <c r="AF329" s="14" t="n"/>
      <c r="AG329" s="14" t="n">
        <v>0.06984207509483303</v>
      </c>
      <c r="AH329" s="14" t="n"/>
      <c r="AI329" s="14" t="n"/>
      <c r="AJ329" s="14" t="n">
        <v>0.06984207509483303</v>
      </c>
      <c r="AK329" s="14" t="n"/>
      <c r="AL329" s="14" t="n"/>
      <c r="AM329" s="14" t="inlineStr">
        <is>
          <t>EVALUATED</t>
        </is>
      </c>
      <c r="AN329" s="14" t="inlineStr">
        <is>
          <t>GIVING_VALIDATED_EDGE;BUCKET_PRIOR_ONLY;INTENT_INTERPRETATION_ONLY;FFL_OPTIONAL;EXPERT_MARKET</t>
        </is>
      </c>
      <c r="AO329" s="14" t="inlineStr">
        <is>
          <t>a2579bc9edf669aafa8b</t>
        </is>
      </c>
      <c r="AP329" s="14" t="n">
        <v>-1.5</v>
      </c>
      <c r="AQ329" s="14" t="n">
        <v>1</v>
      </c>
      <c r="AR329" s="14" t="n">
        <v>1.5</v>
      </c>
      <c r="AS329" s="14" t="n">
        <v>-1.5</v>
      </c>
      <c r="AT329" s="14" t="n">
        <v>1</v>
      </c>
      <c r="AU329" s="14" t="n">
        <v>0.7</v>
      </c>
      <c r="AV329" s="14" t="inlineStr">
        <is>
          <t>2026-10-05T09:47:42.381506+08:00</t>
        </is>
      </c>
      <c r="AW329" s="14" t="inlineStr">
        <is>
          <t>Titan007/V4</t>
        </is>
      </c>
      <c r="AX329" s="14" t="inlineStr">
        <is>
          <t>Daily append；市场输入缺失时不生成决策</t>
        </is>
      </c>
      <c r="AY329" s="14" t="n"/>
    </row>
    <row r="330" ht="22" customHeight="1" s="39">
      <c r="A330" s="14" t="inlineStr">
        <is>
          <t>2026-10-05</t>
        </is>
      </c>
      <c r="B330" s="14" t="inlineStr">
        <is>
          <t>2026-10-06T06:05:00+08:00</t>
        </is>
      </c>
      <c r="C330" s="14" t="n"/>
      <c r="D330" s="14" t="n"/>
      <c r="E330" s="14" t="inlineStr">
        <is>
          <t>牙买超</t>
        </is>
      </c>
      <c r="F330" s="14" t="inlineStr">
        <is>
          <t>查珀尔顿 vs 沃特豪斯</t>
        </is>
      </c>
      <c r="G330" s="26" t="n">
        <v>0.91</v>
      </c>
      <c r="H330" s="26" t="n">
        <v>-0.5</v>
      </c>
      <c r="I330" s="26" t="n">
        <v>0.79</v>
      </c>
      <c r="J330" s="26" t="inlineStr">
        <is>
          <t>0.91/-0.5/0.79</t>
        </is>
      </c>
      <c r="K330" s="14" t="inlineStr">
        <is>
          <t>V4-B</t>
        </is>
      </c>
      <c r="L330" s="14" t="inlineStr">
        <is>
          <t>查珀尔顿</t>
        </is>
      </c>
      <c r="M330" s="47" t="n">
        <v>0.1675371738098754</v>
      </c>
      <c r="N330" s="14" t="inlineStr">
        <is>
          <t>V4 Shadow Only；real_money=false</t>
        </is>
      </c>
      <c r="O330" s="14" t="inlineStr">
        <is>
          <t>0-6</t>
        </is>
      </c>
      <c r="P330" s="14" t="inlineStr">
        <is>
          <t>已结算</t>
        </is>
      </c>
      <c r="Q330" s="14" t="inlineStr">
        <is>
          <t>黑</t>
        </is>
      </c>
      <c r="R330" s="48" t="n">
        <v>0.91</v>
      </c>
      <c r="S330" s="48" t="n">
        <v>-1</v>
      </c>
      <c r="T330" s="14" t="inlineStr">
        <is>
          <t>D:\codex\outputs\football_odds_trader\decision_versions\2026-10-05\RUN_20261005_094642\slate_raw.csv</t>
        </is>
      </c>
      <c r="U330" s="14" t="n"/>
      <c r="V330" s="48" t="n"/>
      <c r="W330" s="48" t="n"/>
      <c r="X330" s="14" t="inlineStr">
        <is>
          <t>3094005</t>
        </is>
      </c>
      <c r="Y330" s="14" t="inlineStr">
        <is>
          <t>V4</t>
        </is>
      </c>
      <c r="Z330" s="14" t="inlineStr">
        <is>
          <t>prior-2026-10-05-v1</t>
        </is>
      </c>
      <c r="AA330" s="14" t="inlineStr">
        <is>
          <t>B</t>
        </is>
      </c>
      <c r="AB330" s="14" t="n">
        <v>0.1675371738098754</v>
      </c>
      <c r="AC330" s="14" t="n">
        <v>0.8324628261901246</v>
      </c>
      <c r="AD330" s="14" t="n">
        <v>-1</v>
      </c>
      <c r="AE330" s="14" t="n">
        <v>0</v>
      </c>
      <c r="AF330" s="14" t="n">
        <v>0</v>
      </c>
      <c r="AG330" s="14" t="n">
        <v>0.590003998023138</v>
      </c>
      <c r="AH330" s="14" t="n"/>
      <c r="AI330" s="14" t="n"/>
      <c r="AJ330" s="14" t="n">
        <v>0.590003998023138</v>
      </c>
      <c r="AK330" s="14" t="n"/>
      <c r="AL330" s="14" t="n"/>
      <c r="AM330" s="14" t="inlineStr">
        <is>
          <t>EVALUATED</t>
        </is>
      </c>
      <c r="AN330" s="14" t="inlineStr">
        <is>
          <t>RECEIVING_VALIDATED_EDGE;BUCKET_PRIOR_ONLY;INTENT_INTERPRETATION_ONLY;FFL_OPTIONAL;EXPERT_MARKET</t>
        </is>
      </c>
      <c r="AO330" s="14" t="inlineStr">
        <is>
          <t>826ed41649d540a5cebe</t>
        </is>
      </c>
      <c r="AP330" s="14" t="n">
        <v>0.5</v>
      </c>
      <c r="AQ330" s="14" t="n">
        <v>0.91</v>
      </c>
      <c r="AR330" s="14" t="n">
        <v>-0.5</v>
      </c>
      <c r="AS330" s="14" t="n">
        <v>0.5</v>
      </c>
      <c r="AT330" s="14" t="n">
        <v>0.91</v>
      </c>
      <c r="AU330" s="14" t="n">
        <v>0.79</v>
      </c>
      <c r="AV330" s="14" t="inlineStr">
        <is>
          <t>2026-10-05T09:47:42.381506+08:00</t>
        </is>
      </c>
      <c r="AW330" s="14" t="inlineStr">
        <is>
          <t>Titan007/V4</t>
        </is>
      </c>
      <c r="AX330" s="14" t="inlineStr">
        <is>
          <t>Daily append；市场输入缺失时不生成决策</t>
        </is>
      </c>
      <c r="AY330" s="14" t="n"/>
    </row>
    <row r="331" ht="22" customHeight="1" s="39">
      <c r="A331" s="14" t="inlineStr">
        <is>
          <t>2026-10-05</t>
        </is>
      </c>
      <c r="B331" s="14" t="inlineStr">
        <is>
          <t>2026-10-06T09:00:00+08:00</t>
        </is>
      </c>
      <c r="C331" s="14" t="n"/>
      <c r="D331" s="14" t="n"/>
      <c r="E331" s="14" t="inlineStr">
        <is>
          <t>牙买超</t>
        </is>
      </c>
      <c r="F331" s="14" t="inlineStr">
        <is>
          <t>阿内特加登斯 vs 波特莫尔联</t>
        </is>
      </c>
      <c r="G331" s="26" t="n">
        <v>0.75</v>
      </c>
      <c r="H331" s="26" t="n">
        <v>-0.25</v>
      </c>
      <c r="I331" s="26" t="n">
        <v>1.05</v>
      </c>
      <c r="J331" s="26" t="inlineStr">
        <is>
          <t>0.75/-0.25/1.05</t>
        </is>
      </c>
      <c r="K331" s="14" t="inlineStr">
        <is>
          <t>V4-B</t>
        </is>
      </c>
      <c r="L331" s="14" t="inlineStr">
        <is>
          <t>阿内特加登斯</t>
        </is>
      </c>
      <c r="M331" s="47" t="n">
        <v>0.2738703414139375</v>
      </c>
      <c r="N331" s="14" t="inlineStr">
        <is>
          <t>V4 Shadow Only；real_money=false</t>
        </is>
      </c>
      <c r="O331" s="14" t="inlineStr">
        <is>
          <t>0-0</t>
        </is>
      </c>
      <c r="P331" s="14" t="inlineStr">
        <is>
          <t>EVALUATED</t>
        </is>
      </c>
      <c r="Q331" s="14" t="inlineStr">
        <is>
          <t>B</t>
        </is>
      </c>
      <c r="R331" s="48" t="n">
        <v>0.75</v>
      </c>
      <c r="S331" s="48" t="n"/>
      <c r="T331" s="14" t="inlineStr">
        <is>
          <t>D:\codex\outputs\football_odds_trader\decision_versions\2026-10-05\RUN_20261005_094642\slate_raw.csv</t>
        </is>
      </c>
      <c r="U331" s="14" t="n"/>
      <c r="V331" s="48" t="n"/>
      <c r="W331" s="48" t="n"/>
      <c r="X331" s="14" t="inlineStr">
        <is>
          <t>3094006</t>
        </is>
      </c>
      <c r="Y331" s="14" t="inlineStr">
        <is>
          <t>V4</t>
        </is>
      </c>
      <c r="Z331" s="14" t="inlineStr">
        <is>
          <t>prior-2026-10-05-v1</t>
        </is>
      </c>
      <c r="AA331" s="14" t="inlineStr">
        <is>
          <t>B</t>
        </is>
      </c>
      <c r="AB331" s="14" t="n">
        <v>0.2738703414139375</v>
      </c>
      <c r="AC331" s="14" t="n">
        <v>0.5972692513948453</v>
      </c>
      <c r="AD331" s="14" t="n">
        <v>-0.5</v>
      </c>
      <c r="AE331" s="14" t="n">
        <v>0</v>
      </c>
      <c r="AF331" s="14" t="n">
        <v>0</v>
      </c>
      <c r="AG331" s="14" t="n">
        <v>0.1740815971321965</v>
      </c>
      <c r="AH331" s="14" t="n"/>
      <c r="AI331" s="14" t="n"/>
      <c r="AJ331" s="14" t="n">
        <v>0.1740815971321965</v>
      </c>
      <c r="AK331" s="14" t="n"/>
      <c r="AL331" s="14" t="n"/>
      <c r="AM331" s="14" t="inlineStr">
        <is>
          <t>EVALUATED</t>
        </is>
      </c>
      <c r="AN331" s="14" t="inlineStr">
        <is>
          <t>RECEIVING_VALIDATED_EDGE;BUCKET_PRIOR_ONLY;INTENT_INTERPRETATION_ONLY;FFL_OPTIONAL;EXPERT_MARKET</t>
        </is>
      </c>
      <c r="AO331" s="14" t="inlineStr">
        <is>
          <t>a2393673f4330e7a6f98</t>
        </is>
      </c>
      <c r="AP331" s="14" t="n">
        <v>0.25</v>
      </c>
      <c r="AQ331" s="14" t="n">
        <v>0.75</v>
      </c>
      <c r="AR331" s="14" t="n">
        <v>-0.25</v>
      </c>
      <c r="AS331" s="14" t="n">
        <v>0.25</v>
      </c>
      <c r="AT331" s="14" t="n">
        <v>0.75</v>
      </c>
      <c r="AU331" s="14" t="n">
        <v>1.05</v>
      </c>
      <c r="AV331" s="14" t="inlineStr">
        <is>
          <t>2026-10-05T09:47:42.381506+08:00</t>
        </is>
      </c>
      <c r="AW331" s="14" t="inlineStr">
        <is>
          <t>Titan007/V4</t>
        </is>
      </c>
      <c r="AX331" s="14" t="inlineStr">
        <is>
          <t>Daily append；市场输入缺失时不生成决策</t>
        </is>
      </c>
      <c r="AY331" s="14" t="n"/>
    </row>
    <row r="332" ht="22" customHeight="1" s="39">
      <c r="A332" s="14" t="inlineStr">
        <is>
          <t>2026-10-05</t>
        </is>
      </c>
      <c r="B332" s="14" t="inlineStr">
        <is>
          <t>2026-10-06T06:30:00+08:00</t>
        </is>
      </c>
      <c r="C332" s="14" t="n"/>
      <c r="D332" s="14" t="n"/>
      <c r="E332" s="14" t="inlineStr">
        <is>
          <t>巴拉乙</t>
        </is>
      </c>
      <c r="F332" s="14" t="inlineStr">
        <is>
          <t>费纳多 vs 卡巴列罗JLM</t>
        </is>
      </c>
      <c r="G332" s="26" t="n">
        <v>0.8</v>
      </c>
      <c r="H332" s="26" t="n">
        <v>-0.5</v>
      </c>
      <c r="I332" s="26" t="n">
        <v>1</v>
      </c>
      <c r="J332" s="26" t="inlineStr">
        <is>
          <t>0.8/-0.5/1.0</t>
        </is>
      </c>
      <c r="K332" s="14" t="inlineStr">
        <is>
          <t>V4-B</t>
        </is>
      </c>
      <c r="L332" s="14" t="inlineStr">
        <is>
          <t>费纳多</t>
        </is>
      </c>
      <c r="M332" s="47" t="n">
        <v>0.2341174615985167</v>
      </c>
      <c r="N332" s="14" t="inlineStr">
        <is>
          <t>V4 Shadow Only；real_money=false</t>
        </is>
      </c>
      <c r="O332" s="14" t="inlineStr">
        <is>
          <t>0-2</t>
        </is>
      </c>
      <c r="P332" s="14" t="inlineStr">
        <is>
          <t>已结算</t>
        </is>
      </c>
      <c r="Q332" s="14" t="inlineStr">
        <is>
          <t>黑</t>
        </is>
      </c>
      <c r="R332" s="48" t="n">
        <v>0.8</v>
      </c>
      <c r="S332" s="48" t="n">
        <v>-1</v>
      </c>
      <c r="T332" s="14" t="inlineStr">
        <is>
          <t>D:\codex\outputs\football_odds_trader\decision_versions\2026-10-05\RUN_20261005_094642\slate_raw.csv</t>
        </is>
      </c>
      <c r="U332" s="14" t="n"/>
      <c r="V332" s="48" t="n"/>
      <c r="W332" s="48" t="n"/>
      <c r="X332" s="14" t="inlineStr">
        <is>
          <t>3094122</t>
        </is>
      </c>
      <c r="Y332" s="14" t="inlineStr">
        <is>
          <t>V4</t>
        </is>
      </c>
      <c r="Z332" s="14" t="inlineStr">
        <is>
          <t>prior-2026-10-05-v1</t>
        </is>
      </c>
      <c r="AA332" s="14" t="inlineStr">
        <is>
          <t>B</t>
        </is>
      </c>
      <c r="AB332" s="14" t="n">
        <v>0.2341174615985167</v>
      </c>
      <c r="AC332" s="14" t="n">
        <v>0.7658825384014835</v>
      </c>
      <c r="AD332" s="14" t="n">
        <v>-0.5</v>
      </c>
      <c r="AE332" s="14" t="n">
        <v>0</v>
      </c>
      <c r="AF332" s="14" t="n">
        <v>0</v>
      </c>
      <c r="AG332" s="14" t="n">
        <v>0.3785885691226701</v>
      </c>
      <c r="AH332" s="14" t="n"/>
      <c r="AI332" s="14" t="n"/>
      <c r="AJ332" s="14" t="n">
        <v>0.3785885691226701</v>
      </c>
      <c r="AK332" s="14" t="n"/>
      <c r="AL332" s="14" t="n"/>
      <c r="AM332" s="14" t="inlineStr">
        <is>
          <t>EVALUATED</t>
        </is>
      </c>
      <c r="AN332" s="14" t="inlineStr">
        <is>
          <t>RECEIVING_VALIDATED_EDGE;BUCKET_PRIOR_ONLY;INTENT_INTERPRETATION_ONLY;FFL_OPTIONAL;EXPERT_MARKET</t>
        </is>
      </c>
      <c r="AO332" s="14" t="inlineStr">
        <is>
          <t>d5e1c3dd3c88eb5c5d77</t>
        </is>
      </c>
      <c r="AP332" s="14" t="n">
        <v>0.5</v>
      </c>
      <c r="AQ332" s="14" t="n">
        <v>0.8</v>
      </c>
      <c r="AR332" s="14" t="n">
        <v>-0.5</v>
      </c>
      <c r="AS332" s="14" t="n">
        <v>0.5</v>
      </c>
      <c r="AT332" s="14" t="n">
        <v>0.8</v>
      </c>
      <c r="AU332" s="14" t="n">
        <v>1</v>
      </c>
      <c r="AV332" s="14" t="inlineStr">
        <is>
          <t>2026-10-05T09:47:42.381506+08:00</t>
        </is>
      </c>
      <c r="AW332" s="14" t="inlineStr">
        <is>
          <t>Titan007/V4</t>
        </is>
      </c>
      <c r="AX332" s="14" t="inlineStr">
        <is>
          <t>Daily append；市场输入缺失时不生成决策</t>
        </is>
      </c>
      <c r="AY332" s="14" t="n"/>
    </row>
    <row r="333" ht="22" customHeight="1" s="39">
      <c r="A333" s="14" t="inlineStr">
        <is>
          <t>2026-10-05</t>
        </is>
      </c>
      <c r="B333" s="14" t="inlineStr">
        <is>
          <t>2026-10-06T02:00:00+08:00</t>
        </is>
      </c>
      <c r="C333" s="14" t="n"/>
      <c r="D333" s="14" t="n"/>
      <c r="E333" s="14" t="inlineStr">
        <is>
          <t>里约乙</t>
        </is>
      </c>
      <c r="F333" s="14" t="inlineStr">
        <is>
          <t>巴拉曼萨 vs 卡多佐莫雷拉RJ</t>
        </is>
      </c>
      <c r="G333" s="26" t="n">
        <v>0.93</v>
      </c>
      <c r="H333" s="26" t="n">
        <v>-0.5</v>
      </c>
      <c r="I333" s="26" t="n">
        <v>0.88</v>
      </c>
      <c r="J333" s="26" t="inlineStr">
        <is>
          <t>0.93/-0.5/0.88</t>
        </is>
      </c>
      <c r="K333" s="14" t="inlineStr">
        <is>
          <t>V4-B</t>
        </is>
      </c>
      <c r="L333" s="14" t="inlineStr">
        <is>
          <t>巴拉曼萨</t>
        </is>
      </c>
      <c r="M333" s="47" t="n">
        <v>0.1992374263217546</v>
      </c>
      <c r="N333" s="14" t="inlineStr">
        <is>
          <t>V4 Shadow Only；real_money=false</t>
        </is>
      </c>
      <c r="O333" s="14" t="inlineStr">
        <is>
          <t>0-0</t>
        </is>
      </c>
      <c r="P333" s="14" t="inlineStr">
        <is>
          <t>已结算</t>
        </is>
      </c>
      <c r="Q333" s="14" t="inlineStr">
        <is>
          <t>红</t>
        </is>
      </c>
      <c r="R333" s="48" t="n">
        <v>0.93</v>
      </c>
      <c r="S333" s="48" t="n">
        <v>0.93</v>
      </c>
      <c r="T333" s="14" t="inlineStr">
        <is>
          <t>D:\codex\outputs\football_odds_trader\decision_versions\2026-10-05\RUN_20261005_094642\slate_raw.csv</t>
        </is>
      </c>
      <c r="U333" s="14" t="n"/>
      <c r="V333" s="48" t="n"/>
      <c r="W333" s="48" t="n"/>
      <c r="X333" s="14" t="inlineStr">
        <is>
          <t>3097272</t>
        </is>
      </c>
      <c r="Y333" s="14" t="inlineStr">
        <is>
          <t>V4</t>
        </is>
      </c>
      <c r="Z333" s="14" t="inlineStr">
        <is>
          <t>prior-2026-10-05-v1</t>
        </is>
      </c>
      <c r="AA333" s="14" t="inlineStr">
        <is>
          <t>B</t>
        </is>
      </c>
      <c r="AB333" s="14" t="n">
        <v>0.1992374263217546</v>
      </c>
      <c r="AC333" s="14" t="n">
        <v>0.8007625736782453</v>
      </c>
      <c r="AD333" s="14" t="n">
        <v>-0.75</v>
      </c>
      <c r="AE333" s="14" t="n">
        <v>0</v>
      </c>
      <c r="AF333" s="14" t="n">
        <v>0</v>
      </c>
      <c r="AG333" s="14" t="n">
        <v>0.5454717671990135</v>
      </c>
      <c r="AH333" s="14" t="n"/>
      <c r="AI333" s="14" t="n"/>
      <c r="AJ333" s="14" t="n">
        <v>0.5454717671990135</v>
      </c>
      <c r="AK333" s="14" t="n"/>
      <c r="AL333" s="14" t="n"/>
      <c r="AM333" s="14" t="inlineStr">
        <is>
          <t>EVALUATED</t>
        </is>
      </c>
      <c r="AN333" s="14" t="inlineStr">
        <is>
          <t>RECEIVING_VALIDATED_EDGE;BUCKET_PRIOR_ONLY;INTENT_INTERPRETATION_ONLY;FFL_OPTIONAL;EXPERT_MARKET</t>
        </is>
      </c>
      <c r="AO333" s="14" t="inlineStr">
        <is>
          <t>899094cd280e684ef70f</t>
        </is>
      </c>
      <c r="AP333" s="14" t="n">
        <v>0.5</v>
      </c>
      <c r="AQ333" s="14" t="n">
        <v>0.93</v>
      </c>
      <c r="AR333" s="14" t="n">
        <v>-0.5</v>
      </c>
      <c r="AS333" s="14" t="n">
        <v>0.5</v>
      </c>
      <c r="AT333" s="14" t="n">
        <v>0.93</v>
      </c>
      <c r="AU333" s="14" t="n">
        <v>0.88</v>
      </c>
      <c r="AV333" s="14" t="inlineStr">
        <is>
          <t>2026-10-05T09:47:42.381506+08:00</t>
        </is>
      </c>
      <c r="AW333" s="14" t="inlineStr">
        <is>
          <t>Titan007/V4</t>
        </is>
      </c>
      <c r="AX333" s="14" t="inlineStr">
        <is>
          <t>Daily append；市场输入缺失时不生成决策</t>
        </is>
      </c>
      <c r="AY333" s="14" t="n"/>
    </row>
    <row r="334" ht="22" customHeight="1" s="39">
      <c r="A334" s="14" t="inlineStr">
        <is>
          <t>2026-10-05</t>
        </is>
      </c>
      <c r="B334" s="14" t="inlineStr">
        <is>
          <t>2026-10-06T02:00:00+08:00</t>
        </is>
      </c>
      <c r="C334" s="14" t="n"/>
      <c r="D334" s="14" t="n"/>
      <c r="E334" s="14" t="inlineStr">
        <is>
          <t>里约乙</t>
        </is>
      </c>
      <c r="F334" s="14" t="inlineStr">
        <is>
          <t>坎波斯AA vs 布奥斯</t>
        </is>
      </c>
      <c r="G334" s="26" t="n">
        <v>1</v>
      </c>
      <c r="H334" s="26" t="n">
        <v>0.75</v>
      </c>
      <c r="I334" s="26" t="n">
        <v>0.8</v>
      </c>
      <c r="J334" s="26" t="inlineStr">
        <is>
          <t>1.0/0.75/0.8</t>
        </is>
      </c>
      <c r="K334" s="14" t="inlineStr">
        <is>
          <t>V4-C</t>
        </is>
      </c>
      <c r="L334" s="14" t="inlineStr">
        <is>
          <t>坎波斯AA</t>
        </is>
      </c>
      <c r="M334" s="47" t="n">
        <v>0.4696780127695835</v>
      </c>
      <c r="N334" s="14" t="inlineStr">
        <is>
          <t>V4 Shadow Only；real_money=false</t>
        </is>
      </c>
      <c r="O334" s="14" t="inlineStr">
        <is>
          <t>3-1</t>
        </is>
      </c>
      <c r="P334" s="14" t="inlineStr">
        <is>
          <t>已结算</t>
        </is>
      </c>
      <c r="Q334" s="14" t="inlineStr">
        <is>
          <t>红</t>
        </is>
      </c>
      <c r="R334" s="48" t="n">
        <v>1</v>
      </c>
      <c r="S334" s="48" t="n">
        <v>1</v>
      </c>
      <c r="T334" s="14" t="inlineStr">
        <is>
          <t>D:\codex\outputs\football_odds_trader\decision_versions\2026-10-05\RUN_20261005_094642\slate_raw.csv</t>
        </is>
      </c>
      <c r="U334" s="14" t="n"/>
      <c r="V334" s="48" t="n"/>
      <c r="W334" s="48" t="n"/>
      <c r="X334" s="14" t="inlineStr">
        <is>
          <t>3097273</t>
        </is>
      </c>
      <c r="Y334" s="14" t="inlineStr">
        <is>
          <t>V4</t>
        </is>
      </c>
      <c r="Z334" s="14" t="inlineStr">
        <is>
          <t>prior-2026-10-05-v1</t>
        </is>
      </c>
      <c r="AA334" s="14" t="inlineStr">
        <is>
          <t>C</t>
        </is>
      </c>
      <c r="AB334" s="14" t="n">
        <v>0.4696780127695835</v>
      </c>
      <c r="AC334" s="14" t="n">
        <v>0.4035980279177641</v>
      </c>
      <c r="AD334" s="14" t="n">
        <v>1</v>
      </c>
      <c r="AE334" s="14" t="n"/>
      <c r="AF334" s="14" t="n"/>
      <c r="AG334" s="14" t="n">
        <v>0.06607998485181937</v>
      </c>
      <c r="AH334" s="14" t="n"/>
      <c r="AI334" s="14" t="n"/>
      <c r="AJ334" s="14" t="n">
        <v>0.06607998485181937</v>
      </c>
      <c r="AK334" s="14" t="n"/>
      <c r="AL334" s="14" t="n"/>
      <c r="AM334" s="14" t="inlineStr">
        <is>
          <t>EVALUATED</t>
        </is>
      </c>
      <c r="AN334" s="14" t="inlineStr">
        <is>
          <t>GIVING_VALIDATED_EDGE;BUCKET_PRIOR_ONLY;INTENT_INTERPRETATION_ONLY;FFL_OPTIONAL;EXPERT_MARKET</t>
        </is>
      </c>
      <c r="AO334" s="14" t="inlineStr">
        <is>
          <t>e9372ba9924834ec0f4a</t>
        </is>
      </c>
      <c r="AP334" s="14" t="n">
        <v>-0.75</v>
      </c>
      <c r="AQ334" s="14" t="n">
        <v>1</v>
      </c>
      <c r="AR334" s="14" t="n">
        <v>0.75</v>
      </c>
      <c r="AS334" s="14" t="n">
        <v>-0.75</v>
      </c>
      <c r="AT334" s="14" t="n">
        <v>1</v>
      </c>
      <c r="AU334" s="14" t="n">
        <v>0.8</v>
      </c>
      <c r="AV334" s="14" t="inlineStr">
        <is>
          <t>2026-10-05T09:47:42.381506+08:00</t>
        </is>
      </c>
      <c r="AW334" s="14" t="inlineStr">
        <is>
          <t>Titan007/V4</t>
        </is>
      </c>
      <c r="AX334" s="14" t="inlineStr">
        <is>
          <t>Daily append；市场输入缺失时不生成决策</t>
        </is>
      </c>
      <c r="AY334" s="14" t="n"/>
    </row>
    <row r="335" ht="22" customHeight="1" s="39">
      <c r="A335" s="14" t="inlineStr">
        <is>
          <t>2026-10-05</t>
        </is>
      </c>
      <c r="B335" s="14" t="inlineStr">
        <is>
          <t>2026-10-06T02:00:00+08:00</t>
        </is>
      </c>
      <c r="C335" s="14" t="n"/>
      <c r="D335" s="14" t="n"/>
      <c r="E335" s="14" t="inlineStr">
        <is>
          <t>里约乙</t>
        </is>
      </c>
      <c r="F335" s="14" t="inlineStr">
        <is>
          <t>帕拉蒂RJ vs 里约热内卢</t>
        </is>
      </c>
      <c r="G335" s="26" t="n">
        <v>1</v>
      </c>
      <c r="H335" s="26" t="n">
        <v>-0.25</v>
      </c>
      <c r="I335" s="26" t="n">
        <v>0.8</v>
      </c>
      <c r="J335" s="26" t="inlineStr">
        <is>
          <t>1.0/-0.25/0.8</t>
        </is>
      </c>
      <c r="K335" s="14" t="inlineStr">
        <is>
          <t>V4-B</t>
        </is>
      </c>
      <c r="L335" s="14" t="inlineStr">
        <is>
          <t>帕拉蒂RJ</t>
        </is>
      </c>
      <c r="M335" s="47" t="n">
        <v>0.2555566907875825</v>
      </c>
      <c r="N335" s="14" t="inlineStr">
        <is>
          <t>V4 Shadow Only；real_money=false</t>
        </is>
      </c>
      <c r="O335" s="14" t="inlineStr">
        <is>
          <t>0-4</t>
        </is>
      </c>
      <c r="P335" s="14" t="inlineStr">
        <is>
          <t>已结算</t>
        </is>
      </c>
      <c r="Q335" s="14" t="inlineStr">
        <is>
          <t>黑</t>
        </is>
      </c>
      <c r="R335" s="48" t="n">
        <v>1</v>
      </c>
      <c r="S335" s="48" t="n">
        <v>-1</v>
      </c>
      <c r="T335" s="14" t="inlineStr">
        <is>
          <t>D:\codex\outputs\football_odds_trader\decision_versions\2026-10-05\RUN_20261005_094642\slate_raw.csv</t>
        </is>
      </c>
      <c r="U335" s="14" t="n"/>
      <c r="V335" s="48" t="n"/>
      <c r="W335" s="48" t="n"/>
      <c r="X335" s="14" t="inlineStr">
        <is>
          <t>3097275</t>
        </is>
      </c>
      <c r="Y335" s="14" t="inlineStr">
        <is>
          <t>V4</t>
        </is>
      </c>
      <c r="Z335" s="14" t="inlineStr">
        <is>
          <t>prior-2026-10-05-v1</t>
        </is>
      </c>
      <c r="AA335" s="14" t="inlineStr">
        <is>
          <t>B</t>
        </is>
      </c>
      <c r="AB335" s="14" t="n">
        <v>0.2555566907875825</v>
      </c>
      <c r="AC335" s="14" t="n">
        <v>0.6180352538672577</v>
      </c>
      <c r="AD335" s="14" t="n">
        <v>-0.5</v>
      </c>
      <c r="AE335" s="14" t="n">
        <v>0</v>
      </c>
      <c r="AF335" s="14" t="n">
        <v>0</v>
      </c>
      <c r="AG335" s="14" t="n">
        <v>0.3624785630796752</v>
      </c>
      <c r="AH335" s="14" t="n"/>
      <c r="AI335" s="14" t="n"/>
      <c r="AJ335" s="14" t="n">
        <v>0.3624785630796752</v>
      </c>
      <c r="AK335" s="14" t="n"/>
      <c r="AL335" s="14" t="n"/>
      <c r="AM335" s="14" t="inlineStr">
        <is>
          <t>EVALUATED</t>
        </is>
      </c>
      <c r="AN335" s="14" t="inlineStr">
        <is>
          <t>RECEIVING_VALIDATED_EDGE;BUCKET_PRIOR_ONLY;INTENT_INTERPRETATION_ONLY;FFL_OPTIONAL;EXPERT_MARKET</t>
        </is>
      </c>
      <c r="AO335" s="14" t="inlineStr">
        <is>
          <t>100678a626f5eeea4b94</t>
        </is>
      </c>
      <c r="AP335" s="14" t="n">
        <v>0.25</v>
      </c>
      <c r="AQ335" s="14" t="n">
        <v>1</v>
      </c>
      <c r="AR335" s="14" t="n">
        <v>-0.25</v>
      </c>
      <c r="AS335" s="14" t="n">
        <v>0.25</v>
      </c>
      <c r="AT335" s="14" t="n">
        <v>1</v>
      </c>
      <c r="AU335" s="14" t="n">
        <v>0.8</v>
      </c>
      <c r="AV335" s="14" t="inlineStr">
        <is>
          <t>2026-10-05T09:47:42.381506+08:00</t>
        </is>
      </c>
      <c r="AW335" s="14" t="inlineStr">
        <is>
          <t>Titan007/V4</t>
        </is>
      </c>
      <c r="AX335" s="14" t="inlineStr">
        <is>
          <t>Daily append；市场输入缺失时不生成决策</t>
        </is>
      </c>
      <c r="AY335" s="14" t="n"/>
    </row>
    <row r="336" ht="22" customHeight="1" s="39">
      <c r="A336" s="14" t="inlineStr">
        <is>
          <t>2026-10-05</t>
        </is>
      </c>
      <c r="B336" s="14" t="inlineStr">
        <is>
          <t>2026-10-05T19:00:00+08:00</t>
        </is>
      </c>
      <c r="C336" s="14" t="n"/>
      <c r="D336" s="14" t="n"/>
      <c r="E336" s="14" t="inlineStr">
        <is>
          <t>国际友谊</t>
        </is>
      </c>
      <c r="F336" s="14" t="inlineStr">
        <is>
          <t>英格兰U19 vs 比利时U19</t>
        </is>
      </c>
      <c r="G336" s="26" t="n">
        <v>0.85</v>
      </c>
      <c r="H336" s="26" t="n">
        <v>1.25</v>
      </c>
      <c r="I336" s="26" t="n">
        <v>0.95</v>
      </c>
      <c r="J336" s="26" t="inlineStr">
        <is>
          <t>0.85/1.25/0.95</t>
        </is>
      </c>
      <c r="K336" s="14" t="inlineStr">
        <is>
          <t>V4-C</t>
        </is>
      </c>
      <c r="L336" s="14" t="inlineStr">
        <is>
          <t>英格兰U19</t>
        </is>
      </c>
      <c r="M336" s="47" t="n">
        <v>0.5181576512382395</v>
      </c>
      <c r="N336" s="14" t="inlineStr">
        <is>
          <t>V4 Shadow Only；real_money=false</t>
        </is>
      </c>
      <c r="O336" s="14" t="inlineStr">
        <is>
          <t>0-1</t>
        </is>
      </c>
      <c r="P336" s="14" t="inlineStr">
        <is>
          <t>已结算</t>
        </is>
      </c>
      <c r="Q336" s="14" t="inlineStr">
        <is>
          <t>黑</t>
        </is>
      </c>
      <c r="R336" s="48" t="n">
        <v>0.85</v>
      </c>
      <c r="S336" s="48" t="n">
        <v>-1</v>
      </c>
      <c r="T336" s="14" t="inlineStr">
        <is>
          <t>D:\codex\outputs\football_odds_trader\decision_versions\2026-10-05\RUN_20261005_094642\slate_raw.csv</t>
        </is>
      </c>
      <c r="U336" s="14" t="n"/>
      <c r="V336" s="48" t="n"/>
      <c r="W336" s="48" t="n"/>
      <c r="X336" s="14" t="inlineStr">
        <is>
          <t>3097293</t>
        </is>
      </c>
      <c r="Y336" s="14" t="inlineStr">
        <is>
          <t>V4</t>
        </is>
      </c>
      <c r="Z336" s="14" t="inlineStr">
        <is>
          <t>prior-2026-10-05-v1</t>
        </is>
      </c>
      <c r="AA336" s="14" t="inlineStr">
        <is>
          <t>C</t>
        </is>
      </c>
      <c r="AB336" s="14" t="n">
        <v>0.5181576512382395</v>
      </c>
      <c r="AC336" s="14" t="n">
        <v>0.3584721789884292</v>
      </c>
      <c r="AD336" s="14" t="n">
        <v>1.75</v>
      </c>
      <c r="AE336" s="14" t="n"/>
      <c r="AF336" s="14" t="n"/>
      <c r="AG336" s="14" t="n">
        <v>0.08196182456407441</v>
      </c>
      <c r="AH336" s="14" t="n"/>
      <c r="AI336" s="14" t="n"/>
      <c r="AJ336" s="14" t="n">
        <v>0.08196182456407441</v>
      </c>
      <c r="AK336" s="14" t="n"/>
      <c r="AL336" s="14" t="n"/>
      <c r="AM336" s="14" t="inlineStr">
        <is>
          <t>EVALUATED</t>
        </is>
      </c>
      <c r="AN336" s="14" t="inlineStr">
        <is>
          <t>GIVING_VALIDATED_EDGE;BUCKET_PRIOR_ONLY;INTENT_INTERPRETATION_ONLY;FFL_OPTIONAL;EXPERT_MARKET</t>
        </is>
      </c>
      <c r="AO336" s="14" t="inlineStr">
        <is>
          <t>0e4981f4702f8e57f2c2</t>
        </is>
      </c>
      <c r="AP336" s="14" t="n">
        <v>-1.25</v>
      </c>
      <c r="AQ336" s="14" t="n">
        <v>0.85</v>
      </c>
      <c r="AR336" s="14" t="n">
        <v>1.25</v>
      </c>
      <c r="AS336" s="14" t="n">
        <v>-1.25</v>
      </c>
      <c r="AT336" s="14" t="n">
        <v>0.85</v>
      </c>
      <c r="AU336" s="14" t="n">
        <v>0.95</v>
      </c>
      <c r="AV336" s="14" t="inlineStr">
        <is>
          <t>2026-10-05T09:47:42.381506+08:00</t>
        </is>
      </c>
      <c r="AW336" s="14" t="inlineStr">
        <is>
          <t>Titan007/V4</t>
        </is>
      </c>
      <c r="AX336" s="14" t="inlineStr">
        <is>
          <t>Daily append；市场输入缺失时不生成决策</t>
        </is>
      </c>
      <c r="AY336" s="14" t="n"/>
    </row>
    <row r="337" ht="22" customHeight="1" s="39">
      <c r="A337" s="14" t="inlineStr">
        <is>
          <t>2026-10-05</t>
        </is>
      </c>
      <c r="B337" s="14" t="inlineStr">
        <is>
          <t>2026-10-05T14:30:00+08:00</t>
        </is>
      </c>
      <c r="C337" s="14" t="n"/>
      <c r="D337" s="14" t="n"/>
      <c r="E337" s="14" t="inlineStr">
        <is>
          <t>国际友谊</t>
        </is>
      </c>
      <c r="F337" s="14" t="inlineStr">
        <is>
          <t>巴拿马 vs 厄瓜多尔</t>
        </is>
      </c>
      <c r="G337" s="26" t="n">
        <v>0.99</v>
      </c>
      <c r="H337" s="26" t="n">
        <v>-0.75</v>
      </c>
      <c r="I337" s="26" t="n">
        <v>0.83</v>
      </c>
      <c r="J337" s="26" t="inlineStr">
        <is>
          <t>0.99/-0.75/0.83</t>
        </is>
      </c>
      <c r="K337" s="14" t="inlineStr">
        <is>
          <t>V4-C</t>
        </is>
      </c>
      <c r="L337" s="14" t="inlineStr">
        <is>
          <t>巴拿马</t>
        </is>
      </c>
      <c r="M337" s="47" t="n">
        <v>0.07197809084677569</v>
      </c>
      <c r="N337" s="14" t="inlineStr">
        <is>
          <t>V4 Shadow Only；real_money=false</t>
        </is>
      </c>
      <c r="O337" s="14" t="inlineStr">
        <is>
          <t>1-1</t>
        </is>
      </c>
      <c r="P337" s="14" t="inlineStr">
        <is>
          <t>已结算</t>
        </is>
      </c>
      <c r="Q337" s="14" t="inlineStr">
        <is>
          <t>红</t>
        </is>
      </c>
      <c r="R337" s="48" t="n">
        <v>0.99</v>
      </c>
      <c r="S337" s="48" t="n">
        <v>0.99</v>
      </c>
      <c r="T337" s="14" t="inlineStr">
        <is>
          <t>D:\codex\outputs\football_odds_trader\decision_versions\2026-10-05\RUN_20261005_094642\slate_raw.csv</t>
        </is>
      </c>
      <c r="U337" s="14" t="n"/>
      <c r="V337" s="48" t="n"/>
      <c r="W337" s="48" t="n"/>
      <c r="X337" s="14" t="inlineStr">
        <is>
          <t>3097300</t>
        </is>
      </c>
      <c r="Y337" s="14" t="inlineStr">
        <is>
          <t>V4</t>
        </is>
      </c>
      <c r="Z337" s="14" t="inlineStr">
        <is>
          <t>prior-2026-10-05-v1</t>
        </is>
      </c>
      <c r="AA337" s="14" t="inlineStr">
        <is>
          <t>C</t>
        </is>
      </c>
      <c r="AB337" s="14" t="n">
        <v>0.07197809084677569</v>
      </c>
      <c r="AC337" s="14" t="n">
        <v>0.8850848611673693</v>
      </c>
      <c r="AD337" s="14" t="n">
        <v>-1.25</v>
      </c>
      <c r="AE337" s="14" t="n">
        <v>0</v>
      </c>
      <c r="AF337" s="14" t="n">
        <v>0</v>
      </c>
      <c r="AG337" s="14" t="n">
        <v>0.8042559217089198</v>
      </c>
      <c r="AH337" s="14" t="n"/>
      <c r="AI337" s="14" t="n"/>
      <c r="AJ337" s="14" t="n">
        <v>0.8042559217089198</v>
      </c>
      <c r="AK337" s="14" t="n"/>
      <c r="AL337" s="14" t="n"/>
      <c r="AM337" s="14" t="inlineStr">
        <is>
          <t>EVALUATED</t>
        </is>
      </c>
      <c r="AN337" s="14" t="inlineStr">
        <is>
          <t>RECEIVING_VALIDATED_EDGE;BUCKET_PRIOR_ONLY;INTENT_INTERPRETATION_ONLY;FFL_OPTIONAL;EXPERT_MARKET</t>
        </is>
      </c>
      <c r="AO337" s="14" t="inlineStr">
        <is>
          <t>fa820b482f88387dd08d</t>
        </is>
      </c>
      <c r="AP337" s="14" t="n">
        <v>0.75</v>
      </c>
      <c r="AQ337" s="14" t="n">
        <v>0.99</v>
      </c>
      <c r="AR337" s="14" t="n">
        <v>-0.75</v>
      </c>
      <c r="AS337" s="14" t="n">
        <v>0.75</v>
      </c>
      <c r="AT337" s="14" t="n">
        <v>0.99</v>
      </c>
      <c r="AU337" s="14" t="n">
        <v>0.83</v>
      </c>
      <c r="AV337" s="14" t="inlineStr">
        <is>
          <t>2026-10-05T09:47:42.381506+08:00</t>
        </is>
      </c>
      <c r="AW337" s="14" t="inlineStr">
        <is>
          <t>Titan007/V4</t>
        </is>
      </c>
      <c r="AX337" s="14" t="inlineStr">
        <is>
          <t>Daily append；市场输入缺失时不生成决策</t>
        </is>
      </c>
      <c r="AY337" s="14" t="n"/>
    </row>
    <row r="338" ht="22" customHeight="1" s="39">
      <c r="A338" s="14" t="inlineStr">
        <is>
          <t>2026-10-05</t>
        </is>
      </c>
      <c r="B338" s="14" t="inlineStr">
        <is>
          <t>2026-10-05T18:30:00+08:00</t>
        </is>
      </c>
      <c r="C338" s="14" t="n"/>
      <c r="D338" s="14" t="n"/>
      <c r="E338" s="14" t="inlineStr">
        <is>
          <t>国际友谊</t>
        </is>
      </c>
      <c r="F338" s="14" t="inlineStr">
        <is>
          <t>日本 vs 新西兰</t>
        </is>
      </c>
      <c r="G338" s="26" t="n">
        <v>1</v>
      </c>
      <c r="H338" s="26" t="n">
        <v>2</v>
      </c>
      <c r="I338" s="26" t="n">
        <v>0.82</v>
      </c>
      <c r="J338" s="26" t="inlineStr">
        <is>
          <t>1.0/2.0/0.82</t>
        </is>
      </c>
      <c r="K338" s="14" t="inlineStr">
        <is>
          <t>V4-C</t>
        </is>
      </c>
      <c r="L338" s="14" t="inlineStr">
        <is>
          <t>日本</t>
        </is>
      </c>
      <c r="M338" s="47" t="n">
        <v>0.4786072361746441</v>
      </c>
      <c r="N338" s="14" t="inlineStr">
        <is>
          <t>V4 Shadow Only；real_money=false</t>
        </is>
      </c>
      <c r="O338" s="14" t="inlineStr">
        <is>
          <t>2-1</t>
        </is>
      </c>
      <c r="P338" s="14" t="inlineStr">
        <is>
          <t>已结算</t>
        </is>
      </c>
      <c r="Q338" s="14" t="inlineStr">
        <is>
          <t>黑</t>
        </is>
      </c>
      <c r="R338" s="48" t="n">
        <v>1</v>
      </c>
      <c r="S338" s="48" t="n">
        <v>-1</v>
      </c>
      <c r="T338" s="14" t="inlineStr">
        <is>
          <t>D:\codex\outputs\football_odds_trader\decision_versions\2026-10-05\RUN_20261005_094642\slate_raw.csv</t>
        </is>
      </c>
      <c r="U338" s="14" t="n"/>
      <c r="V338" s="48" t="n"/>
      <c r="W338" s="48" t="n"/>
      <c r="X338" s="14" t="inlineStr">
        <is>
          <t>3097301</t>
        </is>
      </c>
      <c r="Y338" s="14" t="inlineStr">
        <is>
          <t>V4</t>
        </is>
      </c>
      <c r="Z338" s="14" t="inlineStr">
        <is>
          <t>prior-2026-10-05-v1</t>
        </is>
      </c>
      <c r="AA338" s="14" t="inlineStr">
        <is>
          <t>C</t>
        </is>
      </c>
      <c r="AB338" s="14" t="n">
        <v>0.4786072361746441</v>
      </c>
      <c r="AC338" s="14" t="n">
        <v>0.2761272674925366</v>
      </c>
      <c r="AD338" s="14" t="n">
        <v>2.5</v>
      </c>
      <c r="AE338" s="14" t="n"/>
      <c r="AF338" s="14" t="n"/>
      <c r="AG338" s="14" t="n">
        <v>0.2024799686821075</v>
      </c>
      <c r="AH338" s="14" t="n"/>
      <c r="AI338" s="14" t="n"/>
      <c r="AJ338" s="14" t="n">
        <v>0.2024799686821075</v>
      </c>
      <c r="AK338" s="14" t="n"/>
      <c r="AL338" s="14" t="n"/>
      <c r="AM338" s="14" t="inlineStr">
        <is>
          <t>EVALUATED</t>
        </is>
      </c>
      <c r="AN338" s="14" t="inlineStr">
        <is>
          <t>GIVING_VALIDATED_EDGE;BUCKET_PRIOR_ONLY;INTENT_INTERPRETATION_ONLY;FFL_OPTIONAL;EXPERT_MARKET</t>
        </is>
      </c>
      <c r="AO338" s="14" t="inlineStr">
        <is>
          <t>562c15f2a3e6879e5256</t>
        </is>
      </c>
      <c r="AP338" s="14" t="n">
        <v>-2</v>
      </c>
      <c r="AQ338" s="14" t="n">
        <v>1</v>
      </c>
      <c r="AR338" s="14" t="n">
        <v>2</v>
      </c>
      <c r="AS338" s="14" t="n">
        <v>-2</v>
      </c>
      <c r="AT338" s="14" t="n">
        <v>1</v>
      </c>
      <c r="AU338" s="14" t="n">
        <v>0.82</v>
      </c>
      <c r="AV338" s="14" t="inlineStr">
        <is>
          <t>2026-10-05T09:47:42.381506+08:00</t>
        </is>
      </c>
      <c r="AW338" s="14" t="inlineStr">
        <is>
          <t>Titan007/V4</t>
        </is>
      </c>
      <c r="AX338" s="14" t="inlineStr">
        <is>
          <t>Daily append；市场输入缺失时不生成决策</t>
        </is>
      </c>
      <c r="AY338" s="14" t="n"/>
    </row>
    <row r="339" ht="22" customHeight="1" s="39">
      <c r="A339" s="14" t="inlineStr">
        <is>
          <t>2026-10-05</t>
        </is>
      </c>
      <c r="B339" s="14" t="inlineStr">
        <is>
          <t>2026-10-05T23:30:00+08:00</t>
        </is>
      </c>
      <c r="C339" s="14" t="n"/>
      <c r="D339" s="14" t="n"/>
      <c r="E339" s="14" t="inlineStr">
        <is>
          <t>科特超</t>
        </is>
      </c>
      <c r="F339" s="14" t="inlineStr">
        <is>
          <t>穆纳阿库普 vs 亚穆苏克罗FC</t>
        </is>
      </c>
      <c r="G339" s="26" t="n">
        <v>0.88</v>
      </c>
      <c r="H339" s="26" t="n">
        <v>0.5</v>
      </c>
      <c r="I339" s="26" t="n">
        <v>0.93</v>
      </c>
      <c r="J339" s="26" t="inlineStr">
        <is>
          <t>0.88/0.5/0.93</t>
        </is>
      </c>
      <c r="K339" s="14" t="inlineStr">
        <is>
          <t>V4-B</t>
        </is>
      </c>
      <c r="L339" s="14" t="inlineStr">
        <is>
          <t>穆纳阿库普</t>
        </is>
      </c>
      <c r="M339" s="47" t="n">
        <v>0.6080680703752783</v>
      </c>
      <c r="N339" s="14" t="inlineStr">
        <is>
          <t>V4 Shadow Only；real_money=false</t>
        </is>
      </c>
      <c r="O339" s="14" t="inlineStr">
        <is>
          <t>0-0</t>
        </is>
      </c>
      <c r="P339" s="14" t="inlineStr">
        <is>
          <t>EVALUATED</t>
        </is>
      </c>
      <c r="Q339" s="14" t="inlineStr">
        <is>
          <t>B</t>
        </is>
      </c>
      <c r="R339" s="48" t="n">
        <v>0.88</v>
      </c>
      <c r="S339" s="48" t="n"/>
      <c r="T339" s="14" t="inlineStr">
        <is>
          <t>D:\codex\outputs\football_odds_trader\decision_versions\2026-10-05\RUN_20261005_094642\slate_raw.csv</t>
        </is>
      </c>
      <c r="U339" s="14" t="n"/>
      <c r="V339" s="48" t="n"/>
      <c r="W339" s="48" t="n"/>
      <c r="X339" s="14" t="inlineStr">
        <is>
          <t>3097326</t>
        </is>
      </c>
      <c r="Y339" s="14" t="inlineStr">
        <is>
          <t>V4</t>
        </is>
      </c>
      <c r="Z339" s="14" t="inlineStr">
        <is>
          <t>prior-2026-10-05-v1</t>
        </is>
      </c>
      <c r="AA339" s="14" t="inlineStr">
        <is>
          <t>B</t>
        </is>
      </c>
      <c r="AB339" s="14" t="n">
        <v>0.6080680703752783</v>
      </c>
      <c r="AC339" s="14" t="n">
        <v>0.3919319296247217</v>
      </c>
      <c r="AD339" s="14" t="n">
        <v>1</v>
      </c>
      <c r="AE339" s="14" t="n"/>
      <c r="AF339" s="14" t="n"/>
      <c r="AG339" s="14" t="n">
        <v>0.1431679723055233</v>
      </c>
      <c r="AH339" s="14" t="n"/>
      <c r="AI339" s="14" t="n"/>
      <c r="AJ339" s="14" t="n">
        <v>0.1431679723055233</v>
      </c>
      <c r="AK339" s="14" t="n"/>
      <c r="AL339" s="14" t="n"/>
      <c r="AM339" s="14" t="inlineStr">
        <is>
          <t>EVALUATED</t>
        </is>
      </c>
      <c r="AN339" s="14" t="inlineStr">
        <is>
          <t>GIVING_VALIDATED_EDGE;BUCKET_PRIOR_ONLY;INTENT_INTERPRETATION_ONLY;FFL_OPTIONAL;EXPERT_MARKET</t>
        </is>
      </c>
      <c r="AO339" s="14" t="inlineStr">
        <is>
          <t>6b332a2ebef98117d777</t>
        </is>
      </c>
      <c r="AP339" s="14" t="n">
        <v>-0.5</v>
      </c>
      <c r="AQ339" s="14" t="n">
        <v>0.88</v>
      </c>
      <c r="AR339" s="14" t="n">
        <v>0.5</v>
      </c>
      <c r="AS339" s="14" t="n">
        <v>-0.5</v>
      </c>
      <c r="AT339" s="14" t="n">
        <v>0.88</v>
      </c>
      <c r="AU339" s="14" t="n">
        <v>0.93</v>
      </c>
      <c r="AV339" s="14" t="inlineStr">
        <is>
          <t>2026-10-05T09:47:42.381506+08:00</t>
        </is>
      </c>
      <c r="AW339" s="14" t="inlineStr">
        <is>
          <t>Titan007/V4</t>
        </is>
      </c>
      <c r="AX339" s="14" t="inlineStr">
        <is>
          <t>Daily append；市场输入缺失时不生成决策</t>
        </is>
      </c>
      <c r="AY339" s="14" t="n"/>
    </row>
    <row r="340" ht="22" customHeight="1" s="39">
      <c r="A340" s="14" t="inlineStr">
        <is>
          <t>2026-10-05</t>
        </is>
      </c>
      <c r="B340" s="14" t="inlineStr">
        <is>
          <t>2026-10-05T21:00:00+08:00</t>
        </is>
      </c>
      <c r="C340" s="14" t="n"/>
      <c r="D340" s="14" t="n"/>
      <c r="E340" s="14" t="inlineStr">
        <is>
          <t>国际友谊</t>
        </is>
      </c>
      <c r="F340" s="14" t="inlineStr">
        <is>
          <t>乌干达 vs 刚果民主共和国</t>
        </is>
      </c>
      <c r="G340" s="26" t="n">
        <v>0.95</v>
      </c>
      <c r="H340" s="26" t="n">
        <v>-0.5</v>
      </c>
      <c r="I340" s="26" t="n">
        <v>0.85</v>
      </c>
      <c r="J340" s="26" t="inlineStr">
        <is>
          <t>0.95/-0.5/0.85</t>
        </is>
      </c>
      <c r="K340" s="14" t="inlineStr">
        <is>
          <t>V4-C</t>
        </is>
      </c>
      <c r="L340" s="14" t="inlineStr">
        <is>
          <t>乌干达</t>
        </is>
      </c>
      <c r="M340" s="47" t="n">
        <v>0.1602348552790655</v>
      </c>
      <c r="N340" s="14" t="inlineStr">
        <is>
          <t>V4 Shadow Only；real_money=false</t>
        </is>
      </c>
      <c r="O340" s="14" t="inlineStr">
        <is>
          <t>1-1</t>
        </is>
      </c>
      <c r="P340" s="14" t="inlineStr">
        <is>
          <t>已结算</t>
        </is>
      </c>
      <c r="Q340" s="14" t="inlineStr">
        <is>
          <t>红</t>
        </is>
      </c>
      <c r="R340" s="48" t="n">
        <v>0.95</v>
      </c>
      <c r="S340" s="48" t="n">
        <v>0.95</v>
      </c>
      <c r="T340" s="14" t="inlineStr">
        <is>
          <t>D:\codex\outputs\football_odds_trader\decision_versions\2026-10-05\RUN_20261005_094642\slate_raw.csv</t>
        </is>
      </c>
      <c r="U340" s="14" t="n"/>
      <c r="V340" s="48" t="n"/>
      <c r="W340" s="48" t="n"/>
      <c r="X340" s="14" t="inlineStr">
        <is>
          <t>3097741</t>
        </is>
      </c>
      <c r="Y340" s="14" t="inlineStr">
        <is>
          <t>V4</t>
        </is>
      </c>
      <c r="Z340" s="14" t="inlineStr">
        <is>
          <t>prior-2026-10-05-v1</t>
        </is>
      </c>
      <c r="AA340" s="14" t="inlineStr">
        <is>
          <t>C</t>
        </is>
      </c>
      <c r="AB340" s="14" t="n">
        <v>0.1602348552790655</v>
      </c>
      <c r="AC340" s="14" t="n">
        <v>0.8397651447209346</v>
      </c>
      <c r="AD340" s="14" t="n">
        <v>-1</v>
      </c>
      <c r="AE340" s="14" t="n">
        <v>0</v>
      </c>
      <c r="AF340" s="14" t="n">
        <v>0</v>
      </c>
      <c r="AG340" s="14" t="n">
        <v>0.6375420322058224</v>
      </c>
      <c r="AH340" s="14" t="n"/>
      <c r="AI340" s="14" t="n"/>
      <c r="AJ340" s="14" t="n">
        <v>0.6375420322058224</v>
      </c>
      <c r="AK340" s="14" t="n"/>
      <c r="AL340" s="14" t="n"/>
      <c r="AM340" s="14" t="inlineStr">
        <is>
          <t>EVALUATED</t>
        </is>
      </c>
      <c r="AN340" s="14" t="inlineStr">
        <is>
          <t>RECEIVING_VALIDATED_EDGE;BUCKET_PRIOR_ONLY;INTENT_INTERPRETATION_ONLY;FFL_OPTIONAL;EXPERT_MARKET</t>
        </is>
      </c>
      <c r="AO340" s="14" t="inlineStr">
        <is>
          <t>d27c81d335544e3dafd0</t>
        </is>
      </c>
      <c r="AP340" s="14" t="n">
        <v>0.5</v>
      </c>
      <c r="AQ340" s="14" t="n">
        <v>0.95</v>
      </c>
      <c r="AR340" s="14" t="n">
        <v>-0.5</v>
      </c>
      <c r="AS340" s="14" t="n">
        <v>0.5</v>
      </c>
      <c r="AT340" s="14" t="n">
        <v>0.95</v>
      </c>
      <c r="AU340" s="14" t="n">
        <v>0.85</v>
      </c>
      <c r="AV340" s="14" t="inlineStr">
        <is>
          <t>2026-10-05T09:47:42.381506+08:00</t>
        </is>
      </c>
      <c r="AW340" s="14" t="inlineStr">
        <is>
          <t>Titan007/V4</t>
        </is>
      </c>
      <c r="AX340" s="14" t="inlineStr">
        <is>
          <t>Daily append；市场输入缺失时不生成决策</t>
        </is>
      </c>
      <c r="AY340" s="14" t="n"/>
    </row>
    <row r="341" ht="22" customHeight="1" s="39">
      <c r="A341" s="14" t="inlineStr">
        <is>
          <t>2026-10-05</t>
        </is>
      </c>
      <c r="B341" s="14" t="inlineStr">
        <is>
          <t>2026-10-05T22:00:00+08:00</t>
        </is>
      </c>
      <c r="C341" s="14" t="n"/>
      <c r="D341" s="14" t="n"/>
      <c r="E341" s="14" t="inlineStr">
        <is>
          <t>国际友谊</t>
        </is>
      </c>
      <c r="F341" s="14" t="inlineStr">
        <is>
          <t>黑山U19 vs 以色列U19</t>
        </is>
      </c>
      <c r="G341" s="26" t="n">
        <v>0.78</v>
      </c>
      <c r="H341" s="26" t="n">
        <v>-0.5</v>
      </c>
      <c r="I341" s="26" t="n">
        <v>1.03</v>
      </c>
      <c r="J341" s="26" t="inlineStr">
        <is>
          <t>0.78/-0.5/1.03</t>
        </is>
      </c>
      <c r="K341" s="14" t="inlineStr">
        <is>
          <t>V4-C</t>
        </is>
      </c>
      <c r="L341" s="14" t="inlineStr">
        <is>
          <t>黑山U19</t>
        </is>
      </c>
      <c r="M341" s="47" t="n">
        <v>0.2909012967462264</v>
      </c>
      <c r="N341" s="14" t="inlineStr">
        <is>
          <t>V4 Shadow Only；real_money=false</t>
        </is>
      </c>
      <c r="O341" s="14" t="inlineStr">
        <is>
          <t>0-1</t>
        </is>
      </c>
      <c r="P341" s="14" t="inlineStr">
        <is>
          <t>已结算</t>
        </is>
      </c>
      <c r="Q341" s="14" t="inlineStr">
        <is>
          <t>黑</t>
        </is>
      </c>
      <c r="R341" s="48" t="n">
        <v>0.78</v>
      </c>
      <c r="S341" s="48" t="n">
        <v>-1</v>
      </c>
      <c r="T341" s="14" t="inlineStr">
        <is>
          <t>D:\codex\outputs\football_odds_trader\decision_versions\2026-10-05\RUN_20261005_094642\slate_raw.csv</t>
        </is>
      </c>
      <c r="U341" s="14" t="n"/>
      <c r="V341" s="48" t="n"/>
      <c r="W341" s="48" t="n"/>
      <c r="X341" s="14" t="inlineStr">
        <is>
          <t>3097742</t>
        </is>
      </c>
      <c r="Y341" s="14" t="inlineStr">
        <is>
          <t>V4</t>
        </is>
      </c>
      <c r="Z341" s="14" t="inlineStr">
        <is>
          <t>prior-2026-10-05-v1</t>
        </is>
      </c>
      <c r="AA341" s="14" t="inlineStr">
        <is>
          <t>C</t>
        </is>
      </c>
      <c r="AB341" s="14" t="n">
        <v>0.2909012967462264</v>
      </c>
      <c r="AC341" s="14" t="n">
        <v>0.7090987032537736</v>
      </c>
      <c r="AD341" s="14" t="n">
        <v>-0.25</v>
      </c>
      <c r="AE341" s="14" t="n">
        <v>0</v>
      </c>
      <c r="AF341" s="14" t="n">
        <v>0</v>
      </c>
      <c r="AG341" s="14" t="n">
        <v>0.262195691791717</v>
      </c>
      <c r="AH341" s="14" t="n"/>
      <c r="AI341" s="14" t="n"/>
      <c r="AJ341" s="14" t="n">
        <v>0.262195691791717</v>
      </c>
      <c r="AK341" s="14" t="n"/>
      <c r="AL341" s="14" t="n"/>
      <c r="AM341" s="14" t="inlineStr">
        <is>
          <t>EVALUATED</t>
        </is>
      </c>
      <c r="AN341" s="14" t="inlineStr">
        <is>
          <t>RECEIVING_VALIDATED_EDGE;BUCKET_PRIOR_ONLY;INTENT_INTERPRETATION_ONLY;FFL_OPTIONAL;EXPERT_MARKET</t>
        </is>
      </c>
      <c r="AO341" s="14" t="inlineStr">
        <is>
          <t>ae0fe073dca3211d5e72</t>
        </is>
      </c>
      <c r="AP341" s="14" t="n">
        <v>0.5</v>
      </c>
      <c r="AQ341" s="14" t="n">
        <v>0.78</v>
      </c>
      <c r="AR341" s="14" t="n">
        <v>-0.5</v>
      </c>
      <c r="AS341" s="14" t="n">
        <v>0.5</v>
      </c>
      <c r="AT341" s="14" t="n">
        <v>0.78</v>
      </c>
      <c r="AU341" s="14" t="n">
        <v>1.03</v>
      </c>
      <c r="AV341" s="14" t="inlineStr">
        <is>
          <t>2026-10-05T09:47:42.381506+08:00</t>
        </is>
      </c>
      <c r="AW341" s="14" t="inlineStr">
        <is>
          <t>Titan007/V4</t>
        </is>
      </c>
      <c r="AX341" s="14" t="inlineStr">
        <is>
          <t>Daily append；市场输入缺失时不生成决策</t>
        </is>
      </c>
      <c r="AY341" s="14" t="n"/>
    </row>
    <row r="342" ht="22" customHeight="1" s="39">
      <c r="A342" s="14" t="inlineStr">
        <is>
          <t>2026-10-05</t>
        </is>
      </c>
      <c r="B342" s="14" t="inlineStr">
        <is>
          <t>2026-10-06T00:00:00+08:00</t>
        </is>
      </c>
      <c r="C342" s="14" t="n"/>
      <c r="D342" s="14" t="n"/>
      <c r="E342" s="14" t="inlineStr">
        <is>
          <t>国际友谊</t>
        </is>
      </c>
      <c r="F342" s="14" t="inlineStr">
        <is>
          <t>塞尔维亚U21 vs 俄罗斯U21</t>
        </is>
      </c>
      <c r="G342" s="26" t="n">
        <v>0.8</v>
      </c>
      <c r="H342" s="26" t="n">
        <v>-0.25</v>
      </c>
      <c r="I342" s="26" t="n">
        <v>0.97</v>
      </c>
      <c r="J342" s="26" t="inlineStr">
        <is>
          <t>0.8/-0.25/0.97</t>
        </is>
      </c>
      <c r="K342" s="14" t="inlineStr">
        <is>
          <t>V4-C</t>
        </is>
      </c>
      <c r="L342" s="14" t="inlineStr">
        <is>
          <t>塞尔维亚U21</t>
        </is>
      </c>
      <c r="M342" s="47" t="n">
        <v>0.3144609756216968</v>
      </c>
      <c r="N342" s="14" t="inlineStr">
        <is>
          <t>V4 Shadow Only；real_money=false</t>
        </is>
      </c>
      <c r="O342" s="14" t="inlineStr">
        <is>
          <t>2-1</t>
        </is>
      </c>
      <c r="P342" s="14" t="inlineStr">
        <is>
          <t>已结算</t>
        </is>
      </c>
      <c r="Q342" s="14" t="inlineStr">
        <is>
          <t>红</t>
        </is>
      </c>
      <c r="R342" s="48" t="n">
        <v>0.8</v>
      </c>
      <c r="S342" s="48" t="n">
        <v>0.8</v>
      </c>
      <c r="T342" s="14" t="inlineStr">
        <is>
          <t>D:\codex\outputs\football_odds_trader\decision_versions\2026-10-05\RUN_20261005_094642\slate_raw.csv</t>
        </is>
      </c>
      <c r="U342" s="14" t="n"/>
      <c r="V342" s="48" t="n"/>
      <c r="W342" s="48" t="n"/>
      <c r="X342" s="14" t="inlineStr">
        <is>
          <t>3097747</t>
        </is>
      </c>
      <c r="Y342" s="14" t="inlineStr">
        <is>
          <t>V4</t>
        </is>
      </c>
      <c r="Z342" s="14" t="inlineStr">
        <is>
          <t>prior-2026-10-05-v1</t>
        </is>
      </c>
      <c r="AA342" s="14" t="inlineStr">
        <is>
          <t>C</t>
        </is>
      </c>
      <c r="AB342" s="14" t="n">
        <v>0.3144609756216968</v>
      </c>
      <c r="AC342" s="14" t="n">
        <v>0.5548658555977493</v>
      </c>
      <c r="AD342" s="14" t="n">
        <v>-0.25</v>
      </c>
      <c r="AE342" s="14" t="n">
        <v>0</v>
      </c>
      <c r="AF342" s="14" t="n">
        <v>0</v>
      </c>
      <c r="AG342" s="14" t="n">
        <v>0.1294317088565027</v>
      </c>
      <c r="AH342" s="14" t="n"/>
      <c r="AI342" s="14" t="n"/>
      <c r="AJ342" s="14" t="n">
        <v>0.1294317088565027</v>
      </c>
      <c r="AK342" s="14" t="n"/>
      <c r="AL342" s="14" t="n"/>
      <c r="AM342" s="14" t="inlineStr">
        <is>
          <t>EVALUATED</t>
        </is>
      </c>
      <c r="AN342" s="14" t="inlineStr">
        <is>
          <t>RECEIVING_VALIDATED_EDGE;BUCKET_PRIOR_ONLY;INTENT_INTERPRETATION_ONLY;FFL_OPTIONAL;EXPERT_MARKET</t>
        </is>
      </c>
      <c r="AO342" s="14" t="inlineStr">
        <is>
          <t>cb077fc4201c7c5cab79</t>
        </is>
      </c>
      <c r="AP342" s="14" t="n">
        <v>0.25</v>
      </c>
      <c r="AQ342" s="14" t="n">
        <v>0.8</v>
      </c>
      <c r="AR342" s="14" t="n">
        <v>-0.25</v>
      </c>
      <c r="AS342" s="14" t="n">
        <v>0.25</v>
      </c>
      <c r="AT342" s="14" t="n">
        <v>0.8</v>
      </c>
      <c r="AU342" s="14" t="n">
        <v>0.97</v>
      </c>
      <c r="AV342" s="14" t="inlineStr">
        <is>
          <t>2026-10-05T09:47:42.381506+08:00</t>
        </is>
      </c>
      <c r="AW342" s="14" t="inlineStr">
        <is>
          <t>Titan007/V4</t>
        </is>
      </c>
      <c r="AX342" s="14" t="inlineStr">
        <is>
          <t>Daily append；市场输入缺失时不生成决策</t>
        </is>
      </c>
      <c r="AY342" s="14" t="n"/>
    </row>
    <row r="343" ht="22" customHeight="1" s="39">
      <c r="A343" s="14" t="inlineStr">
        <is>
          <t>2026-10-05</t>
        </is>
      </c>
      <c r="B343" s="14" t="inlineStr">
        <is>
          <t>2026-10-05T23:00:00+08:00</t>
        </is>
      </c>
      <c r="C343" s="14" t="n"/>
      <c r="D343" s="14" t="n"/>
      <c r="E343" s="14" t="inlineStr">
        <is>
          <t>加纳联</t>
        </is>
      </c>
      <c r="F343" s="14" t="inlineStr">
        <is>
          <t>多玛团结SC vs 胜利俱乐部勇士</t>
        </is>
      </c>
      <c r="G343" s="26" t="n">
        <v>0.8</v>
      </c>
      <c r="H343" s="26" t="n">
        <v>0.75</v>
      </c>
      <c r="I343" s="26" t="n">
        <v>1</v>
      </c>
      <c r="J343" s="26" t="inlineStr">
        <is>
          <t>0.8/0.75/1.0</t>
        </is>
      </c>
      <c r="K343" s="14" t="inlineStr">
        <is>
          <t>V4-C</t>
        </is>
      </c>
      <c r="L343" s="14" t="inlineStr">
        <is>
          <t>多玛团结SC</t>
        </is>
      </c>
      <c r="M343" s="47" t="n">
        <v>0.5503045174303725</v>
      </c>
      <c r="N343" s="14" t="inlineStr">
        <is>
          <t>V4 Shadow Only；real_money=false</t>
        </is>
      </c>
      <c r="O343" s="14" t="inlineStr">
        <is>
          <t>0-0</t>
        </is>
      </c>
      <c r="P343" s="14" t="inlineStr">
        <is>
          <t>已结算</t>
        </is>
      </c>
      <c r="Q343" s="14" t="inlineStr">
        <is>
          <t>黑</t>
        </is>
      </c>
      <c r="R343" s="48" t="n">
        <v>0.8</v>
      </c>
      <c r="S343" s="48" t="n">
        <v>-1</v>
      </c>
      <c r="T343" s="14" t="inlineStr">
        <is>
          <t>D:\codex\outputs\football_odds_trader\decision_versions\2026-10-05\RUN_20261005_094642\slate_raw.csv</t>
        </is>
      </c>
      <c r="U343" s="14" t="n"/>
      <c r="V343" s="48" t="n"/>
      <c r="W343" s="48" t="n"/>
      <c r="X343" s="14" t="inlineStr">
        <is>
          <t>3097814</t>
        </is>
      </c>
      <c r="Y343" s="14" t="inlineStr">
        <is>
          <t>V4</t>
        </is>
      </c>
      <c r="Z343" s="14" t="inlineStr">
        <is>
          <t>prior-2026-10-05-v1</t>
        </is>
      </c>
      <c r="AA343" s="14" t="inlineStr">
        <is>
          <t>C</t>
        </is>
      </c>
      <c r="AB343" s="14" t="n">
        <v>0.5503045174303725</v>
      </c>
      <c r="AC343" s="14" t="n">
        <v>0.3208787738431262</v>
      </c>
      <c r="AD343" s="14" t="n">
        <v>1.25</v>
      </c>
      <c r="AE343" s="14" t="n"/>
      <c r="AF343" s="14" t="n"/>
      <c r="AG343" s="14" t="n">
        <v>0.1193648401011718</v>
      </c>
      <c r="AH343" s="14" t="n"/>
      <c r="AI343" s="14" t="n"/>
      <c r="AJ343" s="14" t="n">
        <v>0.1193648401011718</v>
      </c>
      <c r="AK343" s="14" t="n"/>
      <c r="AL343" s="14" t="n"/>
      <c r="AM343" s="14" t="inlineStr">
        <is>
          <t>EVALUATED</t>
        </is>
      </c>
      <c r="AN343" s="14" t="inlineStr">
        <is>
          <t>GIVING_VALIDATED_EDGE;BUCKET_PRIOR_ONLY;INTENT_INTERPRETATION_ONLY;FFL_OPTIONAL;EXPERT_MARKET</t>
        </is>
      </c>
      <c r="AO343" s="14" t="inlineStr">
        <is>
          <t>e0c22be387635f887c07</t>
        </is>
      </c>
      <c r="AP343" s="14" t="n">
        <v>-0.75</v>
      </c>
      <c r="AQ343" s="14" t="n">
        <v>0.8</v>
      </c>
      <c r="AR343" s="14" t="n">
        <v>0.75</v>
      </c>
      <c r="AS343" s="14" t="n">
        <v>-0.75</v>
      </c>
      <c r="AT343" s="14" t="n">
        <v>0.8</v>
      </c>
      <c r="AU343" s="14" t="n">
        <v>1</v>
      </c>
      <c r="AV343" s="14" t="inlineStr">
        <is>
          <t>2026-10-05T09:47:42.381506+08:00</t>
        </is>
      </c>
      <c r="AW343" s="14" t="inlineStr">
        <is>
          <t>Titan007/V4</t>
        </is>
      </c>
      <c r="AX343" s="14" t="inlineStr">
        <is>
          <t>Daily append；市场输入缺失时不生成决策</t>
        </is>
      </c>
      <c r="AY343" s="14" t="n"/>
    </row>
    <row r="344" ht="22" customHeight="1" s="39">
      <c r="A344" s="14" t="inlineStr">
        <is>
          <t>2026-10-05</t>
        </is>
      </c>
      <c r="B344" s="14" t="inlineStr">
        <is>
          <t>2026-10-05T20:30:00+08:00</t>
        </is>
      </c>
      <c r="C344" s="14" t="n"/>
      <c r="D344" s="14" t="n"/>
      <c r="E344" s="14" t="inlineStr">
        <is>
          <t>莫桑冠</t>
        </is>
      </c>
      <c r="F344" s="14" t="inlineStr">
        <is>
          <t>费罗瓦里奥利欣加 vs 纳马普拉铁路</t>
        </is>
      </c>
      <c r="G344" s="26" t="n">
        <v>0.85</v>
      </c>
      <c r="H344" s="26" t="n">
        <v>0.5</v>
      </c>
      <c r="I344" s="26" t="n">
        <v>0.95</v>
      </c>
      <c r="J344" s="26" t="inlineStr">
        <is>
          <t>0.85/0.5/0.95</t>
        </is>
      </c>
      <c r="K344" s="14" t="inlineStr">
        <is>
          <t>V4-C</t>
        </is>
      </c>
      <c r="L344" s="14" t="inlineStr">
        <is>
          <t>费罗瓦里奥利欣加</t>
        </is>
      </c>
      <c r="M344" s="47" t="n">
        <v>0.6165381546202323</v>
      </c>
      <c r="N344" s="14" t="inlineStr">
        <is>
          <t>V4 Shadow Only；real_money=false</t>
        </is>
      </c>
      <c r="O344" s="14" t="inlineStr">
        <is>
          <t>0-0</t>
        </is>
      </c>
      <c r="P344" s="14" t="inlineStr">
        <is>
          <t>已结算</t>
        </is>
      </c>
      <c r="Q344" s="14" t="inlineStr">
        <is>
          <t>黑</t>
        </is>
      </c>
      <c r="R344" s="48" t="n">
        <v>0.85</v>
      </c>
      <c r="S344" s="48" t="n">
        <v>-1</v>
      </c>
      <c r="T344" s="14" t="inlineStr">
        <is>
          <t>D:\codex\outputs\football_odds_trader\decision_versions\2026-10-05\RUN_20261005_094642\slate_raw.csv</t>
        </is>
      </c>
      <c r="U344" s="14" t="n"/>
      <c r="V344" s="48" t="n"/>
      <c r="W344" s="48" t="n"/>
      <c r="X344" s="14" t="inlineStr">
        <is>
          <t>3099051</t>
        </is>
      </c>
      <c r="Y344" s="14" t="inlineStr">
        <is>
          <t>V4</t>
        </is>
      </c>
      <c r="Z344" s="14" t="inlineStr">
        <is>
          <t>prior-2026-10-05-v1</t>
        </is>
      </c>
      <c r="AA344" s="14" t="inlineStr">
        <is>
          <t>C</t>
        </is>
      </c>
      <c r="AB344" s="14" t="n">
        <v>0.6165381546202323</v>
      </c>
      <c r="AC344" s="14" t="n">
        <v>0.3834618453797677</v>
      </c>
      <c r="AD344" s="14" t="n">
        <v>1</v>
      </c>
      <c r="AE344" s="14" t="n"/>
      <c r="AF344" s="14" t="n"/>
      <c r="AG344" s="14" t="n">
        <v>0.1405955860474297</v>
      </c>
      <c r="AH344" s="14" t="n"/>
      <c r="AI344" s="14" t="n"/>
      <c r="AJ344" s="14" t="n">
        <v>0.1405955860474297</v>
      </c>
      <c r="AK344" s="14" t="n"/>
      <c r="AL344" s="14" t="n"/>
      <c r="AM344" s="14" t="inlineStr">
        <is>
          <t>EVALUATED</t>
        </is>
      </c>
      <c r="AN344" s="14" t="inlineStr">
        <is>
          <t>GIVING_VALIDATED_EDGE;BUCKET_PRIOR_ONLY;INTENT_INTERPRETATION_ONLY;FFL_OPTIONAL;EXPERT_MARKET</t>
        </is>
      </c>
      <c r="AO344" s="14" t="inlineStr">
        <is>
          <t>64d03801c57ef928f8d0</t>
        </is>
      </c>
      <c r="AP344" s="14" t="n">
        <v>-0.5</v>
      </c>
      <c r="AQ344" s="14" t="n">
        <v>0.85</v>
      </c>
      <c r="AR344" s="14" t="n">
        <v>0.5</v>
      </c>
      <c r="AS344" s="14" t="n">
        <v>-0.5</v>
      </c>
      <c r="AT344" s="14" t="n">
        <v>0.85</v>
      </c>
      <c r="AU344" s="14" t="n">
        <v>0.95</v>
      </c>
      <c r="AV344" s="14" t="inlineStr">
        <is>
          <t>2026-10-05T09:47:42.381506+08:00</t>
        </is>
      </c>
      <c r="AW344" s="14" t="inlineStr">
        <is>
          <t>Titan007/V4</t>
        </is>
      </c>
      <c r="AX344" s="14" t="inlineStr">
        <is>
          <t>Daily append；市场输入缺失时不生成决策</t>
        </is>
      </c>
      <c r="AY344" s="14" t="n"/>
    </row>
    <row r="345" ht="22" customHeight="1" s="39">
      <c r="A345" s="14" t="inlineStr">
        <is>
          <t>2026-10-05</t>
        </is>
      </c>
      <c r="B345" s="14" t="inlineStr">
        <is>
          <t>2026-10-06T07:00:00+08:00</t>
        </is>
      </c>
      <c r="C345" s="14" t="inlineStr">
        <is>
          <t>CLUB_CUP</t>
        </is>
      </c>
      <c r="D345" s="14" t="n"/>
      <c r="E345" s="14" t="inlineStr">
        <is>
          <t>巴拉女杯</t>
        </is>
      </c>
      <c r="F345" s="14" t="inlineStr">
        <is>
          <t>雷科莱塔女足 vs 泰里尼登斯女足</t>
        </is>
      </c>
      <c r="G345" s="26" t="n">
        <v>1</v>
      </c>
      <c r="H345" s="26" t="n">
        <v>-1</v>
      </c>
      <c r="I345" s="26" t="n">
        <v>0.8</v>
      </c>
      <c r="J345" s="26" t="inlineStr">
        <is>
          <t>1.0/-1.0/0.8</t>
        </is>
      </c>
      <c r="K345" s="14" t="inlineStr">
        <is>
          <t>V4-B</t>
        </is>
      </c>
      <c r="L345" s="14" t="inlineStr">
        <is>
          <t>雷科莱塔女足</t>
        </is>
      </c>
      <c r="M345" s="47" t="n">
        <v>0.03070859357706088</v>
      </c>
      <c r="N345" s="14" t="inlineStr">
        <is>
          <t>V4 Shadow Only；real_money=false</t>
        </is>
      </c>
      <c r="O345" s="14" t="inlineStr">
        <is>
          <t>0-0</t>
        </is>
      </c>
      <c r="P345" s="14" t="inlineStr">
        <is>
          <t>EVALUATED</t>
        </is>
      </c>
      <c r="Q345" s="14" t="inlineStr">
        <is>
          <t>B</t>
        </is>
      </c>
      <c r="R345" s="48" t="n">
        <v>1</v>
      </c>
      <c r="S345" s="48" t="n"/>
      <c r="T345" s="14" t="inlineStr">
        <is>
          <t>D:\codex\outputs\football_odds_trader\decision_versions\2026-10-05\RUN_20261005_094642\slate_raw.csv</t>
        </is>
      </c>
      <c r="U345" s="14" t="n"/>
      <c r="V345" s="48" t="n"/>
      <c r="W345" s="48" t="n"/>
      <c r="X345" s="14" t="inlineStr">
        <is>
          <t>3099052</t>
        </is>
      </c>
      <c r="Y345" s="14" t="inlineStr">
        <is>
          <t>V4</t>
        </is>
      </c>
      <c r="Z345" s="14" t="inlineStr">
        <is>
          <t>prior-2026-10-05-v1</t>
        </is>
      </c>
      <c r="AA345" s="14" t="inlineStr">
        <is>
          <t>B</t>
        </is>
      </c>
      <c r="AB345" s="14" t="n">
        <v>0.03070859357706088</v>
      </c>
      <c r="AC345" s="14" t="n">
        <v>0.8819005475214391</v>
      </c>
      <c r="AD345" s="14" t="n">
        <v>-1.25</v>
      </c>
      <c r="AE345" s="14" t="n">
        <v>0</v>
      </c>
      <c r="AF345" s="14" t="n">
        <v>0</v>
      </c>
      <c r="AG345" s="14" t="n">
        <v>0.8511919539443782</v>
      </c>
      <c r="AH345" s="14" t="n"/>
      <c r="AI345" s="14" t="n"/>
      <c r="AJ345" s="14" t="n">
        <v>0.8511919539443782</v>
      </c>
      <c r="AK345" s="14" t="n"/>
      <c r="AL345" s="14" t="n"/>
      <c r="AM345" s="14" t="inlineStr">
        <is>
          <t>EVALUATED</t>
        </is>
      </c>
      <c r="AN345" s="14" t="inlineStr">
        <is>
          <t>RECEIVING_VALIDATED_EDGE;BUCKET_PRIOR_ONLY;INTENT_INTERPRETATION_ONLY;FFL_OPTIONAL;EXPERT_MARKET</t>
        </is>
      </c>
      <c r="AO345" s="14" t="inlineStr">
        <is>
          <t>ee2e2a1ccf34aca9c94a</t>
        </is>
      </c>
      <c r="AP345" s="14" t="n">
        <v>1</v>
      </c>
      <c r="AQ345" s="14" t="n">
        <v>1</v>
      </c>
      <c r="AR345" s="14" t="n">
        <v>-1</v>
      </c>
      <c r="AS345" s="14" t="n">
        <v>1</v>
      </c>
      <c r="AT345" s="14" t="n">
        <v>1</v>
      </c>
      <c r="AU345" s="14" t="n">
        <v>0.8</v>
      </c>
      <c r="AV345" s="14" t="inlineStr">
        <is>
          <t>2026-10-05T09:47:42.381506+08:00</t>
        </is>
      </c>
      <c r="AW345" s="14" t="inlineStr">
        <is>
          <t>Titan007/V4</t>
        </is>
      </c>
      <c r="AX345" s="14" t="inlineStr">
        <is>
          <t>Daily append；市场输入缺失时不生成决策</t>
        </is>
      </c>
      <c r="AY345" s="14" t="n"/>
    </row>
    <row r="346" ht="22" customHeight="1" s="39">
      <c r="A346" s="14" t="inlineStr">
        <is>
          <t>2026-10-05</t>
        </is>
      </c>
      <c r="B346" s="14" t="inlineStr">
        <is>
          <t>2026-10-05T19:00:00+08:00</t>
        </is>
      </c>
      <c r="C346" s="14" t="n"/>
      <c r="D346" s="14" t="n"/>
      <c r="E346" s="14" t="inlineStr">
        <is>
          <t>巴拉后备</t>
        </is>
      </c>
      <c r="F346" s="14" t="inlineStr">
        <is>
          <t>波特诺山丘后备队 vs 马约后备队</t>
        </is>
      </c>
      <c r="G346" s="26" t="n">
        <v>1</v>
      </c>
      <c r="H346" s="26" t="n">
        <v>2</v>
      </c>
      <c r="I346" s="26" t="n">
        <v>0.8</v>
      </c>
      <c r="J346" s="26" t="inlineStr">
        <is>
          <t>1.0/2.0/0.8</t>
        </is>
      </c>
      <c r="K346" s="14" t="inlineStr">
        <is>
          <t>V4-C</t>
        </is>
      </c>
      <c r="L346" s="14" t="inlineStr">
        <is>
          <t>波特诺山丘后备队</t>
        </is>
      </c>
      <c r="M346" s="47" t="n">
        <v>0.422687217706875</v>
      </c>
      <c r="N346" s="14" t="inlineStr">
        <is>
          <t>V4 Shadow Only；real_money=false</t>
        </is>
      </c>
      <c r="O346" s="14" t="inlineStr">
        <is>
          <t>4-0</t>
        </is>
      </c>
      <c r="P346" s="14" t="inlineStr">
        <is>
          <t>已结算</t>
        </is>
      </c>
      <c r="Q346" s="14" t="inlineStr">
        <is>
          <t>红</t>
        </is>
      </c>
      <c r="R346" s="48" t="n">
        <v>1</v>
      </c>
      <c r="S346" s="48" t="n">
        <v>1</v>
      </c>
      <c r="T346" s="14" t="inlineStr">
        <is>
          <t>D:\codex\outputs\football_odds_trader\decision_versions\2026-10-05\RUN_20261005_094642\slate_raw.csv</t>
        </is>
      </c>
      <c r="U346" s="14" t="n"/>
      <c r="V346" s="48" t="n"/>
      <c r="W346" s="48" t="n"/>
      <c r="X346" s="14" t="inlineStr">
        <is>
          <t>3099073</t>
        </is>
      </c>
      <c r="Y346" s="14" t="inlineStr">
        <is>
          <t>V4</t>
        </is>
      </c>
      <c r="Z346" s="14" t="inlineStr">
        <is>
          <t>prior-2026-10-05-v1</t>
        </is>
      </c>
      <c r="AA346" s="14" t="inlineStr">
        <is>
          <t>C</t>
        </is>
      </c>
      <c r="AB346" s="14" t="n">
        <v>0.422687217706875</v>
      </c>
      <c r="AC346" s="14" t="n">
        <v>0.3303208702873962</v>
      </c>
      <c r="AD346" s="14" t="n">
        <v>2.25</v>
      </c>
      <c r="AE346" s="14" t="n"/>
      <c r="AF346" s="14" t="n"/>
      <c r="AG346" s="14" t="n">
        <v>0.09236634741947886</v>
      </c>
      <c r="AH346" s="14" t="n"/>
      <c r="AI346" s="14" t="n"/>
      <c r="AJ346" s="14" t="n">
        <v>0.09236634741947886</v>
      </c>
      <c r="AK346" s="14" t="n"/>
      <c r="AL346" s="14" t="n"/>
      <c r="AM346" s="14" t="inlineStr">
        <is>
          <t>EVALUATED</t>
        </is>
      </c>
      <c r="AN346" s="14" t="inlineStr">
        <is>
          <t>GIVING_VALIDATED_EDGE;BUCKET_PRIOR_ONLY;INTENT_INTERPRETATION_ONLY;FFL_OPTIONAL;EXPERT_MARKET</t>
        </is>
      </c>
      <c r="AO346" s="14" t="inlineStr">
        <is>
          <t>1e3eb5f364065ae6060b</t>
        </is>
      </c>
      <c r="AP346" s="14" t="n">
        <v>-2</v>
      </c>
      <c r="AQ346" s="14" t="n">
        <v>1</v>
      </c>
      <c r="AR346" s="14" t="n">
        <v>2</v>
      </c>
      <c r="AS346" s="14" t="n">
        <v>-2</v>
      </c>
      <c r="AT346" s="14" t="n">
        <v>1</v>
      </c>
      <c r="AU346" s="14" t="n">
        <v>0.8</v>
      </c>
      <c r="AV346" s="14" t="inlineStr">
        <is>
          <t>2026-10-05T09:47:42.381506+08:00</t>
        </is>
      </c>
      <c r="AW346" s="14" t="inlineStr">
        <is>
          <t>Titan007/V4</t>
        </is>
      </c>
      <c r="AX346" s="14" t="inlineStr">
        <is>
          <t>Daily append；市场输入缺失时不生成决策</t>
        </is>
      </c>
      <c r="AY346" s="14" t="n"/>
    </row>
    <row r="347" ht="22" customHeight="1" s="39">
      <c r="A347" s="14" t="inlineStr">
        <is>
          <t>2026-10-05</t>
        </is>
      </c>
      <c r="B347" s="14" t="inlineStr">
        <is>
          <t>2026-10-06T02:30:00+08:00</t>
        </is>
      </c>
      <c r="C347" s="14" t="n"/>
      <c r="D347" s="14" t="n"/>
      <c r="E347" s="14" t="inlineStr">
        <is>
          <t>巴U20杯</t>
        </is>
      </c>
      <c r="F347" s="14" t="inlineStr">
        <is>
          <t>路易兹U20 vs 戈亚尼亚青年队</t>
        </is>
      </c>
      <c r="G347" s="26" t="n">
        <v>0.85</v>
      </c>
      <c r="H347" s="26" t="n">
        <v>-0.5</v>
      </c>
      <c r="I347" s="26" t="n">
        <v>0.95</v>
      </c>
      <c r="J347" s="26" t="inlineStr">
        <is>
          <t>0.85/-0.5/0.95</t>
        </is>
      </c>
      <c r="K347" s="14" t="inlineStr">
        <is>
          <t>V4-C</t>
        </is>
      </c>
      <c r="L347" s="14" t="inlineStr">
        <is>
          <t>路易兹U20</t>
        </is>
      </c>
      <c r="M347" s="47" t="n">
        <v>0.2202412498478825</v>
      </c>
      <c r="N347" s="14" t="inlineStr">
        <is>
          <t>V4 Shadow Only；real_money=false</t>
        </is>
      </c>
      <c r="O347" s="14" t="inlineStr">
        <is>
          <t>1-0</t>
        </is>
      </c>
      <c r="P347" s="14" t="inlineStr">
        <is>
          <t>已结算</t>
        </is>
      </c>
      <c r="Q347" s="14" t="inlineStr">
        <is>
          <t>红</t>
        </is>
      </c>
      <c r="R347" s="48" t="n">
        <v>0.85</v>
      </c>
      <c r="S347" s="48" t="n">
        <v>0.85</v>
      </c>
      <c r="T347" s="14" t="inlineStr">
        <is>
          <t>D:\codex\outputs\football_odds_trader\decision_versions\2026-10-05\RUN_20261005_094642\slate_raw.csv</t>
        </is>
      </c>
      <c r="U347" s="14" t="n"/>
      <c r="V347" s="48" t="n"/>
      <c r="W347" s="48" t="n"/>
      <c r="X347" s="14" t="inlineStr">
        <is>
          <t>3099076</t>
        </is>
      </c>
      <c r="Y347" s="14" t="inlineStr">
        <is>
          <t>V4</t>
        </is>
      </c>
      <c r="Z347" s="14" t="inlineStr">
        <is>
          <t>prior-2026-10-05-v1</t>
        </is>
      </c>
      <c r="AA347" s="14" t="inlineStr">
        <is>
          <t>C</t>
        </is>
      </c>
      <c r="AB347" s="14" t="n">
        <v>0.2202412498478825</v>
      </c>
      <c r="AC347" s="14" t="n">
        <v>0.7797587501521176</v>
      </c>
      <c r="AD347" s="14" t="n">
        <v>-0.75</v>
      </c>
      <c r="AE347" s="14" t="n">
        <v>0</v>
      </c>
      <c r="AF347" s="14" t="n">
        <v>0</v>
      </c>
      <c r="AG347" s="14" t="n">
        <v>0.4425536877814175</v>
      </c>
      <c r="AH347" s="14" t="n"/>
      <c r="AI347" s="14" t="n"/>
      <c r="AJ347" s="14" t="n">
        <v>0.4425536877814175</v>
      </c>
      <c r="AK347" s="14" t="n"/>
      <c r="AL347" s="14" t="n"/>
      <c r="AM347" s="14" t="inlineStr">
        <is>
          <t>EVALUATED</t>
        </is>
      </c>
      <c r="AN347" s="14" t="inlineStr">
        <is>
          <t>RECEIVING_VALIDATED_EDGE;BUCKET_PRIOR_ONLY;INTENT_INTERPRETATION_ONLY;FFL_OPTIONAL;EXPERT_MARKET</t>
        </is>
      </c>
      <c r="AO347" s="14" t="inlineStr">
        <is>
          <t>d5f7c6ee890f4afaaf2a</t>
        </is>
      </c>
      <c r="AP347" s="14" t="n">
        <v>0.5</v>
      </c>
      <c r="AQ347" s="14" t="n">
        <v>0.85</v>
      </c>
      <c r="AR347" s="14" t="n">
        <v>-0.5</v>
      </c>
      <c r="AS347" s="14" t="n">
        <v>0.5</v>
      </c>
      <c r="AT347" s="14" t="n">
        <v>0.85</v>
      </c>
      <c r="AU347" s="14" t="n">
        <v>0.95</v>
      </c>
      <c r="AV347" s="14" t="inlineStr">
        <is>
          <t>2026-10-05T09:47:42.381506+08:00</t>
        </is>
      </c>
      <c r="AW347" s="14" t="inlineStr">
        <is>
          <t>Titan007/V4</t>
        </is>
      </c>
      <c r="AX347" s="14" t="inlineStr">
        <is>
          <t>Daily append；市场输入缺失时不生成决策</t>
        </is>
      </c>
      <c r="AY347" s="14" t="n"/>
    </row>
    <row r="348" ht="22" customHeight="1" s="39">
      <c r="A348" s="14" t="inlineStr">
        <is>
          <t>2026-10-05</t>
        </is>
      </c>
      <c r="B348" s="14" t="inlineStr">
        <is>
          <t>2026-10-06T07:15:00+08:00</t>
        </is>
      </c>
      <c r="C348" s="14" t="n"/>
      <c r="D348" s="14" t="n"/>
      <c r="E348" s="14" t="inlineStr">
        <is>
          <t>巴伊乙</t>
        </is>
      </c>
      <c r="F348" s="14" t="inlineStr">
        <is>
          <t>奥托艾斯波特 vs 塞拉诺PB</t>
        </is>
      </c>
      <c r="G348" s="26" t="n">
        <v>0.9</v>
      </c>
      <c r="H348" s="26" t="n">
        <v>1.75</v>
      </c>
      <c r="I348" s="26" t="n">
        <v>0.9</v>
      </c>
      <c r="J348" s="26" t="inlineStr">
        <is>
          <t>0.9/1.75/0.9</t>
        </is>
      </c>
      <c r="K348" s="14" t="inlineStr">
        <is>
          <t>V4-B</t>
        </is>
      </c>
      <c r="L348" s="14" t="inlineStr">
        <is>
          <t>奥托艾斯波特</t>
        </is>
      </c>
      <c r="M348" s="47" t="n">
        <v>0.5426675571526953</v>
      </c>
      <c r="N348" s="14" t="inlineStr">
        <is>
          <t>V4 Shadow Only；real_money=false</t>
        </is>
      </c>
      <c r="O348" s="14" t="inlineStr">
        <is>
          <t>0-0</t>
        </is>
      </c>
      <c r="P348" s="14" t="inlineStr">
        <is>
          <t>EVALUATED</t>
        </is>
      </c>
      <c r="Q348" s="14" t="inlineStr">
        <is>
          <t>B</t>
        </is>
      </c>
      <c r="R348" s="48" t="n">
        <v>0.9</v>
      </c>
      <c r="S348" s="48" t="n"/>
      <c r="T348" s="14" t="inlineStr">
        <is>
          <t>D:\codex\outputs\football_odds_trader\decision_versions\2026-10-05\RUN_20261005_094642\slate_raw.csv</t>
        </is>
      </c>
      <c r="U348" s="14" t="n"/>
      <c r="V348" s="48" t="n"/>
      <c r="W348" s="48" t="n"/>
      <c r="X348" s="14" t="inlineStr">
        <is>
          <t>3099077</t>
        </is>
      </c>
      <c r="Y348" s="14" t="inlineStr">
        <is>
          <t>V4</t>
        </is>
      </c>
      <c r="Z348" s="14" t="inlineStr">
        <is>
          <t>prior-2026-10-05-v1</t>
        </is>
      </c>
      <c r="AA348" s="14" t="inlineStr">
        <is>
          <t>B</t>
        </is>
      </c>
      <c r="AB348" s="14" t="n">
        <v>0.5426675571526953</v>
      </c>
      <c r="AC348" s="14" t="n">
        <v>0.3337408900517527</v>
      </c>
      <c r="AD348" s="14" t="n">
        <v>2.25</v>
      </c>
      <c r="AE348" s="14" t="n"/>
      <c r="AF348" s="14" t="n"/>
      <c r="AG348" s="14" t="n">
        <v>0.154659911385673</v>
      </c>
      <c r="AH348" s="14" t="n"/>
      <c r="AI348" s="14" t="n"/>
      <c r="AJ348" s="14" t="n">
        <v>0.154659911385673</v>
      </c>
      <c r="AK348" s="14" t="n"/>
      <c r="AL348" s="14" t="n"/>
      <c r="AM348" s="14" t="inlineStr">
        <is>
          <t>EVALUATED</t>
        </is>
      </c>
      <c r="AN348" s="14" t="inlineStr">
        <is>
          <t>GIVING_VALIDATED_EDGE;BUCKET_PRIOR_ONLY;INTENT_INTERPRETATION_ONLY;FFL_OPTIONAL;EXPERT_MARKET</t>
        </is>
      </c>
      <c r="AO348" s="14" t="inlineStr">
        <is>
          <t>3723a5021a9598e33b73</t>
        </is>
      </c>
      <c r="AP348" s="14" t="n">
        <v>-1.75</v>
      </c>
      <c r="AQ348" s="14" t="n">
        <v>0.9</v>
      </c>
      <c r="AR348" s="14" t="n">
        <v>1.75</v>
      </c>
      <c r="AS348" s="14" t="n">
        <v>-1.75</v>
      </c>
      <c r="AT348" s="14" t="n">
        <v>0.9</v>
      </c>
      <c r="AU348" s="14" t="n">
        <v>0.9</v>
      </c>
      <c r="AV348" s="14" t="inlineStr">
        <is>
          <t>2026-10-05T09:47:42.381506+08:00</t>
        </is>
      </c>
      <c r="AW348" s="14" t="inlineStr">
        <is>
          <t>Titan007/V4</t>
        </is>
      </c>
      <c r="AX348" s="14" t="inlineStr">
        <is>
          <t>Daily append；市场输入缺失时不生成决策</t>
        </is>
      </c>
      <c r="AY348" s="14" t="n"/>
    </row>
    <row r="349" ht="22" customHeight="1" s="39">
      <c r="A349" s="14" t="inlineStr">
        <is>
          <t>2026-10-05</t>
        </is>
      </c>
      <c r="B349" s="14" t="inlineStr">
        <is>
          <t>2026-10-05T20:30:00+08:00</t>
        </is>
      </c>
      <c r="C349" s="14" t="n"/>
      <c r="D349" s="14" t="n"/>
      <c r="E349" s="14" t="inlineStr">
        <is>
          <t>克亚丙</t>
        </is>
      </c>
      <c r="F349" s="14" t="inlineStr">
        <is>
          <t>NK普里莫拉茨 vs NK内雷特瓦</t>
        </is>
      </c>
      <c r="G349" s="26" t="n">
        <v>1</v>
      </c>
      <c r="H349" s="26" t="n">
        <v>-0.5</v>
      </c>
      <c r="I349" s="26" t="n">
        <v>0.8</v>
      </c>
      <c r="J349" s="26" t="inlineStr">
        <is>
          <t>1.0/-0.5/0.8</t>
        </is>
      </c>
      <c r="K349" s="14" t="inlineStr">
        <is>
          <t>V4-B</t>
        </is>
      </c>
      <c r="L349" s="14" t="inlineStr">
        <is>
          <t>NK普里莫拉茨</t>
        </is>
      </c>
      <c r="M349" s="47" t="n">
        <v>0.1883073258090189</v>
      </c>
      <c r="N349" s="14" t="inlineStr">
        <is>
          <t>V4 Shadow Only；real_money=false</t>
        </is>
      </c>
      <c r="O349" s="14" t="inlineStr">
        <is>
          <t>0-0</t>
        </is>
      </c>
      <c r="P349" s="14" t="inlineStr">
        <is>
          <t>已结算</t>
        </is>
      </c>
      <c r="Q349" s="14" t="inlineStr">
        <is>
          <t>红</t>
        </is>
      </c>
      <c r="R349" s="48" t="n">
        <v>1</v>
      </c>
      <c r="S349" s="48" t="n">
        <v>1</v>
      </c>
      <c r="T349" s="14" t="inlineStr">
        <is>
          <t>D:\codex\outputs\football_odds_trader\decision_versions\2026-10-05\RUN_20261005_094642\slate_raw.csv</t>
        </is>
      </c>
      <c r="U349" s="14" t="n"/>
      <c r="V349" s="48" t="n"/>
      <c r="W349" s="48" t="n"/>
      <c r="X349" s="14" t="inlineStr">
        <is>
          <t>3099082</t>
        </is>
      </c>
      <c r="Y349" s="14" t="inlineStr">
        <is>
          <t>V4</t>
        </is>
      </c>
      <c r="Z349" s="14" t="inlineStr">
        <is>
          <t>prior-2026-10-05-v1</t>
        </is>
      </c>
      <c r="AA349" s="14" t="inlineStr">
        <is>
          <t>B</t>
        </is>
      </c>
      <c r="AB349" s="14" t="n">
        <v>0.1883073258090189</v>
      </c>
      <c r="AC349" s="14" t="n">
        <v>0.8116926741909811</v>
      </c>
      <c r="AD349" s="14" t="n">
        <v>-0.75</v>
      </c>
      <c r="AE349" s="14" t="n">
        <v>0</v>
      </c>
      <c r="AF349" s="14" t="n">
        <v>0</v>
      </c>
      <c r="AG349" s="14" t="n">
        <v>0.6233853483819622</v>
      </c>
      <c r="AH349" s="14" t="n"/>
      <c r="AI349" s="14" t="n"/>
      <c r="AJ349" s="14" t="n">
        <v>0.6233853483819622</v>
      </c>
      <c r="AK349" s="14" t="n"/>
      <c r="AL349" s="14" t="n"/>
      <c r="AM349" s="14" t="inlineStr">
        <is>
          <t>EVALUATED</t>
        </is>
      </c>
      <c r="AN349" s="14" t="inlineStr">
        <is>
          <t>RECEIVING_VALIDATED_EDGE;BUCKET_PRIOR_ONLY;INTENT_INTERPRETATION_ONLY;FFL_OPTIONAL;EXPERT_MARKET</t>
        </is>
      </c>
      <c r="AO349" s="14" t="inlineStr">
        <is>
          <t>94d20c0ccf809432026c</t>
        </is>
      </c>
      <c r="AP349" s="14" t="n">
        <v>0.5</v>
      </c>
      <c r="AQ349" s="14" t="n">
        <v>1</v>
      </c>
      <c r="AR349" s="14" t="n">
        <v>-0.5</v>
      </c>
      <c r="AS349" s="14" t="n">
        <v>0.5</v>
      </c>
      <c r="AT349" s="14" t="n">
        <v>1</v>
      </c>
      <c r="AU349" s="14" t="n">
        <v>0.8</v>
      </c>
      <c r="AV349" s="14" t="inlineStr">
        <is>
          <t>2026-10-05T09:47:42.381506+08:00</t>
        </is>
      </c>
      <c r="AW349" s="14" t="inlineStr">
        <is>
          <t>Titan007/V4</t>
        </is>
      </c>
      <c r="AX349" s="14" t="inlineStr">
        <is>
          <t>Daily append；市场输入缺失时不生成决策</t>
        </is>
      </c>
      <c r="AY349" s="14" t="n"/>
    </row>
    <row r="350" ht="22" customHeight="1" s="39">
      <c r="A350" s="14" t="inlineStr">
        <is>
          <t>2026-10-05</t>
        </is>
      </c>
      <c r="B350" s="14" t="inlineStr">
        <is>
          <t>2026-10-06T01:00:00+08:00</t>
        </is>
      </c>
      <c r="C350" s="14" t="n"/>
      <c r="D350" s="14" t="n"/>
      <c r="E350" s="14" t="inlineStr">
        <is>
          <t>塞内甲</t>
        </is>
      </c>
      <c r="F350" s="14" t="inlineStr">
        <is>
          <t>特兰加体育俱乐部 vs 国贸</t>
        </is>
      </c>
      <c r="G350" s="26" t="n">
        <v>0.98</v>
      </c>
      <c r="H350" s="26" t="n">
        <v>-0.25</v>
      </c>
      <c r="I350" s="26" t="n">
        <v>0.83</v>
      </c>
      <c r="J350" s="26" t="inlineStr">
        <is>
          <t>0.98/-0.25/0.83</t>
        </is>
      </c>
      <c r="K350" s="14" t="inlineStr">
        <is>
          <t>V4-B</t>
        </is>
      </c>
      <c r="L350" s="14" t="inlineStr">
        <is>
          <t>特兰加体育俱乐部</t>
        </is>
      </c>
      <c r="M350" s="47" t="n">
        <v>0.2326090385629447</v>
      </c>
      <c r="N350" s="14" t="inlineStr">
        <is>
          <t>V4 Shadow Only；real_money=false</t>
        </is>
      </c>
      <c r="O350" s="14" t="inlineStr">
        <is>
          <t>0-0</t>
        </is>
      </c>
      <c r="P350" s="14" t="inlineStr">
        <is>
          <t>EVALUATED</t>
        </is>
      </c>
      <c r="Q350" s="14" t="inlineStr">
        <is>
          <t>B</t>
        </is>
      </c>
      <c r="R350" s="48" t="n">
        <v>0.98</v>
      </c>
      <c r="S350" s="48" t="n"/>
      <c r="T350" s="14" t="inlineStr">
        <is>
          <t>D:\codex\outputs\football_odds_trader\decision_versions\2026-10-05\RUN_20261005_094642\slate_raw.csv</t>
        </is>
      </c>
      <c r="U350" s="14" t="n"/>
      <c r="V350" s="48" t="n"/>
      <c r="W350" s="48" t="n"/>
      <c r="X350" s="14" t="inlineStr">
        <is>
          <t>3099090</t>
        </is>
      </c>
      <c r="Y350" s="14" t="inlineStr">
        <is>
          <t>V4</t>
        </is>
      </c>
      <c r="Z350" s="14" t="inlineStr">
        <is>
          <t>prior-2026-10-05-v1</t>
        </is>
      </c>
      <c r="AA350" s="14" t="inlineStr">
        <is>
          <t>B</t>
        </is>
      </c>
      <c r="AB350" s="14" t="n">
        <v>0.2326090385629447</v>
      </c>
      <c r="AC350" s="14" t="n">
        <v>0.6412172546117091</v>
      </c>
      <c r="AD350" s="14" t="n">
        <v>-0.5</v>
      </c>
      <c r="AE350" s="14" t="n">
        <v>0</v>
      </c>
      <c r="AF350" s="14" t="n">
        <v>0</v>
      </c>
      <c r="AG350" s="14" t="n">
        <v>0.3957838709565301</v>
      </c>
      <c r="AH350" s="14" t="n"/>
      <c r="AI350" s="14" t="n"/>
      <c r="AJ350" s="14" t="n">
        <v>0.3957838709565301</v>
      </c>
      <c r="AK350" s="14" t="n"/>
      <c r="AL350" s="14" t="n"/>
      <c r="AM350" s="14" t="inlineStr">
        <is>
          <t>EVALUATED</t>
        </is>
      </c>
      <c r="AN350" s="14" t="inlineStr">
        <is>
          <t>RECEIVING_VALIDATED_EDGE;BUCKET_PRIOR_ONLY;INTENT_INTERPRETATION_ONLY;FFL_OPTIONAL;EXPERT_MARKET</t>
        </is>
      </c>
      <c r="AO350" s="14" t="inlineStr">
        <is>
          <t>65d611e28cd9bac890dd</t>
        </is>
      </c>
      <c r="AP350" s="14" t="n">
        <v>0.25</v>
      </c>
      <c r="AQ350" s="14" t="n">
        <v>0.98</v>
      </c>
      <c r="AR350" s="14" t="n">
        <v>-0.25</v>
      </c>
      <c r="AS350" s="14" t="n">
        <v>0.25</v>
      </c>
      <c r="AT350" s="14" t="n">
        <v>0.98</v>
      </c>
      <c r="AU350" s="14" t="n">
        <v>0.83</v>
      </c>
      <c r="AV350" s="14" t="inlineStr">
        <is>
          <t>2026-10-05T09:47:42.381506+08:00</t>
        </is>
      </c>
      <c r="AW350" s="14" t="inlineStr">
        <is>
          <t>Titan007/V4</t>
        </is>
      </c>
      <c r="AX350" s="14" t="inlineStr">
        <is>
          <t>Daily append；市场输入缺失时不生成决策</t>
        </is>
      </c>
      <c r="AY350" s="14" t="n"/>
    </row>
    <row r="351" ht="22" customHeight="1" s="39">
      <c r="A351" s="14" t="inlineStr">
        <is>
          <t>2026-10-05</t>
        </is>
      </c>
      <c r="B351" s="14" t="inlineStr">
        <is>
          <t>2026-10-05T22:00:00+08:00</t>
        </is>
      </c>
      <c r="C351" s="14" t="n"/>
      <c r="D351" s="14" t="n"/>
      <c r="E351" s="14" t="inlineStr">
        <is>
          <t>约旦U20</t>
        </is>
      </c>
      <c r="F351" s="14" t="inlineStr">
        <is>
          <t>巴卡U20 vs 艾尔利U20</t>
        </is>
      </c>
      <c r="G351" s="26" t="n">
        <v>0.9</v>
      </c>
      <c r="H351" s="26" t="n">
        <v>-3</v>
      </c>
      <c r="I351" s="26" t="n">
        <v>0.9</v>
      </c>
      <c r="J351" s="26" t="inlineStr">
        <is>
          <t>0.9/-3.0/0.9</t>
        </is>
      </c>
      <c r="K351" s="14" t="inlineStr">
        <is>
          <t>V4-C</t>
        </is>
      </c>
      <c r="L351" s="14" t="inlineStr">
        <is>
          <t>巴卡U20</t>
        </is>
      </c>
      <c r="M351" s="47" t="n">
        <v>7.248968074923777e-08</v>
      </c>
      <c r="N351" s="14" t="inlineStr">
        <is>
          <t>V4 Shadow Only；real_money=false</t>
        </is>
      </c>
      <c r="O351" s="14" t="inlineStr">
        <is>
          <t>2-1</t>
        </is>
      </c>
      <c r="P351" s="14" t="inlineStr">
        <is>
          <t>已结算</t>
        </is>
      </c>
      <c r="Q351" s="14" t="inlineStr">
        <is>
          <t>红</t>
        </is>
      </c>
      <c r="R351" s="48" t="n">
        <v>0.9</v>
      </c>
      <c r="S351" s="48" t="n">
        <v>0.9</v>
      </c>
      <c r="T351" s="14" t="inlineStr">
        <is>
          <t>D:\codex\outputs\football_odds_trader\decision_versions\2026-10-05\RUN_20261005_094642\slate_raw.csv</t>
        </is>
      </c>
      <c r="U351" s="14" t="n"/>
      <c r="V351" s="48" t="n"/>
      <c r="W351" s="48" t="n"/>
      <c r="X351" s="14" t="inlineStr">
        <is>
          <t>3099091</t>
        </is>
      </c>
      <c r="Y351" s="14" t="inlineStr">
        <is>
          <t>V4</t>
        </is>
      </c>
      <c r="Z351" s="14" t="inlineStr">
        <is>
          <t>prior-2026-10-05-v1</t>
        </is>
      </c>
      <c r="AA351" s="14" t="inlineStr">
        <is>
          <t>C</t>
        </is>
      </c>
      <c r="AB351" s="14" t="n">
        <v>7.248968074923777e-08</v>
      </c>
      <c r="AC351" s="14" t="n">
        <v>0.9999963158637797</v>
      </c>
      <c r="AD351" s="14" t="n">
        <v>-3.5</v>
      </c>
      <c r="AE351" s="14" t="n">
        <v>0</v>
      </c>
      <c r="AF351" s="14" t="n">
        <v>0</v>
      </c>
      <c r="AG351" s="14" t="n">
        <v>0.8999966117877211</v>
      </c>
      <c r="AH351" s="14" t="n"/>
      <c r="AI351" s="14" t="n"/>
      <c r="AJ351" s="14" t="n">
        <v>0.8999966117877211</v>
      </c>
      <c r="AK351" s="14" t="n"/>
      <c r="AL351" s="14" t="n"/>
      <c r="AM351" s="14" t="inlineStr">
        <is>
          <t>EVALUATED</t>
        </is>
      </c>
      <c r="AN351" s="14" t="inlineStr">
        <is>
          <t>RECEIVING_VALIDATED_EDGE;BUCKET_PRIOR_ONLY;INTENT_INTERPRETATION_ONLY;FFL_OPTIONAL;EXPERT_MARKET</t>
        </is>
      </c>
      <c r="AO351" s="14" t="inlineStr">
        <is>
          <t>1b3b3f35ec664ce83057</t>
        </is>
      </c>
      <c r="AP351" s="14" t="n">
        <v>3</v>
      </c>
      <c r="AQ351" s="14" t="n">
        <v>0.9</v>
      </c>
      <c r="AR351" s="14" t="n">
        <v>-3</v>
      </c>
      <c r="AS351" s="14" t="n">
        <v>3</v>
      </c>
      <c r="AT351" s="14" t="n">
        <v>0.9</v>
      </c>
      <c r="AU351" s="14" t="n">
        <v>0.9</v>
      </c>
      <c r="AV351" s="14" t="inlineStr">
        <is>
          <t>2026-10-05T09:47:42.381506+08:00</t>
        </is>
      </c>
      <c r="AW351" s="14" t="inlineStr">
        <is>
          <t>Titan007/V4</t>
        </is>
      </c>
      <c r="AX351" s="14" t="inlineStr">
        <is>
          <t>Daily append；市场输入缺失时不生成决策</t>
        </is>
      </c>
      <c r="AY351" s="14" t="n"/>
    </row>
    <row r="352" ht="22" customHeight="1" s="39">
      <c r="A352" s="14" t="inlineStr">
        <is>
          <t>2026-10-05</t>
        </is>
      </c>
      <c r="B352" s="14" t="inlineStr">
        <is>
          <t>2026-10-05T22:00:00+08:00</t>
        </is>
      </c>
      <c r="C352" s="14" t="n"/>
      <c r="D352" s="14" t="n"/>
      <c r="E352" s="14" t="inlineStr">
        <is>
          <t>约旦U20</t>
        </is>
      </c>
      <c r="F352" s="14" t="inlineStr">
        <is>
          <t>活赛恩U20 vs 阿尔费萨里U20</t>
        </is>
      </c>
      <c r="G352" s="26" t="n">
        <v>0.88</v>
      </c>
      <c r="H352" s="26" t="n">
        <v>-0.25</v>
      </c>
      <c r="I352" s="26" t="n">
        <v>0.93</v>
      </c>
      <c r="J352" s="26" t="inlineStr">
        <is>
          <t>0.88/-0.25/0.93</t>
        </is>
      </c>
      <c r="K352" s="14" t="inlineStr">
        <is>
          <t>V4-C</t>
        </is>
      </c>
      <c r="L352" s="14" t="inlineStr">
        <is>
          <t>活赛恩U20</t>
        </is>
      </c>
      <c r="M352" s="47" t="n">
        <v>0.3018876859707534</v>
      </c>
      <c r="N352" s="14" t="inlineStr">
        <is>
          <t>V4 Shadow Only；real_money=false</t>
        </is>
      </c>
      <c r="O352" s="14" t="inlineStr">
        <is>
          <t>0-0</t>
        </is>
      </c>
      <c r="P352" s="14" t="inlineStr">
        <is>
          <t>EVALUATED</t>
        </is>
      </c>
      <c r="Q352" s="14" t="inlineStr">
        <is>
          <t>C</t>
        </is>
      </c>
      <c r="R352" s="48" t="n">
        <v>0.88</v>
      </c>
      <c r="S352" s="48" t="n"/>
      <c r="T352" s="14" t="inlineStr">
        <is>
          <t>D:\codex\outputs\football_odds_trader\decision_versions\2026-10-05\RUN_20261005_094642\slate_raw.csv</t>
        </is>
      </c>
      <c r="U352" s="14" t="n"/>
      <c r="V352" s="48" t="n"/>
      <c r="W352" s="48" t="n"/>
      <c r="X352" s="14" t="inlineStr">
        <is>
          <t>3099108</t>
        </is>
      </c>
      <c r="Y352" s="14" t="inlineStr">
        <is>
          <t>V4</t>
        </is>
      </c>
      <c r="Z352" s="14" t="inlineStr">
        <is>
          <t>prior-2026-10-05-v1</t>
        </is>
      </c>
      <c r="AA352" s="14" t="inlineStr">
        <is>
          <t>C</t>
        </is>
      </c>
      <c r="AB352" s="14" t="n">
        <v>0.3018876859707534</v>
      </c>
      <c r="AC352" s="14" t="n">
        <v>0.5688324803581616</v>
      </c>
      <c r="AD352" s="14" t="n">
        <v>-0.25</v>
      </c>
      <c r="AE352" s="14" t="n">
        <v>0</v>
      </c>
      <c r="AF352" s="14" t="n">
        <v>0</v>
      </c>
      <c r="AG352" s="14" t="n">
        <v>0.1986848967444288</v>
      </c>
      <c r="AH352" s="14" t="n"/>
      <c r="AI352" s="14" t="n"/>
      <c r="AJ352" s="14" t="n">
        <v>0.1986848967444288</v>
      </c>
      <c r="AK352" s="14" t="n"/>
      <c r="AL352" s="14" t="n"/>
      <c r="AM352" s="14" t="inlineStr">
        <is>
          <t>EVALUATED</t>
        </is>
      </c>
      <c r="AN352" s="14" t="inlineStr">
        <is>
          <t>RECEIVING_VALIDATED_EDGE;BUCKET_PRIOR_ONLY;INTENT_INTERPRETATION_ONLY;FFL_OPTIONAL;EXPERT_MARKET</t>
        </is>
      </c>
      <c r="AO352" s="14" t="inlineStr">
        <is>
          <t>b4b72075ad5f5e713b6e</t>
        </is>
      </c>
      <c r="AP352" s="14" t="n">
        <v>0.25</v>
      </c>
      <c r="AQ352" s="14" t="n">
        <v>0.88</v>
      </c>
      <c r="AR352" s="14" t="n">
        <v>-0.25</v>
      </c>
      <c r="AS352" s="14" t="n">
        <v>0.25</v>
      </c>
      <c r="AT352" s="14" t="n">
        <v>0.88</v>
      </c>
      <c r="AU352" s="14" t="n">
        <v>0.93</v>
      </c>
      <c r="AV352" s="14" t="inlineStr">
        <is>
          <t>2026-10-05T09:47:42.381506+08:00</t>
        </is>
      </c>
      <c r="AW352" s="14" t="inlineStr">
        <is>
          <t>Titan007/V4</t>
        </is>
      </c>
      <c r="AX352" s="14" t="inlineStr">
        <is>
          <t>Daily append；市场输入缺失时不生成决策</t>
        </is>
      </c>
      <c r="AY352" s="14" t="n"/>
    </row>
    <row r="353" ht="22" customHeight="1" s="39">
      <c r="A353" s="14" t="inlineStr">
        <is>
          <t>2026-10-06</t>
        </is>
      </c>
      <c r="B353" s="14" t="inlineStr">
        <is>
          <t>2026-10-07T01:00:00+08:00</t>
        </is>
      </c>
      <c r="C353" s="14" t="n"/>
      <c r="D353" s="14" t="n"/>
      <c r="E353" s="14" t="inlineStr">
        <is>
          <t>欧青U21外</t>
        </is>
      </c>
      <c r="F353" s="14" t="inlineStr">
        <is>
          <t>塞浦路斯U21 vs 圣马力诺U21</t>
        </is>
      </c>
      <c r="G353" s="26" t="n">
        <v>0.85</v>
      </c>
      <c r="H353" s="26" t="n">
        <v>3.25</v>
      </c>
      <c r="I353" s="26" t="n">
        <v>0.97</v>
      </c>
      <c r="J353" s="26" t="inlineStr">
        <is>
          <t>0.85/3.25/0.97</t>
        </is>
      </c>
      <c r="K353" s="14" t="inlineStr">
        <is>
          <t>V4-C</t>
        </is>
      </c>
      <c r="L353" s="14" t="inlineStr">
        <is>
          <t>圣马力诺U21</t>
        </is>
      </c>
      <c r="M353" s="47" t="n">
        <v>0.3725121703581022</v>
      </c>
      <c r="N353" s="14" t="inlineStr">
        <is>
          <t>V4 Shadow Only；real_money=false</t>
        </is>
      </c>
      <c r="O353" s="14" t="inlineStr">
        <is>
          <t>2-0</t>
        </is>
      </c>
      <c r="P353" s="14" t="inlineStr">
        <is>
          <t>已结算</t>
        </is>
      </c>
      <c r="Q353" s="14" t="inlineStr">
        <is>
          <t>红</t>
        </is>
      </c>
      <c r="R353" s="48" t="n">
        <v>0.97</v>
      </c>
      <c r="S353" s="48" t="n">
        <v>0.97</v>
      </c>
      <c r="T353" s="14" t="inlineStr">
        <is>
          <t>D:\codex\outputs\football_odds_trader\decision_versions\2026-10-06\RUN_20261006_084027\slate_raw.csv</t>
        </is>
      </c>
      <c r="U353" s="14" t="n"/>
      <c r="V353" s="48" t="n"/>
      <c r="W353" s="48" t="n"/>
      <c r="X353" s="14" t="inlineStr">
        <is>
          <t>2781229</t>
        </is>
      </c>
      <c r="Y353" s="14" t="inlineStr">
        <is>
          <t>V4</t>
        </is>
      </c>
      <c r="Z353" s="14" t="inlineStr">
        <is>
          <t>prior-2026-10-06-v1</t>
        </is>
      </c>
      <c r="AA353" s="14" t="inlineStr">
        <is>
          <t>C</t>
        </is>
      </c>
      <c r="AB353" s="14" t="n">
        <v>0.3725121703581022</v>
      </c>
      <c r="AC353" s="14" t="n">
        <v>0.5176463070717927</v>
      </c>
      <c r="AD353" s="14" t="n">
        <v>4.25</v>
      </c>
      <c r="AE353" s="14" t="n"/>
      <c r="AF353" s="14" t="n"/>
      <c r="AG353" s="14" t="n">
        <v>0.1296047475015366</v>
      </c>
      <c r="AH353" s="14" t="n"/>
      <c r="AI353" s="14" t="n"/>
      <c r="AJ353" s="14" t="n">
        <v>0.1296047475015366</v>
      </c>
      <c r="AK353" s="14" t="n"/>
      <c r="AL353" s="14" t="n"/>
      <c r="AM353" s="14" t="inlineStr">
        <is>
          <t>EVALUATED</t>
        </is>
      </c>
      <c r="AN353" s="14" t="inlineStr">
        <is>
          <t>RECEIVING_VALIDATED_EDGE;BUCKET_PRIOR_ONLY;INTENT_INTERPRETATION_ONLY;FFL_OPTIONAL;EXPERT_MARKET</t>
        </is>
      </c>
      <c r="AO353" s="14" t="inlineStr">
        <is>
          <t>57f6808503420192d6d1</t>
        </is>
      </c>
      <c r="AP353" s="14" t="n">
        <v>3.25</v>
      </c>
      <c r="AQ353" s="14" t="n">
        <v>0.97</v>
      </c>
      <c r="AR353" s="14" t="n">
        <v>3.25</v>
      </c>
      <c r="AS353" s="14" t="n">
        <v>-3.25</v>
      </c>
      <c r="AT353" s="14" t="n">
        <v>0.85</v>
      </c>
      <c r="AU353" s="14" t="n">
        <v>0.97</v>
      </c>
      <c r="AV353" s="14" t="inlineStr">
        <is>
          <t>2026-10-06T08:45:29.718562+08:00</t>
        </is>
      </c>
      <c r="AW353" s="14" t="inlineStr">
        <is>
          <t>Titan007/V4</t>
        </is>
      </c>
      <c r="AX353" s="14" t="inlineStr">
        <is>
          <t>Daily append；市场输入缺失时不生成决策</t>
        </is>
      </c>
      <c r="AY353" s="14" t="n"/>
    </row>
    <row r="354" ht="22" customHeight="1" s="39">
      <c r="A354" s="14" t="inlineStr">
        <is>
          <t>2026-10-06</t>
        </is>
      </c>
      <c r="B354" s="14" t="inlineStr">
        <is>
          <t>2026-10-07T01:00:00+08:00</t>
        </is>
      </c>
      <c r="C354" s="14" t="n"/>
      <c r="D354" s="14" t="n"/>
      <c r="E354" s="14" t="inlineStr">
        <is>
          <t>欧青U21外</t>
        </is>
      </c>
      <c r="F354" s="14" t="inlineStr">
        <is>
          <t>科索沃U21 vs 芬兰U21</t>
        </is>
      </c>
      <c r="G354" s="26" t="n">
        <v>0.85</v>
      </c>
      <c r="H354" s="26" t="n">
        <v>-0.75</v>
      </c>
      <c r="I354" s="26" t="n">
        <v>0.97</v>
      </c>
      <c r="J354" s="26" t="inlineStr">
        <is>
          <t>0.85/-0.75/0.97</t>
        </is>
      </c>
      <c r="K354" s="14" t="inlineStr">
        <is>
          <t>V4-C</t>
        </is>
      </c>
      <c r="L354" s="14" t="inlineStr">
        <is>
          <t>科索沃U21</t>
        </is>
      </c>
      <c r="M354" s="47" t="n">
        <v>0.1019203865416319</v>
      </c>
      <c r="N354" s="14" t="inlineStr">
        <is>
          <t>V4 Shadow Only；real_money=false</t>
        </is>
      </c>
      <c r="O354" s="14" t="inlineStr">
        <is>
          <t>4-4</t>
        </is>
      </c>
      <c r="P354" s="14" t="inlineStr">
        <is>
          <t>已结算</t>
        </is>
      </c>
      <c r="Q354" s="14" t="inlineStr">
        <is>
          <t>红</t>
        </is>
      </c>
      <c r="R354" s="48" t="n">
        <v>0.85</v>
      </c>
      <c r="S354" s="48" t="n">
        <v>0.85</v>
      </c>
      <c r="T354" s="14" t="inlineStr">
        <is>
          <t>D:\codex\outputs\football_odds_trader\decision_versions\2026-10-06\RUN_20261006_084027\slate_raw.csv</t>
        </is>
      </c>
      <c r="U354" s="14" t="n"/>
      <c r="V354" s="48" t="n"/>
      <c r="W354" s="48" t="n"/>
      <c r="X354" s="14" t="inlineStr">
        <is>
          <t>2781230</t>
        </is>
      </c>
      <c r="Y354" s="14" t="inlineStr">
        <is>
          <t>V4</t>
        </is>
      </c>
      <c r="Z354" s="14" t="inlineStr">
        <is>
          <t>prior-2026-10-06-v1</t>
        </is>
      </c>
      <c r="AA354" s="14" t="inlineStr">
        <is>
          <t>C</t>
        </is>
      </c>
      <c r="AB354" s="14" t="n">
        <v>0.1019203865416319</v>
      </c>
      <c r="AC354" s="14" t="n">
        <v>0.842545632122685</v>
      </c>
      <c r="AD354" s="14" t="n">
        <v>-1</v>
      </c>
      <c r="AE354" s="14" t="n">
        <v>0</v>
      </c>
      <c r="AF354" s="14" t="n">
        <v>0</v>
      </c>
      <c r="AG354" s="14" t="n">
        <v>0.6142434007626503</v>
      </c>
      <c r="AH354" s="14" t="n"/>
      <c r="AI354" s="14" t="n"/>
      <c r="AJ354" s="14" t="n">
        <v>0.6142434007626503</v>
      </c>
      <c r="AK354" s="14" t="n"/>
      <c r="AL354" s="14" t="n"/>
      <c r="AM354" s="14" t="inlineStr">
        <is>
          <t>EVALUATED</t>
        </is>
      </c>
      <c r="AN354" s="14" t="inlineStr">
        <is>
          <t>RECEIVING_VALIDATED_EDGE;BUCKET_PRIOR_ONLY;INTENT_INTERPRETATION_ONLY;FFL_OPTIONAL;EXPERT_MARKET</t>
        </is>
      </c>
      <c r="AO354" s="14" t="inlineStr">
        <is>
          <t>cb3a463d0db20cdafc66</t>
        </is>
      </c>
      <c r="AP354" s="14" t="n">
        <v>0.75</v>
      </c>
      <c r="AQ354" s="14" t="n">
        <v>0.85</v>
      </c>
      <c r="AR354" s="14" t="n">
        <v>-0.75</v>
      </c>
      <c r="AS354" s="14" t="n">
        <v>0.75</v>
      </c>
      <c r="AT354" s="14" t="n">
        <v>0.85</v>
      </c>
      <c r="AU354" s="14" t="n">
        <v>0.97</v>
      </c>
      <c r="AV354" s="14" t="inlineStr">
        <is>
          <t>2026-10-06T08:45:29.718562+08:00</t>
        </is>
      </c>
      <c r="AW354" s="14" t="inlineStr">
        <is>
          <t>Titan007/V4</t>
        </is>
      </c>
      <c r="AX354" s="14" t="inlineStr">
        <is>
          <t>Daily append；市场输入缺失时不生成决策</t>
        </is>
      </c>
      <c r="AY354" s="14" t="n"/>
    </row>
    <row r="355" ht="22" customHeight="1" s="39">
      <c r="A355" s="14" t="inlineStr">
        <is>
          <t>2026-10-06</t>
        </is>
      </c>
      <c r="B355" s="14" t="inlineStr">
        <is>
          <t>2026-10-06T21:45:00+08:00</t>
        </is>
      </c>
      <c r="C355" s="14" t="n"/>
      <c r="D355" s="14" t="n"/>
      <c r="E355" s="14" t="inlineStr">
        <is>
          <t>欧青U21外</t>
        </is>
      </c>
      <c r="F355" s="14" t="inlineStr">
        <is>
          <t>阿塞拜疆U21 vs 直布罗陀U21</t>
        </is>
      </c>
      <c r="G355" s="26" t="n">
        <v>0.96</v>
      </c>
      <c r="H355" s="26" t="n">
        <v>2.25</v>
      </c>
      <c r="I355" s="26" t="n">
        <v>0.86</v>
      </c>
      <c r="J355" s="26" t="inlineStr">
        <is>
          <t>0.96/2.25/0.86</t>
        </is>
      </c>
      <c r="K355" s="14" t="inlineStr">
        <is>
          <t>V4-C</t>
        </is>
      </c>
      <c r="L355" s="14" t="inlineStr">
        <is>
          <t>阿塞拜疆U21</t>
        </is>
      </c>
      <c r="M355" s="47" t="n">
        <v>0.5256669116336137</v>
      </c>
      <c r="N355" s="14" t="inlineStr">
        <is>
          <t>V4 Shadow Only；real_money=false</t>
        </is>
      </c>
      <c r="O355" s="14" t="inlineStr">
        <is>
          <t>3-0</t>
        </is>
      </c>
      <c r="P355" s="14" t="inlineStr">
        <is>
          <t>已结算</t>
        </is>
      </c>
      <c r="Q355" s="14" t="inlineStr">
        <is>
          <t>红</t>
        </is>
      </c>
      <c r="R355" s="48" t="n">
        <v>0.96</v>
      </c>
      <c r="S355" s="48" t="n">
        <v>0.96</v>
      </c>
      <c r="T355" s="14" t="inlineStr">
        <is>
          <t>D:\codex\outputs\football_odds_trader\decision_versions\2026-10-06\RUN_20261006_084027\slate_raw.csv</t>
        </is>
      </c>
      <c r="U355" s="14" t="n"/>
      <c r="V355" s="48" t="n"/>
      <c r="W355" s="48" t="n"/>
      <c r="X355" s="14" t="inlineStr">
        <is>
          <t>2781258</t>
        </is>
      </c>
      <c r="Y355" s="14" t="inlineStr">
        <is>
          <t>V4</t>
        </is>
      </c>
      <c r="Z355" s="14" t="inlineStr">
        <is>
          <t>prior-2026-10-06-v1</t>
        </is>
      </c>
      <c r="AA355" s="14" t="inlineStr">
        <is>
          <t>C</t>
        </is>
      </c>
      <c r="AB355" s="14" t="n">
        <v>0.5256669116336137</v>
      </c>
      <c r="AC355" s="14" t="n">
        <v>0.3575147419525954</v>
      </c>
      <c r="AD355" s="14" t="n">
        <v>3</v>
      </c>
      <c r="AE355" s="14" t="n"/>
      <c r="AF355" s="14" t="n"/>
      <c r="AG355" s="14" t="n">
        <v>0.1471254932156736</v>
      </c>
      <c r="AH355" s="14" t="n"/>
      <c r="AI355" s="14" t="n"/>
      <c r="AJ355" s="14" t="n">
        <v>0.1471254932156736</v>
      </c>
      <c r="AK355" s="14" t="n"/>
      <c r="AL355" s="14" t="n"/>
      <c r="AM355" s="14" t="inlineStr">
        <is>
          <t>EVALUATED</t>
        </is>
      </c>
      <c r="AN355" s="14" t="inlineStr">
        <is>
          <t>GIVING_VALIDATED_EDGE;BUCKET_PRIOR_ONLY;INTENT_INTERPRETATION_ONLY;FFL_OPTIONAL;EXPERT_MARKET</t>
        </is>
      </c>
      <c r="AO355" s="14" t="inlineStr">
        <is>
          <t>ed80f557bfe23e7793a4</t>
        </is>
      </c>
      <c r="AP355" s="14" t="n">
        <v>-2.25</v>
      </c>
      <c r="AQ355" s="14" t="n">
        <v>0.96</v>
      </c>
      <c r="AR355" s="14" t="n">
        <v>2.25</v>
      </c>
      <c r="AS355" s="14" t="n">
        <v>-2.25</v>
      </c>
      <c r="AT355" s="14" t="n">
        <v>0.96</v>
      </c>
      <c r="AU355" s="14" t="n">
        <v>0.86</v>
      </c>
      <c r="AV355" s="14" t="inlineStr">
        <is>
          <t>2026-10-06T08:45:29.718562+08:00</t>
        </is>
      </c>
      <c r="AW355" s="14" t="inlineStr">
        <is>
          <t>Titan007/V4</t>
        </is>
      </c>
      <c r="AX355" s="14" t="inlineStr">
        <is>
          <t>Daily append；市场输入缺失时不生成决策</t>
        </is>
      </c>
      <c r="AY355" s="14" t="n"/>
    </row>
    <row r="356" ht="22" customHeight="1" s="39">
      <c r="A356" s="14" t="inlineStr">
        <is>
          <t>2026-10-06</t>
        </is>
      </c>
      <c r="B356" s="14" t="inlineStr">
        <is>
          <t>2026-10-07T00:30:00+08:00</t>
        </is>
      </c>
      <c r="C356" s="14" t="n"/>
      <c r="D356" s="14" t="n"/>
      <c r="E356" s="14" t="inlineStr">
        <is>
          <t>欧青U21外</t>
        </is>
      </c>
      <c r="F356" s="14" t="inlineStr">
        <is>
          <t>葡萄牙U21 vs 捷克U21</t>
        </is>
      </c>
      <c r="G356" s="26" t="n">
        <v>0.87</v>
      </c>
      <c r="H356" s="26" t="n">
        <v>1.25</v>
      </c>
      <c r="I356" s="26" t="n">
        <v>0.95</v>
      </c>
      <c r="J356" s="26" t="inlineStr">
        <is>
          <t>0.87/1.25/0.95</t>
        </is>
      </c>
      <c r="K356" s="14" t="inlineStr">
        <is>
          <t>V4-C</t>
        </is>
      </c>
      <c r="L356" s="14" t="inlineStr">
        <is>
          <t>葡萄牙U21</t>
        </is>
      </c>
      <c r="M356" s="47" t="n">
        <v>0.5637408297441174</v>
      </c>
      <c r="N356" s="14" t="inlineStr">
        <is>
          <t>V4 Shadow Only；real_money=false</t>
        </is>
      </c>
      <c r="O356" s="14" t="inlineStr">
        <is>
          <t>2-0</t>
        </is>
      </c>
      <c r="P356" s="14" t="inlineStr">
        <is>
          <t>已结算</t>
        </is>
      </c>
      <c r="Q356" s="14" t="inlineStr">
        <is>
          <t>红</t>
        </is>
      </c>
      <c r="R356" s="48" t="n">
        <v>0.87</v>
      </c>
      <c r="S356" s="48" t="n">
        <v>0.87</v>
      </c>
      <c r="T356" s="14" t="inlineStr">
        <is>
          <t>D:\codex\outputs\football_odds_trader\decision_versions\2026-10-06\RUN_20261006_084027\slate_raw.csv</t>
        </is>
      </c>
      <c r="U356" s="14" t="n"/>
      <c r="V356" s="48" t="n"/>
      <c r="W356" s="48" t="n"/>
      <c r="X356" s="14" t="inlineStr">
        <is>
          <t>2781259</t>
        </is>
      </c>
      <c r="Y356" s="14" t="inlineStr">
        <is>
          <t>V4</t>
        </is>
      </c>
      <c r="Z356" s="14" t="inlineStr">
        <is>
          <t>prior-2026-10-06-v1</t>
        </is>
      </c>
      <c r="AA356" s="14" t="inlineStr">
        <is>
          <t>C</t>
        </is>
      </c>
      <c r="AB356" s="14" t="n">
        <v>0.5637408297441174</v>
      </c>
      <c r="AC356" s="14" t="n">
        <v>0.3163942761078145</v>
      </c>
      <c r="AD356" s="14" t="n">
        <v>2</v>
      </c>
      <c r="AE356" s="14" t="n"/>
      <c r="AF356" s="14" t="n"/>
      <c r="AG356" s="14" t="n">
        <v>0.1740602457695676</v>
      </c>
      <c r="AH356" s="14" t="n"/>
      <c r="AI356" s="14" t="n"/>
      <c r="AJ356" s="14" t="n">
        <v>0.1740602457695676</v>
      </c>
      <c r="AK356" s="14" t="n"/>
      <c r="AL356" s="14" t="n"/>
      <c r="AM356" s="14" t="inlineStr">
        <is>
          <t>EVALUATED</t>
        </is>
      </c>
      <c r="AN356" s="14" t="inlineStr">
        <is>
          <t>GIVING_VALIDATED_EDGE;BUCKET_PRIOR_ONLY;INTENT_INTERPRETATION_ONLY;FFL_OPTIONAL;EXPERT_MARKET</t>
        </is>
      </c>
      <c r="AO356" s="14" t="inlineStr">
        <is>
          <t>62ff69b73fcad4a2d325</t>
        </is>
      </c>
      <c r="AP356" s="14" t="n">
        <v>-1.25</v>
      </c>
      <c r="AQ356" s="14" t="n">
        <v>0.87</v>
      </c>
      <c r="AR356" s="14" t="n">
        <v>1.25</v>
      </c>
      <c r="AS356" s="14" t="n">
        <v>-1.25</v>
      </c>
      <c r="AT356" s="14" t="n">
        <v>0.87</v>
      </c>
      <c r="AU356" s="14" t="n">
        <v>0.95</v>
      </c>
      <c r="AV356" s="14" t="inlineStr">
        <is>
          <t>2026-10-06T08:45:29.718562+08:00</t>
        </is>
      </c>
      <c r="AW356" s="14" t="inlineStr">
        <is>
          <t>Titan007/V4</t>
        </is>
      </c>
      <c r="AX356" s="14" t="inlineStr">
        <is>
          <t>Daily append；市场输入缺失时不生成决策</t>
        </is>
      </c>
      <c r="AY356" s="14" t="n"/>
    </row>
    <row r="357" ht="22" customHeight="1" s="39">
      <c r="A357" s="14" t="inlineStr">
        <is>
          <t>2026-10-06</t>
        </is>
      </c>
      <c r="B357" s="14" t="inlineStr">
        <is>
          <t>2026-10-07T01:00:00+08:00</t>
        </is>
      </c>
      <c r="C357" s="14" t="n"/>
      <c r="D357" s="14" t="n"/>
      <c r="E357" s="14" t="inlineStr">
        <is>
          <t>欧青U21外</t>
        </is>
      </c>
      <c r="F357" s="14" t="inlineStr">
        <is>
          <t>卢森堡U21 vs 爱沙尼亚U21</t>
        </is>
      </c>
      <c r="G357" s="26" t="n">
        <v>0.92</v>
      </c>
      <c r="H357" s="26" t="n">
        <v>0.75</v>
      </c>
      <c r="I357" s="26" t="n">
        <v>0.9</v>
      </c>
      <c r="J357" s="26" t="inlineStr">
        <is>
          <t>0.92/0.75/0.9</t>
        </is>
      </c>
      <c r="K357" s="14" t="inlineStr">
        <is>
          <t>V4-C</t>
        </is>
      </c>
      <c r="L357" s="14" t="inlineStr">
        <is>
          <t>卢森堡U21</t>
        </is>
      </c>
      <c r="M357" s="47" t="n">
        <v>0.5038524866740001</v>
      </c>
      <c r="N357" s="14" t="inlineStr">
        <is>
          <t>V4 Shadow Only；real_money=false</t>
        </is>
      </c>
      <c r="O357" s="14" t="inlineStr">
        <is>
          <t>3-0</t>
        </is>
      </c>
      <c r="P357" s="14" t="inlineStr">
        <is>
          <t>已结算</t>
        </is>
      </c>
      <c r="Q357" s="14" t="inlineStr">
        <is>
          <t>红</t>
        </is>
      </c>
      <c r="R357" s="48" t="n">
        <v>0.92</v>
      </c>
      <c r="S357" s="48" t="n">
        <v>0.92</v>
      </c>
      <c r="T357" s="14" t="inlineStr">
        <is>
          <t>D:\codex\outputs\football_odds_trader\decision_versions\2026-10-06\RUN_20261006_084027\slate_raw.csv</t>
        </is>
      </c>
      <c r="U357" s="14" t="n"/>
      <c r="V357" s="48" t="n"/>
      <c r="W357" s="48" t="n"/>
      <c r="X357" s="14" t="inlineStr">
        <is>
          <t>2781288</t>
        </is>
      </c>
      <c r="Y357" s="14" t="inlineStr">
        <is>
          <t>V4</t>
        </is>
      </c>
      <c r="Z357" s="14" t="inlineStr">
        <is>
          <t>prior-2026-10-06-v1</t>
        </is>
      </c>
      <c r="AA357" s="14" t="inlineStr">
        <is>
          <t>C</t>
        </is>
      </c>
      <c r="AB357" s="14" t="n">
        <v>0.5038524866740001</v>
      </c>
      <c r="AC357" s="14" t="n">
        <v>0.3681407023376271</v>
      </c>
      <c r="AD357" s="14" t="n">
        <v>1</v>
      </c>
      <c r="AE357" s="14" t="n"/>
      <c r="AF357" s="14" t="n"/>
      <c r="AG357" s="14" t="n">
        <v>0.09540358540245297</v>
      </c>
      <c r="AH357" s="14" t="n"/>
      <c r="AI357" s="14" t="n"/>
      <c r="AJ357" s="14" t="n">
        <v>0.09540358540245297</v>
      </c>
      <c r="AK357" s="14" t="n"/>
      <c r="AL357" s="14" t="n"/>
      <c r="AM357" s="14" t="inlineStr">
        <is>
          <t>EVALUATED</t>
        </is>
      </c>
      <c r="AN357" s="14" t="inlineStr">
        <is>
          <t>GIVING_VALIDATED_EDGE;BUCKET_PRIOR_ONLY;INTENT_INTERPRETATION_ONLY;FFL_OPTIONAL;EXPERT_MARKET</t>
        </is>
      </c>
      <c r="AO357" s="14" t="inlineStr">
        <is>
          <t>474b66a19e3336c0cce7</t>
        </is>
      </c>
      <c r="AP357" s="14" t="n">
        <v>-0.75</v>
      </c>
      <c r="AQ357" s="14" t="n">
        <v>0.92</v>
      </c>
      <c r="AR357" s="14" t="n">
        <v>0.75</v>
      </c>
      <c r="AS357" s="14" t="n">
        <v>-0.75</v>
      </c>
      <c r="AT357" s="14" t="n">
        <v>0.92</v>
      </c>
      <c r="AU357" s="14" t="n">
        <v>0.9</v>
      </c>
      <c r="AV357" s="14" t="inlineStr">
        <is>
          <t>2026-10-06T08:45:29.718562+08:00</t>
        </is>
      </c>
      <c r="AW357" s="14" t="inlineStr">
        <is>
          <t>Titan007/V4</t>
        </is>
      </c>
      <c r="AX357" s="14" t="inlineStr">
        <is>
          <t>Daily append；市场输入缺失时不生成决策</t>
        </is>
      </c>
      <c r="AY357" s="14" t="n"/>
    </row>
    <row r="358" ht="22" customHeight="1" s="39">
      <c r="A358" s="14" t="inlineStr">
        <is>
          <t>2026-10-06</t>
        </is>
      </c>
      <c r="B358" s="14" t="inlineStr">
        <is>
          <t>2026-10-07T01:00:00+08:00</t>
        </is>
      </c>
      <c r="C358" s="14" t="n"/>
      <c r="D358" s="14" t="n"/>
      <c r="E358" s="14" t="inlineStr">
        <is>
          <t>欧青U21外</t>
        </is>
      </c>
      <c r="F358" s="14" t="inlineStr">
        <is>
          <t>法国U21 vs 瑞士U21</t>
        </is>
      </c>
      <c r="G358" s="26" t="n">
        <v>0.92</v>
      </c>
      <c r="H358" s="26" t="n">
        <v>1</v>
      </c>
      <c r="I358" s="26" t="n">
        <v>0.9</v>
      </c>
      <c r="J358" s="26" t="inlineStr">
        <is>
          <t>0.92/1.0/0.9</t>
        </is>
      </c>
      <c r="K358" s="14" t="inlineStr">
        <is>
          <t>V4-C</t>
        </is>
      </c>
      <c r="L358" s="14" t="inlineStr">
        <is>
          <t>法国U21</t>
        </is>
      </c>
      <c r="M358" s="47" t="n">
        <v>0.4368545609790708</v>
      </c>
      <c r="N358" s="14" t="inlineStr">
        <is>
          <t>V4 Shadow Only；real_money=false</t>
        </is>
      </c>
      <c r="O358" s="14" t="inlineStr">
        <is>
          <t>7-1</t>
        </is>
      </c>
      <c r="P358" s="14" t="inlineStr">
        <is>
          <t>已结算</t>
        </is>
      </c>
      <c r="Q358" s="14" t="inlineStr">
        <is>
          <t>红</t>
        </is>
      </c>
      <c r="R358" s="48" t="n">
        <v>0.92</v>
      </c>
      <c r="S358" s="48" t="n">
        <v>0.92</v>
      </c>
      <c r="T358" s="14" t="inlineStr">
        <is>
          <t>D:\codex\outputs\football_odds_trader\decision_versions\2026-10-06\RUN_20261006_084027\slate_raw.csv</t>
        </is>
      </c>
      <c r="U358" s="14" t="n"/>
      <c r="V358" s="48" t="n"/>
      <c r="W358" s="48" t="n"/>
      <c r="X358" s="14" t="inlineStr">
        <is>
          <t>2781289</t>
        </is>
      </c>
      <c r="Y358" s="14" t="inlineStr">
        <is>
          <t>V4</t>
        </is>
      </c>
      <c r="Z358" s="14" t="inlineStr">
        <is>
          <t>prior-2026-10-06-v1</t>
        </is>
      </c>
      <c r="AA358" s="14" t="inlineStr">
        <is>
          <t>C</t>
        </is>
      </c>
      <c r="AB358" s="14" t="n">
        <v>0.4368545609790708</v>
      </c>
      <c r="AC358" s="14" t="n">
        <v>0.3079069541350543</v>
      </c>
      <c r="AD358" s="14" t="n">
        <v>1.25</v>
      </c>
      <c r="AE358" s="14" t="n"/>
      <c r="AF358" s="14" t="n"/>
      <c r="AG358" s="14" t="n">
        <v>0.09399924196569087</v>
      </c>
      <c r="AH358" s="14" t="n"/>
      <c r="AI358" s="14" t="n"/>
      <c r="AJ358" s="14" t="n">
        <v>0.09399924196569087</v>
      </c>
      <c r="AK358" s="14" t="n"/>
      <c r="AL358" s="14" t="n"/>
      <c r="AM358" s="14" t="inlineStr">
        <is>
          <t>EVALUATED</t>
        </is>
      </c>
      <c r="AN358" s="14" t="inlineStr">
        <is>
          <t>GIVING_VALIDATED_EDGE;BUCKET_PRIOR_ONLY;INTENT_INTERPRETATION_ONLY;FFL_OPTIONAL;EXPERT_MARKET</t>
        </is>
      </c>
      <c r="AO358" s="14" t="inlineStr">
        <is>
          <t>7d6f643c1cb15eba3d0a</t>
        </is>
      </c>
      <c r="AP358" s="14" t="n">
        <v>-1</v>
      </c>
      <c r="AQ358" s="14" t="n">
        <v>0.92</v>
      </c>
      <c r="AR358" s="14" t="n">
        <v>1</v>
      </c>
      <c r="AS358" s="14" t="n">
        <v>-1</v>
      </c>
      <c r="AT358" s="14" t="n">
        <v>0.92</v>
      </c>
      <c r="AU358" s="14" t="n">
        <v>0.9</v>
      </c>
      <c r="AV358" s="14" t="inlineStr">
        <is>
          <t>2026-10-06T08:45:29.718562+08:00</t>
        </is>
      </c>
      <c r="AW358" s="14" t="inlineStr">
        <is>
          <t>Titan007/V4</t>
        </is>
      </c>
      <c r="AX358" s="14" t="inlineStr">
        <is>
          <t>Daily append；市场输入缺失时不生成决策</t>
        </is>
      </c>
      <c r="AY358" s="14" t="n"/>
    </row>
    <row r="359" ht="22" customHeight="1" s="39">
      <c r="A359" s="14" t="inlineStr">
        <is>
          <t>2026-10-06</t>
        </is>
      </c>
      <c r="B359" s="14" t="inlineStr">
        <is>
          <t>2026-10-07T01:00:00+08:00</t>
        </is>
      </c>
      <c r="C359" s="14" t="n"/>
      <c r="D359" s="14" t="n"/>
      <c r="E359" s="14" t="inlineStr">
        <is>
          <t>欧青U21外</t>
        </is>
      </c>
      <c r="F359" s="14" t="inlineStr">
        <is>
          <t>法罗群岛U21 vs 冰岛U21</t>
        </is>
      </c>
      <c r="G359" s="26" t="n">
        <v>0.84</v>
      </c>
      <c r="H359" s="26" t="n">
        <v>-1.5</v>
      </c>
      <c r="I359" s="26" t="n">
        <v>0.98</v>
      </c>
      <c r="J359" s="26" t="inlineStr">
        <is>
          <t>0.84/-1.5/0.98</t>
        </is>
      </c>
      <c r="K359" s="14" t="inlineStr">
        <is>
          <t>V4-C</t>
        </is>
      </c>
      <c r="L359" s="14" t="inlineStr">
        <is>
          <t>法罗群岛U21</t>
        </is>
      </c>
      <c r="M359" s="47" t="n">
        <v>0.002744895034908847</v>
      </c>
      <c r="N359" s="14" t="inlineStr">
        <is>
          <t>V4 Shadow Only；real_money=false</t>
        </is>
      </c>
      <c r="O359" s="14" t="inlineStr">
        <is>
          <t>0-2</t>
        </is>
      </c>
      <c r="P359" s="14" t="inlineStr">
        <is>
          <t>已结算</t>
        </is>
      </c>
      <c r="Q359" s="14" t="inlineStr">
        <is>
          <t>黑</t>
        </is>
      </c>
      <c r="R359" s="48" t="n">
        <v>0.84</v>
      </c>
      <c r="S359" s="48" t="n">
        <v>-1</v>
      </c>
      <c r="T359" s="14" t="inlineStr">
        <is>
          <t>D:\codex\outputs\football_odds_trader\decision_versions\2026-10-06\RUN_20261006_084027\slate_raw.csv</t>
        </is>
      </c>
      <c r="U359" s="14" t="n"/>
      <c r="V359" s="48" t="n"/>
      <c r="W359" s="48" t="n"/>
      <c r="X359" s="14" t="inlineStr">
        <is>
          <t>2781290</t>
        </is>
      </c>
      <c r="Y359" s="14" t="inlineStr">
        <is>
          <t>V4</t>
        </is>
      </c>
      <c r="Z359" s="14" t="inlineStr">
        <is>
          <t>prior-2026-10-06-v1</t>
        </is>
      </c>
      <c r="AA359" s="14" t="inlineStr">
        <is>
          <t>C</t>
        </is>
      </c>
      <c r="AB359" s="14" t="n">
        <v>0.002744895034908847</v>
      </c>
      <c r="AC359" s="14" t="n">
        <v>0.9972551049650912</v>
      </c>
      <c r="AD359" s="14" t="n">
        <v>-2.25</v>
      </c>
      <c r="AE359" s="14" t="n">
        <v>0</v>
      </c>
      <c r="AF359" s="14" t="n">
        <v>0</v>
      </c>
      <c r="AG359" s="14" t="n">
        <v>0.8349493931357678</v>
      </c>
      <c r="AH359" s="14" t="n"/>
      <c r="AI359" s="14" t="n"/>
      <c r="AJ359" s="14" t="n">
        <v>0.8349493931357678</v>
      </c>
      <c r="AK359" s="14" t="n"/>
      <c r="AL359" s="14" t="n"/>
      <c r="AM359" s="14" t="inlineStr">
        <is>
          <t>EVALUATED</t>
        </is>
      </c>
      <c r="AN359" s="14" t="inlineStr">
        <is>
          <t>RECEIVING_VALIDATED_EDGE;BUCKET_PRIOR_ONLY;INTENT_INTERPRETATION_ONLY;FFL_OPTIONAL;EXPERT_MARKET</t>
        </is>
      </c>
      <c r="AO359" s="14" t="inlineStr">
        <is>
          <t>4d58bfb7cb1fcd5f5056</t>
        </is>
      </c>
      <c r="AP359" s="14" t="n">
        <v>1.5</v>
      </c>
      <c r="AQ359" s="14" t="n">
        <v>0.84</v>
      </c>
      <c r="AR359" s="14" t="n">
        <v>-1.5</v>
      </c>
      <c r="AS359" s="14" t="n">
        <v>1.5</v>
      </c>
      <c r="AT359" s="14" t="n">
        <v>0.84</v>
      </c>
      <c r="AU359" s="14" t="n">
        <v>0.98</v>
      </c>
      <c r="AV359" s="14" t="inlineStr">
        <is>
          <t>2026-10-06T08:45:29.718562+08:00</t>
        </is>
      </c>
      <c r="AW359" s="14" t="inlineStr">
        <is>
          <t>Titan007/V4</t>
        </is>
      </c>
      <c r="AX359" s="14" t="inlineStr">
        <is>
          <t>Daily append；市场输入缺失时不生成决策</t>
        </is>
      </c>
      <c r="AY359" s="14" t="n"/>
    </row>
    <row r="360" ht="22" customHeight="1" s="39">
      <c r="A360" s="14" t="inlineStr">
        <is>
          <t>2026-10-06</t>
        </is>
      </c>
      <c r="B360" s="14" t="inlineStr">
        <is>
          <t>2026-10-07T00:00:00+08:00</t>
        </is>
      </c>
      <c r="C360" s="14" t="n"/>
      <c r="D360" s="14" t="n"/>
      <c r="E360" s="14" t="inlineStr">
        <is>
          <t>欧青U21外</t>
        </is>
      </c>
      <c r="F360" s="14" t="inlineStr">
        <is>
          <t>北爱尔兰U21 vs 希腊U21</t>
        </is>
      </c>
      <c r="G360" s="26" t="n">
        <v>0.82</v>
      </c>
      <c r="H360" s="26" t="n">
        <v>-1.75</v>
      </c>
      <c r="I360" s="26" t="n">
        <v>1</v>
      </c>
      <c r="J360" s="26" t="inlineStr">
        <is>
          <t>0.82/-1.75/1.0</t>
        </is>
      </c>
      <c r="K360" s="14" t="inlineStr">
        <is>
          <t>V4-C</t>
        </is>
      </c>
      <c r="L360" s="14" t="inlineStr">
        <is>
          <t>北爱尔兰U21</t>
        </is>
      </c>
      <c r="M360" s="47" t="n">
        <v>0.0006854817547115454</v>
      </c>
      <c r="N360" s="14" t="inlineStr">
        <is>
          <t>V4 Shadow Only；real_money=false</t>
        </is>
      </c>
      <c r="O360" s="14" t="inlineStr">
        <is>
          <t>0-1</t>
        </is>
      </c>
      <c r="P360" s="14" t="inlineStr">
        <is>
          <t>已结算</t>
        </is>
      </c>
      <c r="Q360" s="14" t="inlineStr">
        <is>
          <t>红</t>
        </is>
      </c>
      <c r="R360" s="48" t="n">
        <v>0.82</v>
      </c>
      <c r="S360" s="48" t="n">
        <v>0.82</v>
      </c>
      <c r="T360" s="14" t="inlineStr">
        <is>
          <t>D:\codex\outputs\football_odds_trader\decision_versions\2026-10-06\RUN_20261006_084027\slate_raw.csv</t>
        </is>
      </c>
      <c r="U360" s="14" t="n"/>
      <c r="V360" s="48" t="n"/>
      <c r="W360" s="48" t="n"/>
      <c r="X360" s="14" t="inlineStr">
        <is>
          <t>2781348</t>
        </is>
      </c>
      <c r="Y360" s="14" t="inlineStr">
        <is>
          <t>V4</t>
        </is>
      </c>
      <c r="Z360" s="14" t="inlineStr">
        <is>
          <t>prior-2026-10-06-v1</t>
        </is>
      </c>
      <c r="AA360" s="14" t="inlineStr">
        <is>
          <t>C</t>
        </is>
      </c>
      <c r="AB360" s="14" t="n">
        <v>0.0006854817547115454</v>
      </c>
      <c r="AC360" s="14" t="n">
        <v>0.9987020492869996</v>
      </c>
      <c r="AD360" s="14" t="n">
        <v>-2.25</v>
      </c>
      <c r="AE360" s="14" t="n">
        <v>0</v>
      </c>
      <c r="AF360" s="14" t="n">
        <v>0</v>
      </c>
      <c r="AG360" s="14" t="n">
        <v>0.8182501986606281</v>
      </c>
      <c r="AH360" s="14" t="n"/>
      <c r="AI360" s="14" t="n"/>
      <c r="AJ360" s="14" t="n">
        <v>0.8182501986606281</v>
      </c>
      <c r="AK360" s="14" t="n"/>
      <c r="AL360" s="14" t="n"/>
      <c r="AM360" s="14" t="inlineStr">
        <is>
          <t>EVALUATED</t>
        </is>
      </c>
      <c r="AN360" s="14" t="inlineStr">
        <is>
          <t>RECEIVING_VALIDATED_EDGE;BUCKET_PRIOR_ONLY;INTENT_INTERPRETATION_ONLY;FFL_OPTIONAL;EXPERT_MARKET</t>
        </is>
      </c>
      <c r="AO360" s="14" t="inlineStr">
        <is>
          <t>8876ecdd53219e91a518</t>
        </is>
      </c>
      <c r="AP360" s="14" t="n">
        <v>1.75</v>
      </c>
      <c r="AQ360" s="14" t="n">
        <v>0.82</v>
      </c>
      <c r="AR360" s="14" t="n">
        <v>-1.75</v>
      </c>
      <c r="AS360" s="14" t="n">
        <v>1.75</v>
      </c>
      <c r="AT360" s="14" t="n">
        <v>0.82</v>
      </c>
      <c r="AU360" s="14" t="n">
        <v>1</v>
      </c>
      <c r="AV360" s="14" t="inlineStr">
        <is>
          <t>2026-10-06T08:45:29.718562+08:00</t>
        </is>
      </c>
      <c r="AW360" s="14" t="inlineStr">
        <is>
          <t>Titan007/V4</t>
        </is>
      </c>
      <c r="AX360" s="14" t="inlineStr">
        <is>
          <t>Daily append；市场输入缺失时不生成决策</t>
        </is>
      </c>
      <c r="AY360" s="14" t="n"/>
    </row>
    <row r="361" ht="22" customHeight="1" s="39">
      <c r="A361" s="14" t="inlineStr">
        <is>
          <t>2026-10-06</t>
        </is>
      </c>
      <c r="B361" s="14" t="inlineStr">
        <is>
          <t>2026-10-07T00:00:00+08:00</t>
        </is>
      </c>
      <c r="C361" s="14" t="n"/>
      <c r="D361" s="14" t="n"/>
      <c r="E361" s="14" t="inlineStr">
        <is>
          <t>欧青U21外</t>
        </is>
      </c>
      <c r="F361" s="14" t="inlineStr">
        <is>
          <t>拉脱维亚U21 vs 马耳他U21</t>
        </is>
      </c>
      <c r="G361" s="26" t="n">
        <v>0.91</v>
      </c>
      <c r="H361" s="26" t="n">
        <v>1.5</v>
      </c>
      <c r="I361" s="26" t="n">
        <v>0.91</v>
      </c>
      <c r="J361" s="26" t="inlineStr">
        <is>
          <t>0.91/1.5/0.91</t>
        </is>
      </c>
      <c r="K361" s="14" t="inlineStr">
        <is>
          <t>V4-C</t>
        </is>
      </c>
      <c r="L361" s="14" t="inlineStr">
        <is>
          <t>拉脱维亚U21</t>
        </is>
      </c>
      <c r="M361" s="47" t="n">
        <v>0.6425191368318838</v>
      </c>
      <c r="N361" s="14" t="inlineStr">
        <is>
          <t>V4 Shadow Only；real_money=false</t>
        </is>
      </c>
      <c r="O361" s="14" t="inlineStr">
        <is>
          <t>2-0</t>
        </is>
      </c>
      <c r="P361" s="14" t="inlineStr">
        <is>
          <t>已结算</t>
        </is>
      </c>
      <c r="Q361" s="14" t="inlineStr">
        <is>
          <t>红</t>
        </is>
      </c>
      <c r="R361" s="48" t="n">
        <v>0.91</v>
      </c>
      <c r="S361" s="48" t="n">
        <v>0.91</v>
      </c>
      <c r="T361" s="14" t="inlineStr">
        <is>
          <t>D:\codex\outputs\football_odds_trader\decision_versions\2026-10-06\RUN_20261006_084027\slate_raw.csv</t>
        </is>
      </c>
      <c r="U361" s="14" t="n"/>
      <c r="V361" s="48" t="n"/>
      <c r="W361" s="48" t="n"/>
      <c r="X361" s="14" t="inlineStr">
        <is>
          <t>2781349</t>
        </is>
      </c>
      <c r="Y361" s="14" t="inlineStr">
        <is>
          <t>V4</t>
        </is>
      </c>
      <c r="Z361" s="14" t="inlineStr">
        <is>
          <t>prior-2026-10-06-v1</t>
        </is>
      </c>
      <c r="AA361" s="14" t="inlineStr">
        <is>
          <t>C</t>
        </is>
      </c>
      <c r="AB361" s="14" t="n">
        <v>0.6425191368318838</v>
      </c>
      <c r="AC361" s="14" t="n">
        <v>0.3574808631681162</v>
      </c>
      <c r="AD361" s="14" t="n">
        <v>2.25</v>
      </c>
      <c r="AE361" s="14" t="n"/>
      <c r="AF361" s="14" t="n"/>
      <c r="AG361" s="14" t="n">
        <v>0.2272115513488981</v>
      </c>
      <c r="AH361" s="14" t="n"/>
      <c r="AI361" s="14" t="n"/>
      <c r="AJ361" s="14" t="n">
        <v>0.2272115513488981</v>
      </c>
      <c r="AK361" s="14" t="n"/>
      <c r="AL361" s="14" t="n"/>
      <c r="AM361" s="14" t="inlineStr">
        <is>
          <t>EVALUATED</t>
        </is>
      </c>
      <c r="AN361" s="14" t="inlineStr">
        <is>
          <t>GIVING_VALIDATED_EDGE;BUCKET_PRIOR_ONLY;INTENT_INTERPRETATION_ONLY;FFL_OPTIONAL;EXPERT_MARKET</t>
        </is>
      </c>
      <c r="AO361" s="14" t="inlineStr">
        <is>
          <t>e6ab6dff07f473d1ba6b</t>
        </is>
      </c>
      <c r="AP361" s="14" t="n">
        <v>-1.5</v>
      </c>
      <c r="AQ361" s="14" t="n">
        <v>0.91</v>
      </c>
      <c r="AR361" s="14" t="n">
        <v>1.5</v>
      </c>
      <c r="AS361" s="14" t="n">
        <v>-1.5</v>
      </c>
      <c r="AT361" s="14" t="n">
        <v>0.91</v>
      </c>
      <c r="AU361" s="14" t="n">
        <v>0.91</v>
      </c>
      <c r="AV361" s="14" t="inlineStr">
        <is>
          <t>2026-10-06T08:45:29.718562+08:00</t>
        </is>
      </c>
      <c r="AW361" s="14" t="inlineStr">
        <is>
          <t>Titan007/V4</t>
        </is>
      </c>
      <c r="AX361" s="14" t="inlineStr">
        <is>
          <t>Daily append；市场输入缺失时不生成决策</t>
        </is>
      </c>
      <c r="AY361" s="14" t="n"/>
    </row>
    <row r="362" ht="22" customHeight="1" s="39">
      <c r="A362" s="14" t="inlineStr">
        <is>
          <t>2026-10-06</t>
        </is>
      </c>
      <c r="B362" s="14" t="inlineStr">
        <is>
          <t>2026-10-07T00:45:00+08:00</t>
        </is>
      </c>
      <c r="C362" s="14" t="n"/>
      <c r="D362" s="14" t="n"/>
      <c r="E362" s="14" t="inlineStr">
        <is>
          <t>欧青U21外</t>
        </is>
      </c>
      <c r="F362" s="14" t="inlineStr">
        <is>
          <t>挪威U21 vs 以色列U21</t>
        </is>
      </c>
      <c r="G362" s="26" t="n">
        <v>0.84</v>
      </c>
      <c r="H362" s="26" t="n">
        <v>0.75</v>
      </c>
      <c r="I362" s="26" t="n">
        <v>0.98</v>
      </c>
      <c r="J362" s="26" t="inlineStr">
        <is>
          <t>0.84/0.75/0.98</t>
        </is>
      </c>
      <c r="K362" s="14" t="inlineStr">
        <is>
          <t>V4-C</t>
        </is>
      </c>
      <c r="L362" s="14" t="inlineStr">
        <is>
          <t>挪威U21</t>
        </is>
      </c>
      <c r="M362" s="47" t="n">
        <v>0.5451207045534452</v>
      </c>
      <c r="N362" s="14" t="inlineStr">
        <is>
          <t>V4 Shadow Only；real_money=false</t>
        </is>
      </c>
      <c r="O362" s="14" t="inlineStr">
        <is>
          <t>1-1</t>
        </is>
      </c>
      <c r="P362" s="14" t="inlineStr">
        <is>
          <t>已结算</t>
        </is>
      </c>
      <c r="Q362" s="14" t="inlineStr">
        <is>
          <t>黑</t>
        </is>
      </c>
      <c r="R362" s="48" t="n">
        <v>0.84</v>
      </c>
      <c r="S362" s="48" t="n">
        <v>-1</v>
      </c>
      <c r="T362" s="14" t="inlineStr">
        <is>
          <t>D:\codex\outputs\football_odds_trader\decision_versions\2026-10-06\RUN_20261006_084027\slate_raw.csv</t>
        </is>
      </c>
      <c r="U362" s="14" t="n"/>
      <c r="V362" s="48" t="n"/>
      <c r="W362" s="48" t="n"/>
      <c r="X362" s="14" t="inlineStr">
        <is>
          <t>2781358</t>
        </is>
      </c>
      <c r="Y362" s="14" t="inlineStr">
        <is>
          <t>V4</t>
        </is>
      </c>
      <c r="Z362" s="14" t="inlineStr">
        <is>
          <t>prior-2026-10-06-v1</t>
        </is>
      </c>
      <c r="AA362" s="14" t="inlineStr">
        <is>
          <t>C</t>
        </is>
      </c>
      <c r="AB362" s="14" t="n">
        <v>0.5451207045534452</v>
      </c>
      <c r="AC362" s="14" t="n">
        <v>0.3267977472417744</v>
      </c>
      <c r="AD362" s="14" t="n">
        <v>1.25</v>
      </c>
      <c r="AE362" s="14" t="n"/>
      <c r="AF362" s="14" t="n"/>
      <c r="AG362" s="14" t="n">
        <v>0.1311036445831196</v>
      </c>
      <c r="AH362" s="14" t="n"/>
      <c r="AI362" s="14" t="n"/>
      <c r="AJ362" s="14" t="n">
        <v>0.1311036445831196</v>
      </c>
      <c r="AK362" s="14" t="n"/>
      <c r="AL362" s="14" t="n"/>
      <c r="AM362" s="14" t="inlineStr">
        <is>
          <t>EVALUATED</t>
        </is>
      </c>
      <c r="AN362" s="14" t="inlineStr">
        <is>
          <t>GIVING_VALIDATED_EDGE;BUCKET_PRIOR_ONLY;INTENT_INTERPRETATION_ONLY;FFL_OPTIONAL;EXPERT_MARKET</t>
        </is>
      </c>
      <c r="AO362" s="14" t="inlineStr">
        <is>
          <t>007e8ab829485ea52512</t>
        </is>
      </c>
      <c r="AP362" s="14" t="n">
        <v>-0.75</v>
      </c>
      <c r="AQ362" s="14" t="n">
        <v>0.84</v>
      </c>
      <c r="AR362" s="14" t="n">
        <v>0.75</v>
      </c>
      <c r="AS362" s="14" t="n">
        <v>-0.75</v>
      </c>
      <c r="AT362" s="14" t="n">
        <v>0.84</v>
      </c>
      <c r="AU362" s="14" t="n">
        <v>0.98</v>
      </c>
      <c r="AV362" s="14" t="inlineStr">
        <is>
          <t>2026-10-06T08:45:29.718562+08:00</t>
        </is>
      </c>
      <c r="AW362" s="14" t="inlineStr">
        <is>
          <t>Titan007/V4</t>
        </is>
      </c>
      <c r="AX362" s="14" t="inlineStr">
        <is>
          <t>Daily append；市场输入缺失时不生成决策</t>
        </is>
      </c>
      <c r="AY362" s="14" t="n"/>
    </row>
    <row r="363" ht="22" customHeight="1" s="39">
      <c r="A363" s="14" t="inlineStr">
        <is>
          <t>2026-10-06</t>
        </is>
      </c>
      <c r="B363" s="14" t="inlineStr">
        <is>
          <t>2026-10-07T00:45:00+08:00</t>
        </is>
      </c>
      <c r="C363" s="14" t="n"/>
      <c r="D363" s="14" t="n"/>
      <c r="E363" s="14" t="inlineStr">
        <is>
          <t>欧青U21外</t>
        </is>
      </c>
      <c r="F363" s="14" t="inlineStr">
        <is>
          <t>荷兰U21 vs 波黑U21</t>
        </is>
      </c>
      <c r="G363" s="26" t="n">
        <v>1.01</v>
      </c>
      <c r="H363" s="26" t="n">
        <v>2.5</v>
      </c>
      <c r="I363" s="26" t="n">
        <v>0.8100000000000001</v>
      </c>
      <c r="J363" s="26" t="inlineStr">
        <is>
          <t>1.01/2.5/0.81</t>
        </is>
      </c>
      <c r="K363" s="14" t="inlineStr">
        <is>
          <t>V4-C</t>
        </is>
      </c>
      <c r="L363" s="14" t="inlineStr">
        <is>
          <t>荷兰U21</t>
        </is>
      </c>
      <c r="M363" s="47" t="n">
        <v>0.5563087273973673</v>
      </c>
      <c r="N363" s="14" t="inlineStr">
        <is>
          <t>V4 Shadow Only；real_money=false</t>
        </is>
      </c>
      <c r="O363" s="14" t="inlineStr">
        <is>
          <t>4-0</t>
        </is>
      </c>
      <c r="P363" s="14" t="inlineStr">
        <is>
          <t>已结算</t>
        </is>
      </c>
      <c r="Q363" s="14" t="inlineStr">
        <is>
          <t>红</t>
        </is>
      </c>
      <c r="R363" s="48" t="n">
        <v>1.01</v>
      </c>
      <c r="S363" s="48" t="n">
        <v>1.01</v>
      </c>
      <c r="T363" s="14" t="inlineStr">
        <is>
          <t>D:\codex\outputs\football_odds_trader\decision_versions\2026-10-06\RUN_20261006_084027\slate_raw.csv</t>
        </is>
      </c>
      <c r="U363" s="14" t="n"/>
      <c r="V363" s="48" t="n"/>
      <c r="W363" s="48" t="n"/>
      <c r="X363" s="14" t="inlineStr">
        <is>
          <t>2781369</t>
        </is>
      </c>
      <c r="Y363" s="14" t="inlineStr">
        <is>
          <t>V4</t>
        </is>
      </c>
      <c r="Z363" s="14" t="inlineStr">
        <is>
          <t>prior-2026-10-06-v1</t>
        </is>
      </c>
      <c r="AA363" s="14" t="inlineStr">
        <is>
          <t>C</t>
        </is>
      </c>
      <c r="AB363" s="14" t="n">
        <v>0.5563087273973673</v>
      </c>
      <c r="AC363" s="14" t="n">
        <v>0.4436912726026327</v>
      </c>
      <c r="AD363" s="14" t="n">
        <v>3.25</v>
      </c>
      <c r="AE363" s="14" t="n"/>
      <c r="AF363" s="14" t="n"/>
      <c r="AG363" s="14" t="n">
        <v>0.1181805420687083</v>
      </c>
      <c r="AH363" s="14" t="n"/>
      <c r="AI363" s="14" t="n"/>
      <c r="AJ363" s="14" t="n">
        <v>0.1181805420687083</v>
      </c>
      <c r="AK363" s="14" t="n"/>
      <c r="AL363" s="14" t="n"/>
      <c r="AM363" s="14" t="inlineStr">
        <is>
          <t>EVALUATED</t>
        </is>
      </c>
      <c r="AN363" s="14" t="inlineStr">
        <is>
          <t>GIVING_VALIDATED_EDGE;BUCKET_PRIOR_ONLY;INTENT_INTERPRETATION_ONLY;FFL_OPTIONAL;EXPERT_MARKET</t>
        </is>
      </c>
      <c r="AO363" s="14" t="inlineStr">
        <is>
          <t>6734f311adb8cf198610</t>
        </is>
      </c>
      <c r="AP363" s="14" t="n">
        <v>-2.5</v>
      </c>
      <c r="AQ363" s="14" t="n">
        <v>1.01</v>
      </c>
      <c r="AR363" s="14" t="n">
        <v>2.5</v>
      </c>
      <c r="AS363" s="14" t="n">
        <v>-2.5</v>
      </c>
      <c r="AT363" s="14" t="n">
        <v>1.01</v>
      </c>
      <c r="AU363" s="14" t="n">
        <v>0.8100000000000001</v>
      </c>
      <c r="AV363" s="14" t="inlineStr">
        <is>
          <t>2026-10-06T08:45:29.718562+08:00</t>
        </is>
      </c>
      <c r="AW363" s="14" t="inlineStr">
        <is>
          <t>Titan007/V4</t>
        </is>
      </c>
      <c r="AX363" s="14" t="inlineStr">
        <is>
          <t>Daily append；市场输入缺失时不生成决策</t>
        </is>
      </c>
      <c r="AY363" s="14" t="n"/>
    </row>
    <row r="364" ht="22" customHeight="1" s="39">
      <c r="A364" s="14" t="inlineStr">
        <is>
          <t>2026-10-06</t>
        </is>
      </c>
      <c r="B364" s="14" t="inlineStr">
        <is>
          <t>2026-10-07T01:00:00+08:00</t>
        </is>
      </c>
      <c r="C364" s="14" t="n"/>
      <c r="D364" s="14" t="n"/>
      <c r="E364" s="14" t="inlineStr">
        <is>
          <t>欧青U21外</t>
        </is>
      </c>
      <c r="F364" s="14" t="inlineStr">
        <is>
          <t>立陶宛U21 vs 克罗地亚U21</t>
        </is>
      </c>
      <c r="G364" s="26" t="n">
        <v>0.91</v>
      </c>
      <c r="H364" s="26" t="n">
        <v>-1.75</v>
      </c>
      <c r="I364" s="26" t="n">
        <v>0.91</v>
      </c>
      <c r="J364" s="26" t="inlineStr">
        <is>
          <t>0.91/-1.75/0.91</t>
        </is>
      </c>
      <c r="K364" s="14" t="inlineStr">
        <is>
          <t>V4-C</t>
        </is>
      </c>
      <c r="L364" s="14" t="inlineStr">
        <is>
          <t>立陶宛U21</t>
        </is>
      </c>
      <c r="M364" s="47" t="n">
        <v>0.0001526297351237205</v>
      </c>
      <c r="N364" s="14" t="inlineStr">
        <is>
          <t>V4 Shadow Only；real_money=false</t>
        </is>
      </c>
      <c r="O364" s="14" t="inlineStr">
        <is>
          <t>0-1</t>
        </is>
      </c>
      <c r="P364" s="14" t="inlineStr">
        <is>
          <t>已结算</t>
        </is>
      </c>
      <c r="Q364" s="14" t="inlineStr">
        <is>
          <t>红</t>
        </is>
      </c>
      <c r="R364" s="48" t="n">
        <v>0.91</v>
      </c>
      <c r="S364" s="48" t="n">
        <v>0.91</v>
      </c>
      <c r="T364" s="14" t="inlineStr">
        <is>
          <t>D:\codex\outputs\football_odds_trader\decision_versions\2026-10-06\RUN_20261006_084027\slate_raw.csv</t>
        </is>
      </c>
      <c r="U364" s="14" t="n"/>
      <c r="V364" s="48" t="n"/>
      <c r="W364" s="48" t="n"/>
      <c r="X364" s="14" t="inlineStr">
        <is>
          <t>2781389</t>
        </is>
      </c>
      <c r="Y364" s="14" t="inlineStr">
        <is>
          <t>V4</t>
        </is>
      </c>
      <c r="Z364" s="14" t="inlineStr">
        <is>
          <t>prior-2026-10-06-v1</t>
        </is>
      </c>
      <c r="AA364" s="14" t="inlineStr">
        <is>
          <t>C</t>
        </is>
      </c>
      <c r="AB364" s="14" t="n">
        <v>0.0001526297351237205</v>
      </c>
      <c r="AC364" s="14" t="n">
        <v>0.9997033814331137</v>
      </c>
      <c r="AD364" s="14" t="n">
        <v>-2.5</v>
      </c>
      <c r="AE364" s="14" t="n">
        <v>0</v>
      </c>
      <c r="AF364" s="14" t="n">
        <v>0</v>
      </c>
      <c r="AG364" s="14" t="n">
        <v>0.9095774473690097</v>
      </c>
      <c r="AH364" s="14" t="n"/>
      <c r="AI364" s="14" t="n"/>
      <c r="AJ364" s="14" t="n">
        <v>0.9095774473690097</v>
      </c>
      <c r="AK364" s="14" t="n"/>
      <c r="AL364" s="14" t="n"/>
      <c r="AM364" s="14" t="inlineStr">
        <is>
          <t>EVALUATED</t>
        </is>
      </c>
      <c r="AN364" s="14" t="inlineStr">
        <is>
          <t>RECEIVING_VALIDATED_EDGE;BUCKET_PRIOR_ONLY;INTENT_INTERPRETATION_ONLY;FFL_OPTIONAL;EXPERT_MARKET</t>
        </is>
      </c>
      <c r="AO364" s="14" t="inlineStr">
        <is>
          <t>382ce5929ec7fd0d4607</t>
        </is>
      </c>
      <c r="AP364" s="14" t="n">
        <v>1.75</v>
      </c>
      <c r="AQ364" s="14" t="n">
        <v>0.91</v>
      </c>
      <c r="AR364" s="14" t="n">
        <v>-1.75</v>
      </c>
      <c r="AS364" s="14" t="n">
        <v>1.75</v>
      </c>
      <c r="AT364" s="14" t="n">
        <v>0.91</v>
      </c>
      <c r="AU364" s="14" t="n">
        <v>0.91</v>
      </c>
      <c r="AV364" s="14" t="inlineStr">
        <is>
          <t>2026-10-06T08:45:29.718562+08:00</t>
        </is>
      </c>
      <c r="AW364" s="14" t="inlineStr">
        <is>
          <t>Titan007/V4</t>
        </is>
      </c>
      <c r="AX364" s="14" t="inlineStr">
        <is>
          <t>Daily append；市场输入缺失时不生成决策</t>
        </is>
      </c>
      <c r="AY364" s="14" t="n"/>
    </row>
    <row r="365" ht="22" customHeight="1" s="39">
      <c r="A365" s="14" t="inlineStr">
        <is>
          <t>2026-10-06</t>
        </is>
      </c>
      <c r="B365" s="14" t="inlineStr">
        <is>
          <t>2026-10-07T01:00:00+08:00</t>
        </is>
      </c>
      <c r="C365" s="14" t="n"/>
      <c r="D365" s="14" t="n"/>
      <c r="E365" s="14" t="inlineStr">
        <is>
          <t>欧青U21外</t>
        </is>
      </c>
      <c r="F365" s="14" t="inlineStr">
        <is>
          <t>土耳其U21 vs 匈牙利U21</t>
        </is>
      </c>
      <c r="G365" s="26" t="n">
        <v>0.91</v>
      </c>
      <c r="H365" s="26" t="n">
        <v>1.25</v>
      </c>
      <c r="I365" s="26" t="n">
        <v>0.91</v>
      </c>
      <c r="J365" s="26" t="inlineStr">
        <is>
          <t>0.91/1.25/0.91</t>
        </is>
      </c>
      <c r="K365" s="14" t="inlineStr">
        <is>
          <t>V4-C</t>
        </is>
      </c>
      <c r="L365" s="14" t="inlineStr">
        <is>
          <t>土耳其U21</t>
        </is>
      </c>
      <c r="M365" s="47" t="n">
        <v>0.5363780596304405</v>
      </c>
      <c r="N365" s="14" t="inlineStr">
        <is>
          <t>V4 Shadow Only；real_money=false</t>
        </is>
      </c>
      <c r="O365" s="14" t="inlineStr">
        <is>
          <t>0-0</t>
        </is>
      </c>
      <c r="P365" s="14" t="inlineStr">
        <is>
          <t>已结算</t>
        </is>
      </c>
      <c r="Q365" s="14" t="inlineStr">
        <is>
          <t>黑</t>
        </is>
      </c>
      <c r="R365" s="48" t="n">
        <v>0.91</v>
      </c>
      <c r="S365" s="48" t="n">
        <v>-1</v>
      </c>
      <c r="T365" s="14" t="inlineStr">
        <is>
          <t>D:\codex\outputs\football_odds_trader\decision_versions\2026-10-06\RUN_20261006_084027\slate_raw.csv</t>
        </is>
      </c>
      <c r="U365" s="14" t="n"/>
      <c r="V365" s="48" t="n"/>
      <c r="W365" s="48" t="n"/>
      <c r="X365" s="14" t="inlineStr">
        <is>
          <t>2781390</t>
        </is>
      </c>
      <c r="Y365" s="14" t="inlineStr">
        <is>
          <t>V4</t>
        </is>
      </c>
      <c r="Z365" s="14" t="inlineStr">
        <is>
          <t>prior-2026-10-06-v1</t>
        </is>
      </c>
      <c r="AA365" s="14" t="inlineStr">
        <is>
          <t>C</t>
        </is>
      </c>
      <c r="AB365" s="14" t="n">
        <v>0.5363780596304405</v>
      </c>
      <c r="AC365" s="14" t="n">
        <v>0.3411988127964602</v>
      </c>
      <c r="AD365" s="14" t="n">
        <v>1.75</v>
      </c>
      <c r="AE365" s="14" t="n"/>
      <c r="AF365" s="14" t="n"/>
      <c r="AG365" s="14" t="n">
        <v>0.1469052214672406</v>
      </c>
      <c r="AH365" s="14" t="n"/>
      <c r="AI365" s="14" t="n"/>
      <c r="AJ365" s="14" t="n">
        <v>0.1469052214672406</v>
      </c>
      <c r="AK365" s="14" t="n"/>
      <c r="AL365" s="14" t="n"/>
      <c r="AM365" s="14" t="inlineStr">
        <is>
          <t>EVALUATED</t>
        </is>
      </c>
      <c r="AN365" s="14" t="inlineStr">
        <is>
          <t>GIVING_VALIDATED_EDGE;BUCKET_PRIOR_ONLY;INTENT_INTERPRETATION_ONLY;FFL_OPTIONAL;EXPERT_MARKET</t>
        </is>
      </c>
      <c r="AO365" s="14" t="inlineStr">
        <is>
          <t>cdc405ae8f1d83b4f023</t>
        </is>
      </c>
      <c r="AP365" s="14" t="n">
        <v>-1.25</v>
      </c>
      <c r="AQ365" s="14" t="n">
        <v>0.91</v>
      </c>
      <c r="AR365" s="14" t="n">
        <v>1.25</v>
      </c>
      <c r="AS365" s="14" t="n">
        <v>-1.25</v>
      </c>
      <c r="AT365" s="14" t="n">
        <v>0.91</v>
      </c>
      <c r="AU365" s="14" t="n">
        <v>0.91</v>
      </c>
      <c r="AV365" s="14" t="inlineStr">
        <is>
          <t>2026-10-06T08:45:29.718562+08:00</t>
        </is>
      </c>
      <c r="AW365" s="14" t="inlineStr">
        <is>
          <t>Titan007/V4</t>
        </is>
      </c>
      <c r="AX365" s="14" t="inlineStr">
        <is>
          <t>Daily append；市场输入缺失时不生成决策</t>
        </is>
      </c>
      <c r="AY365" s="14" t="n"/>
    </row>
    <row r="366" ht="22" customHeight="1" s="39">
      <c r="A366" s="14" t="inlineStr">
        <is>
          <t>2026-10-06</t>
        </is>
      </c>
      <c r="B366" s="14" t="inlineStr">
        <is>
          <t>2026-10-07T00:30:00+08:00</t>
        </is>
      </c>
      <c r="C366" s="14" t="n"/>
      <c r="D366" s="14" t="n"/>
      <c r="E366" s="14" t="inlineStr">
        <is>
          <t>欧青U21外</t>
        </is>
      </c>
      <c r="F366" s="14" t="inlineStr">
        <is>
          <t>威尔士U21 vs 奥地利U21</t>
        </is>
      </c>
      <c r="G366" s="26" t="n">
        <v>0.87</v>
      </c>
      <c r="H366" s="26" t="n">
        <v>-0.75</v>
      </c>
      <c r="I366" s="26" t="n">
        <v>0.95</v>
      </c>
      <c r="J366" s="26" t="inlineStr">
        <is>
          <t>0.87/-0.75/0.95</t>
        </is>
      </c>
      <c r="K366" s="14" t="inlineStr">
        <is>
          <t>V4-C</t>
        </is>
      </c>
      <c r="L366" s="14" t="inlineStr">
        <is>
          <t>威尔士U21</t>
        </is>
      </c>
      <c r="M366" s="47" t="n">
        <v>0.1078163827808589</v>
      </c>
      <c r="N366" s="14" t="inlineStr">
        <is>
          <t>V4 Shadow Only；real_money=false</t>
        </is>
      </c>
      <c r="O366" s="14" t="inlineStr">
        <is>
          <t>1-7</t>
        </is>
      </c>
      <c r="P366" s="14" t="inlineStr">
        <is>
          <t>已结算</t>
        </is>
      </c>
      <c r="Q366" s="14" t="inlineStr">
        <is>
          <t>黑</t>
        </is>
      </c>
      <c r="R366" s="48" t="n">
        <v>0.87</v>
      </c>
      <c r="S366" s="48" t="n">
        <v>-1</v>
      </c>
      <c r="T366" s="14" t="inlineStr">
        <is>
          <t>D:\codex\outputs\football_odds_trader\decision_versions\2026-10-06\RUN_20261006_084027\slate_raw.csv</t>
        </is>
      </c>
      <c r="U366" s="14" t="n"/>
      <c r="V366" s="48" t="n"/>
      <c r="W366" s="48" t="n"/>
      <c r="X366" s="14" t="inlineStr">
        <is>
          <t>2781410</t>
        </is>
      </c>
      <c r="Y366" s="14" t="inlineStr">
        <is>
          <t>V4</t>
        </is>
      </c>
      <c r="Z366" s="14" t="inlineStr">
        <is>
          <t>prior-2026-10-06-v1</t>
        </is>
      </c>
      <c r="AA366" s="14" t="inlineStr">
        <is>
          <t>C</t>
        </is>
      </c>
      <c r="AB366" s="14" t="n">
        <v>0.1078163827808589</v>
      </c>
      <c r="AC366" s="14" t="n">
        <v>0.8344695148576891</v>
      </c>
      <c r="AD366" s="14" t="n">
        <v>-1</v>
      </c>
      <c r="AE366" s="14" t="n">
        <v>0</v>
      </c>
      <c r="AF366" s="14" t="n">
        <v>0</v>
      </c>
      <c r="AG366" s="14" t="n">
        <v>0.6181720951453306</v>
      </c>
      <c r="AH366" s="14" t="n"/>
      <c r="AI366" s="14" t="n"/>
      <c r="AJ366" s="14" t="n">
        <v>0.6181720951453306</v>
      </c>
      <c r="AK366" s="14" t="n"/>
      <c r="AL366" s="14" t="n"/>
      <c r="AM366" s="14" t="inlineStr">
        <is>
          <t>EVALUATED</t>
        </is>
      </c>
      <c r="AN366" s="14" t="inlineStr">
        <is>
          <t>RECEIVING_VALIDATED_EDGE;BUCKET_PRIOR_ONLY;INTENT_INTERPRETATION_ONLY;FFL_OPTIONAL;EXPERT_MARKET</t>
        </is>
      </c>
      <c r="AO366" s="14" t="inlineStr">
        <is>
          <t>712a701babd50891e553</t>
        </is>
      </c>
      <c r="AP366" s="14" t="n">
        <v>0.75</v>
      </c>
      <c r="AQ366" s="14" t="n">
        <v>0.87</v>
      </c>
      <c r="AR366" s="14" t="n">
        <v>-0.75</v>
      </c>
      <c r="AS366" s="14" t="n">
        <v>0.75</v>
      </c>
      <c r="AT366" s="14" t="n">
        <v>0.87</v>
      </c>
      <c r="AU366" s="14" t="n">
        <v>0.95</v>
      </c>
      <c r="AV366" s="14" t="inlineStr">
        <is>
          <t>2026-10-06T08:45:29.718562+08:00</t>
        </is>
      </c>
      <c r="AW366" s="14" t="inlineStr">
        <is>
          <t>Titan007/V4</t>
        </is>
      </c>
      <c r="AX366" s="14" t="inlineStr">
        <is>
          <t>Daily append；市场输入缺失时不生成决策</t>
        </is>
      </c>
      <c r="AY366" s="14" t="n"/>
    </row>
    <row r="367" ht="22" customHeight="1" s="39">
      <c r="A367" s="14" t="inlineStr">
        <is>
          <t>2026-10-06</t>
        </is>
      </c>
      <c r="B367" s="14" t="inlineStr">
        <is>
          <t>2026-10-07T01:00:00+08:00</t>
        </is>
      </c>
      <c r="C367" s="14" t="n"/>
      <c r="D367" s="14" t="n"/>
      <c r="E367" s="14" t="inlineStr">
        <is>
          <t>欧青U21外</t>
        </is>
      </c>
      <c r="F367" s="14" t="inlineStr">
        <is>
          <t>安道尔U21 vs 斯洛伐克U21</t>
        </is>
      </c>
      <c r="G367" s="26" t="n">
        <v>0.92</v>
      </c>
      <c r="H367" s="26" t="n">
        <v>-1.75</v>
      </c>
      <c r="I367" s="26" t="n">
        <v>0.9</v>
      </c>
      <c r="J367" s="26" t="inlineStr">
        <is>
          <t>0.92/-1.75/0.9</t>
        </is>
      </c>
      <c r="K367" s="14" t="inlineStr">
        <is>
          <t>V4-C</t>
        </is>
      </c>
      <c r="L367" s="14" t="inlineStr">
        <is>
          <t>安道尔U21</t>
        </is>
      </c>
      <c r="M367" s="47" t="n">
        <v>0.0005235944382967782</v>
      </c>
      <c r="N367" s="14" t="inlineStr">
        <is>
          <t>V4 Shadow Only；real_money=false</t>
        </is>
      </c>
      <c r="O367" s="14" t="inlineStr">
        <is>
          <t>1-2</t>
        </is>
      </c>
      <c r="P367" s="14" t="inlineStr">
        <is>
          <t>已结算</t>
        </is>
      </c>
      <c r="Q367" s="14" t="inlineStr">
        <is>
          <t>红</t>
        </is>
      </c>
      <c r="R367" s="48" t="n">
        <v>0.92</v>
      </c>
      <c r="S367" s="48" t="n">
        <v>0.92</v>
      </c>
      <c r="T367" s="14" t="inlineStr">
        <is>
          <t>D:\codex\outputs\football_odds_trader\decision_versions\2026-10-06\RUN_20261006_084027\slate_raw.csv</t>
        </is>
      </c>
      <c r="U367" s="14" t="n"/>
      <c r="V367" s="48" t="n"/>
      <c r="W367" s="48" t="n"/>
      <c r="X367" s="14" t="inlineStr">
        <is>
          <t>2781438</t>
        </is>
      </c>
      <c r="Y367" s="14" t="inlineStr">
        <is>
          <t>V4</t>
        </is>
      </c>
      <c r="Z367" s="14" t="inlineStr">
        <is>
          <t>prior-2026-10-06-v1</t>
        </is>
      </c>
      <c r="AA367" s="14" t="inlineStr">
        <is>
          <t>C</t>
        </is>
      </c>
      <c r="AB367" s="14" t="n">
        <v>0.0005235944382967782</v>
      </c>
      <c r="AC367" s="14" t="n">
        <v>0.9990030993676333</v>
      </c>
      <c r="AD367" s="14" t="n">
        <v>-2.5</v>
      </c>
      <c r="AE367" s="14" t="n">
        <v>0</v>
      </c>
      <c r="AF367" s="14" t="n">
        <v>0</v>
      </c>
      <c r="AG367" s="14" t="n">
        <v>0.9185592569799259</v>
      </c>
      <c r="AH367" s="14" t="n"/>
      <c r="AI367" s="14" t="n"/>
      <c r="AJ367" s="14" t="n">
        <v>0.9185592569799259</v>
      </c>
      <c r="AK367" s="14" t="n"/>
      <c r="AL367" s="14" t="n"/>
      <c r="AM367" s="14" t="inlineStr">
        <is>
          <t>EVALUATED</t>
        </is>
      </c>
      <c r="AN367" s="14" t="inlineStr">
        <is>
          <t>RECEIVING_VALIDATED_EDGE;BUCKET_PRIOR_ONLY;INTENT_INTERPRETATION_ONLY;FFL_OPTIONAL;EXPERT_MARKET</t>
        </is>
      </c>
      <c r="AO367" s="14" t="inlineStr">
        <is>
          <t>3042754371ae168f92ce</t>
        </is>
      </c>
      <c r="AP367" s="14" t="n">
        <v>1.75</v>
      </c>
      <c r="AQ367" s="14" t="n">
        <v>0.92</v>
      </c>
      <c r="AR367" s="14" t="n">
        <v>-1.75</v>
      </c>
      <c r="AS367" s="14" t="n">
        <v>1.75</v>
      </c>
      <c r="AT367" s="14" t="n">
        <v>0.92</v>
      </c>
      <c r="AU367" s="14" t="n">
        <v>0.9</v>
      </c>
      <c r="AV367" s="14" t="inlineStr">
        <is>
          <t>2026-10-06T08:45:29.718562+08:00</t>
        </is>
      </c>
      <c r="AW367" s="14" t="inlineStr">
        <is>
          <t>Titan007/V4</t>
        </is>
      </c>
      <c r="AX367" s="14" t="inlineStr">
        <is>
          <t>Daily append；市场输入缺失时不生成决策</t>
        </is>
      </c>
      <c r="AY367" s="14" t="n"/>
    </row>
    <row r="368" ht="22" customHeight="1" s="39">
      <c r="A368" s="14" t="inlineStr">
        <is>
          <t>2026-10-06</t>
        </is>
      </c>
      <c r="B368" s="14" t="inlineStr">
        <is>
          <t>2026-10-07T01:00:00+08:00</t>
        </is>
      </c>
      <c r="C368" s="14" t="n"/>
      <c r="D368" s="14" t="n"/>
      <c r="E368" s="14" t="inlineStr">
        <is>
          <t>欧青U21外</t>
        </is>
      </c>
      <c r="F368" s="14" t="inlineStr">
        <is>
          <t>爱尔兰U21 vs 英格兰U21</t>
        </is>
      </c>
      <c r="G368" s="26" t="n">
        <v>0.87</v>
      </c>
      <c r="H368" s="26" t="n">
        <v>-1</v>
      </c>
      <c r="I368" s="26" t="n">
        <v>0.95</v>
      </c>
      <c r="J368" s="26" t="inlineStr">
        <is>
          <t>0.87/-1.0/0.95</t>
        </is>
      </c>
      <c r="K368" s="14" t="inlineStr">
        <is>
          <t>V4-C</t>
        </is>
      </c>
      <c r="L368" s="14" t="inlineStr">
        <is>
          <t>爱尔兰U21</t>
        </is>
      </c>
      <c r="M368" s="47" t="n">
        <v>0.02648577638839075</v>
      </c>
      <c r="N368" s="14" t="inlineStr">
        <is>
          <t>V4 Shadow Only；real_money=false</t>
        </is>
      </c>
      <c r="O368" s="14" t="inlineStr">
        <is>
          <t>3-1</t>
        </is>
      </c>
      <c r="P368" s="14" t="inlineStr">
        <is>
          <t>已结算</t>
        </is>
      </c>
      <c r="Q368" s="14" t="inlineStr">
        <is>
          <t>红</t>
        </is>
      </c>
      <c r="R368" s="48" t="n">
        <v>0.87</v>
      </c>
      <c r="S368" s="48" t="n">
        <v>0.87</v>
      </c>
      <c r="T368" s="14" t="inlineStr">
        <is>
          <t>D:\codex\outputs\football_odds_trader\decision_versions\2026-10-06\RUN_20261006_084027\slate_raw.csv</t>
        </is>
      </c>
      <c r="U368" s="14" t="n"/>
      <c r="V368" s="48" t="n"/>
      <c r="W368" s="48" t="n"/>
      <c r="X368" s="14" t="inlineStr">
        <is>
          <t>2781440</t>
        </is>
      </c>
      <c r="Y368" s="14" t="inlineStr">
        <is>
          <t>V4</t>
        </is>
      </c>
      <c r="Z368" s="14" t="inlineStr">
        <is>
          <t>prior-2026-10-06-v1</t>
        </is>
      </c>
      <c r="AA368" s="14" t="inlineStr">
        <is>
          <t>C</t>
        </is>
      </c>
      <c r="AB368" s="14" t="n">
        <v>0.02648577638839075</v>
      </c>
      <c r="AC368" s="14" t="n">
        <v>0.8924894771437296</v>
      </c>
      <c r="AD368" s="14" t="n">
        <v>-1.25</v>
      </c>
      <c r="AE368" s="14" t="n">
        <v>0</v>
      </c>
      <c r="AF368" s="14" t="n">
        <v>0</v>
      </c>
      <c r="AG368" s="14" t="n">
        <v>0.749980068726654</v>
      </c>
      <c r="AH368" s="14" t="n"/>
      <c r="AI368" s="14" t="n"/>
      <c r="AJ368" s="14" t="n">
        <v>0.749980068726654</v>
      </c>
      <c r="AK368" s="14" t="n"/>
      <c r="AL368" s="14" t="n"/>
      <c r="AM368" s="14" t="inlineStr">
        <is>
          <t>EVALUATED</t>
        </is>
      </c>
      <c r="AN368" s="14" t="inlineStr">
        <is>
          <t>RECEIVING_VALIDATED_EDGE;BUCKET_PRIOR_ONLY;INTENT_INTERPRETATION_ONLY;FFL_OPTIONAL;EXPERT_MARKET</t>
        </is>
      </c>
      <c r="AO368" s="14" t="inlineStr">
        <is>
          <t>b906c0195217b065e57c</t>
        </is>
      </c>
      <c r="AP368" s="14" t="n">
        <v>1</v>
      </c>
      <c r="AQ368" s="14" t="n">
        <v>0.87</v>
      </c>
      <c r="AR368" s="14" t="n">
        <v>-1</v>
      </c>
      <c r="AS368" s="14" t="n">
        <v>1</v>
      </c>
      <c r="AT368" s="14" t="n">
        <v>0.87</v>
      </c>
      <c r="AU368" s="14" t="n">
        <v>0.95</v>
      </c>
      <c r="AV368" s="14" t="inlineStr">
        <is>
          <t>2026-10-06T08:45:29.718562+08:00</t>
        </is>
      </c>
      <c r="AW368" s="14" t="inlineStr">
        <is>
          <t>Titan007/V4</t>
        </is>
      </c>
      <c r="AX368" s="14" t="inlineStr">
        <is>
          <t>Daily append；市场输入缺失时不生成决策</t>
        </is>
      </c>
      <c r="AY368" s="14" t="n"/>
    </row>
    <row r="369" ht="22" customHeight="1" s="39">
      <c r="A369" s="14" t="inlineStr">
        <is>
          <t>2026-10-06</t>
        </is>
      </c>
      <c r="B369" s="14" t="inlineStr">
        <is>
          <t>2026-10-07T08:30:00+08:00</t>
        </is>
      </c>
      <c r="C369" s="14" t="inlineStr">
        <is>
          <t>CLUB_LEAGUE</t>
        </is>
      </c>
      <c r="D369" s="14" t="n"/>
      <c r="E369" s="14" t="inlineStr">
        <is>
          <t>美职业</t>
        </is>
      </c>
      <c r="F369" s="14" t="inlineStr">
        <is>
          <t>芝加哥火焰 vs 温哥华白浪</t>
        </is>
      </c>
      <c r="G369" s="26" t="n">
        <v>0.91</v>
      </c>
      <c r="H369" s="26" t="n">
        <v>-0.25</v>
      </c>
      <c r="I369" s="26" t="n">
        <v>0.97</v>
      </c>
      <c r="J369" s="26" t="inlineStr">
        <is>
          <t>0.91/-0.25/0.97</t>
        </is>
      </c>
      <c r="K369" s="14" t="inlineStr">
        <is>
          <t>V4-A</t>
        </is>
      </c>
      <c r="L369" s="14" t="inlineStr">
        <is>
          <t>芝加哥火焰</t>
        </is>
      </c>
      <c r="M369" s="47" t="n">
        <v>0.3156345666393801</v>
      </c>
      <c r="N369" s="14" t="inlineStr">
        <is>
          <t>V4 Shadow Only；real_money=false</t>
        </is>
      </c>
      <c r="O369" s="14" t="inlineStr">
        <is>
          <t>0-0</t>
        </is>
      </c>
      <c r="P369" s="14" t="inlineStr">
        <is>
          <t>EVALUATED</t>
        </is>
      </c>
      <c r="Q369" s="14" t="inlineStr">
        <is>
          <t>A</t>
        </is>
      </c>
      <c r="R369" s="48" t="n">
        <v>0.91</v>
      </c>
      <c r="S369" s="48" t="n"/>
      <c r="T369" s="14" t="inlineStr">
        <is>
          <t>D:\codex\outputs\football_odds_trader\decision_versions\2026-10-06\RUN_20261006_084027\slate_raw.csv</t>
        </is>
      </c>
      <c r="U369" s="14" t="n"/>
      <c r="V369" s="48" t="n"/>
      <c r="W369" s="48" t="n"/>
      <c r="X369" s="14" t="inlineStr">
        <is>
          <t>2908633</t>
        </is>
      </c>
      <c r="Y369" s="14" t="inlineStr">
        <is>
          <t>V4</t>
        </is>
      </c>
      <c r="Z369" s="14" t="inlineStr">
        <is>
          <t>prior-2026-10-06-v1</t>
        </is>
      </c>
      <c r="AA369" s="14" t="inlineStr">
        <is>
          <t>A</t>
        </is>
      </c>
      <c r="AB369" s="14" t="n">
        <v>0.3156345666393801</v>
      </c>
      <c r="AC369" s="14" t="n">
        <v>0.5541326438570492</v>
      </c>
      <c r="AD369" s="14" t="n">
        <v>-0.25</v>
      </c>
      <c r="AE369" s="14" t="n">
        <v>0</v>
      </c>
      <c r="AF369" s="14" t="n">
        <v>0</v>
      </c>
      <c r="AG369" s="14" t="n">
        <v>0.1886261392705347</v>
      </c>
      <c r="AH369" s="14" t="n"/>
      <c r="AI369" s="14" t="n"/>
      <c r="AJ369" s="14" t="n">
        <v>0.1886261392705347</v>
      </c>
      <c r="AK369" s="14" t="n"/>
      <c r="AL369" s="14" t="n"/>
      <c r="AM369" s="14" t="inlineStr">
        <is>
          <t>EVALUATED</t>
        </is>
      </c>
      <c r="AN369" s="14" t="inlineStr">
        <is>
          <t>RECEIVING_VALIDATED_EDGE;BUCKET_PRIOR_ONLY;INTENT_INTERPRETATION_ONLY;FFL_OPTIONAL;EXPERT_MARKET</t>
        </is>
      </c>
      <c r="AO369" s="14" t="inlineStr">
        <is>
          <t>40a9cd9d62f5eaec86fc</t>
        </is>
      </c>
      <c r="AP369" s="14" t="n">
        <v>0.25</v>
      </c>
      <c r="AQ369" s="14" t="n">
        <v>0.91</v>
      </c>
      <c r="AR369" s="14" t="n">
        <v>-0.25</v>
      </c>
      <c r="AS369" s="14" t="n">
        <v>0.25</v>
      </c>
      <c r="AT369" s="14" t="n">
        <v>0.91</v>
      </c>
      <c r="AU369" s="14" t="n">
        <v>0.97</v>
      </c>
      <c r="AV369" s="14" t="inlineStr">
        <is>
          <t>2026-10-06T08:45:29.718562+08:00</t>
        </is>
      </c>
      <c r="AW369" s="14" t="inlineStr">
        <is>
          <t>Titan007/V4</t>
        </is>
      </c>
      <c r="AX369" s="14" t="inlineStr">
        <is>
          <t>Daily append；市场输入缺失时不生成决策</t>
        </is>
      </c>
      <c r="AY369" s="14" t="n"/>
    </row>
    <row r="370" ht="22" customHeight="1" s="39">
      <c r="A370" s="14" t="inlineStr">
        <is>
          <t>2026-10-06</t>
        </is>
      </c>
      <c r="B370" s="14" t="inlineStr">
        <is>
          <t>2026-10-07T01:00:00+08:00</t>
        </is>
      </c>
      <c r="C370" s="14" t="n"/>
      <c r="D370" s="14" t="n"/>
      <c r="E370" s="14" t="inlineStr">
        <is>
          <t>阿丙曼特</t>
        </is>
      </c>
      <c r="F370" s="14" t="inlineStr">
        <is>
          <t>莱安阿拉姆 vs 西班牙语中央队</t>
        </is>
      </c>
      <c r="G370" s="26" t="n">
        <v>0.85</v>
      </c>
      <c r="H370" s="26" t="n">
        <v>-1.25</v>
      </c>
      <c r="I370" s="26" t="n">
        <v>0.95</v>
      </c>
      <c r="J370" s="26" t="inlineStr">
        <is>
          <t>0.85/-1.25/0.95</t>
        </is>
      </c>
      <c r="K370" s="14" t="inlineStr">
        <is>
          <t>V4-B</t>
        </is>
      </c>
      <c r="L370" s="14" t="inlineStr">
        <is>
          <t>莱安阿拉姆</t>
        </is>
      </c>
      <c r="M370" s="47" t="n">
        <v>0.005430569540265278</v>
      </c>
      <c r="N370" s="14" t="inlineStr">
        <is>
          <t>V4 Shadow Only；real_money=false</t>
        </is>
      </c>
      <c r="O370" s="14" t="inlineStr">
        <is>
          <t>1-5</t>
        </is>
      </c>
      <c r="P370" s="14" t="inlineStr">
        <is>
          <t>已结算</t>
        </is>
      </c>
      <c r="Q370" s="14" t="inlineStr">
        <is>
          <t>黑</t>
        </is>
      </c>
      <c r="R370" s="48" t="n">
        <v>0.85</v>
      </c>
      <c r="S370" s="48" t="n">
        <v>-1</v>
      </c>
      <c r="T370" s="14" t="inlineStr">
        <is>
          <t>D:\codex\outputs\football_odds_trader\decision_versions\2026-10-06\RUN_20261006_084027\slate_raw.csv</t>
        </is>
      </c>
      <c r="U370" s="14" t="n"/>
      <c r="V370" s="48" t="n"/>
      <c r="W370" s="48" t="n"/>
      <c r="X370" s="14" t="inlineStr">
        <is>
          <t>2935312</t>
        </is>
      </c>
      <c r="Y370" s="14" t="inlineStr">
        <is>
          <t>V4</t>
        </is>
      </c>
      <c r="Z370" s="14" t="inlineStr">
        <is>
          <t>prior-2026-10-06-v1</t>
        </is>
      </c>
      <c r="AA370" s="14" t="inlineStr">
        <is>
          <t>B</t>
        </is>
      </c>
      <c r="AB370" s="14" t="n">
        <v>0.005430569540265278</v>
      </c>
      <c r="AC370" s="14" t="n">
        <v>0.9778949647954873</v>
      </c>
      <c r="AD370" s="14" t="n">
        <v>-2</v>
      </c>
      <c r="AE370" s="14" t="n">
        <v>0</v>
      </c>
      <c r="AF370" s="14" t="n">
        <v>0</v>
      </c>
      <c r="AG370" s="14" t="n">
        <v>0.8257801505358989</v>
      </c>
      <c r="AH370" s="14" t="n"/>
      <c r="AI370" s="14" t="n"/>
      <c r="AJ370" s="14" t="n">
        <v>0.8257801505358989</v>
      </c>
      <c r="AK370" s="14" t="n"/>
      <c r="AL370" s="14" t="n"/>
      <c r="AM370" s="14" t="inlineStr">
        <is>
          <t>EVALUATED</t>
        </is>
      </c>
      <c r="AN370" s="14" t="inlineStr">
        <is>
          <t>RECEIVING_VALIDATED_EDGE;BUCKET_PRIOR_ONLY;INTENT_INTERPRETATION_ONLY;FFL_OPTIONAL;EXPERT_MARKET</t>
        </is>
      </c>
      <c r="AO370" s="14" t="inlineStr">
        <is>
          <t>9673f2a8ff0629f1e8e4</t>
        </is>
      </c>
      <c r="AP370" s="14" t="n">
        <v>1.25</v>
      </c>
      <c r="AQ370" s="14" t="n">
        <v>0.85</v>
      </c>
      <c r="AR370" s="14" t="n">
        <v>-1.25</v>
      </c>
      <c r="AS370" s="14" t="n">
        <v>1.25</v>
      </c>
      <c r="AT370" s="14" t="n">
        <v>0.85</v>
      </c>
      <c r="AU370" s="14" t="n">
        <v>0.95</v>
      </c>
      <c r="AV370" s="14" t="inlineStr">
        <is>
          <t>2026-10-06T08:45:29.718562+08:00</t>
        </is>
      </c>
      <c r="AW370" s="14" t="inlineStr">
        <is>
          <t>Titan007/V4</t>
        </is>
      </c>
      <c r="AX370" s="14" t="inlineStr">
        <is>
          <t>Daily append；市场输入缺失时不生成决策</t>
        </is>
      </c>
      <c r="AY370" s="14" t="n"/>
    </row>
    <row r="371" ht="22" customHeight="1" s="39">
      <c r="A371" s="14" t="inlineStr">
        <is>
          <t>2026-10-06</t>
        </is>
      </c>
      <c r="B371" s="14" t="inlineStr">
        <is>
          <t>2026-10-07T07:30:00+08:00</t>
        </is>
      </c>
      <c r="C371" s="14" t="inlineStr">
        <is>
          <t>CLUB_LEAGUE</t>
        </is>
      </c>
      <c r="D371" s="14" t="n"/>
      <c r="E371" s="14" t="inlineStr">
        <is>
          <t>巴西乙</t>
        </is>
      </c>
      <c r="F371" s="14" t="inlineStr">
        <is>
          <t>戈伊亚斯 vs 巴西竞技</t>
        </is>
      </c>
      <c r="G371" s="26" t="n">
        <v>0.84</v>
      </c>
      <c r="H371" s="26" t="n">
        <v>0.5</v>
      </c>
      <c r="I371" s="26" t="n">
        <v>1.04</v>
      </c>
      <c r="J371" s="26" t="inlineStr">
        <is>
          <t>0.84/0.5/1.04</t>
        </is>
      </c>
      <c r="K371" s="14" t="inlineStr">
        <is>
          <t>V4-B</t>
        </is>
      </c>
      <c r="L371" s="14" t="inlineStr">
        <is>
          <t>戈伊亚斯</t>
        </is>
      </c>
      <c r="M371" s="47" t="n">
        <v>0.6398062579528462</v>
      </c>
      <c r="N371" s="14" t="inlineStr">
        <is>
          <t>V4 Shadow Only；real_money=false</t>
        </is>
      </c>
      <c r="O371" s="14" t="inlineStr">
        <is>
          <t>0-0</t>
        </is>
      </c>
      <c r="P371" s="14" t="inlineStr">
        <is>
          <t>EVALUATED</t>
        </is>
      </c>
      <c r="Q371" s="14" t="inlineStr">
        <is>
          <t>B</t>
        </is>
      </c>
      <c r="R371" s="48" t="n">
        <v>0.84</v>
      </c>
      <c r="S371" s="48" t="n"/>
      <c r="T371" s="14" t="inlineStr">
        <is>
          <t>D:\codex\outputs\football_odds_trader\decision_versions\2026-10-06\RUN_20261006_084027\slate_raw.csv</t>
        </is>
      </c>
      <c r="U371" s="14" t="n"/>
      <c r="V371" s="48" t="n"/>
      <c r="W371" s="48" t="n"/>
      <c r="X371" s="14" t="inlineStr">
        <is>
          <t>2940219</t>
        </is>
      </c>
      <c r="Y371" s="14" t="inlineStr">
        <is>
          <t>V4</t>
        </is>
      </c>
      <c r="Z371" s="14" t="inlineStr">
        <is>
          <t>prior-2026-10-06-v1</t>
        </is>
      </c>
      <c r="AA371" s="14" t="inlineStr">
        <is>
          <t>B</t>
        </is>
      </c>
      <c r="AB371" s="14" t="n">
        <v>0.6398062579528462</v>
      </c>
      <c r="AC371" s="14" t="n">
        <v>0.3601937420471538</v>
      </c>
      <c r="AD371" s="14" t="n">
        <v>1</v>
      </c>
      <c r="AE371" s="14" t="n"/>
      <c r="AF371" s="14" t="n"/>
      <c r="AG371" s="14" t="n">
        <v>0.177243514633237</v>
      </c>
      <c r="AH371" s="14" t="n"/>
      <c r="AI371" s="14" t="n"/>
      <c r="AJ371" s="14" t="n">
        <v>0.177243514633237</v>
      </c>
      <c r="AK371" s="14" t="n"/>
      <c r="AL371" s="14" t="n"/>
      <c r="AM371" s="14" t="inlineStr">
        <is>
          <t>EVALUATED</t>
        </is>
      </c>
      <c r="AN371" s="14" t="inlineStr">
        <is>
          <t>GIVING_VALIDATED_EDGE;BUCKET_PRIOR_ONLY;INTENT_INTERPRETATION_ONLY;FFL_OPTIONAL;EXPERT_MARKET</t>
        </is>
      </c>
      <c r="AO371" s="14" t="inlineStr">
        <is>
          <t>a80341e6a924df0323e6</t>
        </is>
      </c>
      <c r="AP371" s="14" t="n">
        <v>-0.5</v>
      </c>
      <c r="AQ371" s="14" t="n">
        <v>0.84</v>
      </c>
      <c r="AR371" s="14" t="n">
        <v>0.5</v>
      </c>
      <c r="AS371" s="14" t="n">
        <v>-0.5</v>
      </c>
      <c r="AT371" s="14" t="n">
        <v>0.84</v>
      </c>
      <c r="AU371" s="14" t="n">
        <v>1.04</v>
      </c>
      <c r="AV371" s="14" t="inlineStr">
        <is>
          <t>2026-10-06T08:45:29.718562+08:00</t>
        </is>
      </c>
      <c r="AW371" s="14" t="inlineStr">
        <is>
          <t>Titan007/V4</t>
        </is>
      </c>
      <c r="AX371" s="14" t="inlineStr">
        <is>
          <t>Daily append；市场输入缺失时不生成决策</t>
        </is>
      </c>
      <c r="AY371" s="14" t="n"/>
    </row>
    <row r="372" ht="22" customHeight="1" s="39">
      <c r="A372" s="14" t="inlineStr">
        <is>
          <t>2026-10-06</t>
        </is>
      </c>
      <c r="B372" s="14" t="inlineStr">
        <is>
          <t>2026-10-07T08:35:00+08:00</t>
        </is>
      </c>
      <c r="C372" s="14" t="inlineStr">
        <is>
          <t>CLUB_LEAGUE</t>
        </is>
      </c>
      <c r="D372" s="14" t="n"/>
      <c r="E372" s="14" t="inlineStr">
        <is>
          <t>巴西乙</t>
        </is>
      </c>
      <c r="F372" s="14" t="inlineStr">
        <is>
          <t>庞特普雷塔 vs 尤文图德</t>
        </is>
      </c>
      <c r="G372" s="26" t="n">
        <v>0.85</v>
      </c>
      <c r="H372" s="26" t="n">
        <v>-1.5</v>
      </c>
      <c r="I372" s="26" t="n">
        <v>1.03</v>
      </c>
      <c r="J372" s="26" t="inlineStr">
        <is>
          <t>0.85/-1.5/1.03</t>
        </is>
      </c>
      <c r="K372" s="14" t="inlineStr">
        <is>
          <t>V4-B</t>
        </is>
      </c>
      <c r="L372" s="14" t="inlineStr">
        <is>
          <t>庞特普雷塔</t>
        </is>
      </c>
      <c r="M372" s="47" t="n">
        <v>0.001807631866494382</v>
      </c>
      <c r="N372" s="14" t="inlineStr">
        <is>
          <t>V4 Shadow Only；real_money=false</t>
        </is>
      </c>
      <c r="O372" s="14" t="inlineStr">
        <is>
          <t>0-0</t>
        </is>
      </c>
      <c r="P372" s="14" t="inlineStr">
        <is>
          <t>EVALUATED</t>
        </is>
      </c>
      <c r="Q372" s="14" t="inlineStr">
        <is>
          <t>B</t>
        </is>
      </c>
      <c r="R372" s="48" t="n">
        <v>0.85</v>
      </c>
      <c r="S372" s="48" t="n"/>
      <c r="T372" s="14" t="inlineStr">
        <is>
          <t>D:\codex\outputs\football_odds_trader\decision_versions\2026-10-06\RUN_20261006_084027\slate_raw.csv</t>
        </is>
      </c>
      <c r="U372" s="14" t="n"/>
      <c r="V372" s="48" t="n"/>
      <c r="W372" s="48" t="n"/>
      <c r="X372" s="14" t="inlineStr">
        <is>
          <t>2940222</t>
        </is>
      </c>
      <c r="Y372" s="14" t="inlineStr">
        <is>
          <t>V4</t>
        </is>
      </c>
      <c r="Z372" s="14" t="inlineStr">
        <is>
          <t>prior-2026-10-06-v1</t>
        </is>
      </c>
      <c r="AA372" s="14" t="inlineStr">
        <is>
          <t>B</t>
        </is>
      </c>
      <c r="AB372" s="14" t="n">
        <v>0.001807631866494382</v>
      </c>
      <c r="AC372" s="14" t="n">
        <v>0.9981923681335056</v>
      </c>
      <c r="AD372" s="14" t="n">
        <v>-2.25</v>
      </c>
      <c r="AE372" s="14" t="n">
        <v>0</v>
      </c>
      <c r="AF372" s="14" t="n">
        <v>0</v>
      </c>
      <c r="AG372" s="14" t="n">
        <v>0.8466558810469854</v>
      </c>
      <c r="AH372" s="14" t="n"/>
      <c r="AI372" s="14" t="n"/>
      <c r="AJ372" s="14" t="n">
        <v>0.8466558810469854</v>
      </c>
      <c r="AK372" s="14" t="n"/>
      <c r="AL372" s="14" t="n"/>
      <c r="AM372" s="14" t="inlineStr">
        <is>
          <t>EVALUATED</t>
        </is>
      </c>
      <c r="AN372" s="14" t="inlineStr">
        <is>
          <t>RECEIVING_VALIDATED_EDGE;BUCKET_PRIOR_ONLY;INTENT_INTERPRETATION_ONLY;FFL_OPTIONAL;EXPERT_MARKET</t>
        </is>
      </c>
      <c r="AO372" s="14" t="inlineStr">
        <is>
          <t>0a872188ae068d63eab5</t>
        </is>
      </c>
      <c r="AP372" s="14" t="n">
        <v>1.5</v>
      </c>
      <c r="AQ372" s="14" t="n">
        <v>0.85</v>
      </c>
      <c r="AR372" s="14" t="n">
        <v>-1.5</v>
      </c>
      <c r="AS372" s="14" t="n">
        <v>1.5</v>
      </c>
      <c r="AT372" s="14" t="n">
        <v>0.85</v>
      </c>
      <c r="AU372" s="14" t="n">
        <v>1.03</v>
      </c>
      <c r="AV372" s="14" t="inlineStr">
        <is>
          <t>2026-10-06T08:45:29.718562+08:00</t>
        </is>
      </c>
      <c r="AW372" s="14" t="inlineStr">
        <is>
          <t>Titan007/V4</t>
        </is>
      </c>
      <c r="AX372" s="14" t="inlineStr">
        <is>
          <t>Daily append；市场输入缺失时不生成决策</t>
        </is>
      </c>
      <c r="AY372" s="14" t="n"/>
    </row>
    <row r="373" ht="22" customHeight="1" s="39">
      <c r="A373" s="14" t="inlineStr">
        <is>
          <t>2026-10-06</t>
        </is>
      </c>
      <c r="B373" s="14" t="inlineStr">
        <is>
          <t>2026-10-07T06:30:00+08:00</t>
        </is>
      </c>
      <c r="C373" s="14" t="inlineStr">
        <is>
          <t>CLUB_LEAGUE</t>
        </is>
      </c>
      <c r="D373" s="14" t="n"/>
      <c r="E373" s="14" t="inlineStr">
        <is>
          <t>巴西乙</t>
        </is>
      </c>
      <c r="F373" s="14" t="inlineStr">
        <is>
          <t>累西腓体育 vs 圣贝纳多</t>
        </is>
      </c>
      <c r="G373" s="26" t="n">
        <v>0.89</v>
      </c>
      <c r="H373" s="26" t="n">
        <v>0.5</v>
      </c>
      <c r="I373" s="26" t="n">
        <v>0.99</v>
      </c>
      <c r="J373" s="26" t="inlineStr">
        <is>
          <t>0.89/0.5/0.99</t>
        </is>
      </c>
      <c r="K373" s="14" t="inlineStr">
        <is>
          <t>V4-B</t>
        </is>
      </c>
      <c r="L373" s="14" t="inlineStr">
        <is>
          <t>累西腓体育</t>
        </is>
      </c>
      <c r="M373" s="47" t="n">
        <v>0.5876013944951181</v>
      </c>
      <c r="N373" s="14" t="inlineStr">
        <is>
          <t>V4 Shadow Only；real_money=false</t>
        </is>
      </c>
      <c r="O373" s="14" t="inlineStr">
        <is>
          <t>2-1</t>
        </is>
      </c>
      <c r="P373" s="14" t="inlineStr">
        <is>
          <t>已结算</t>
        </is>
      </c>
      <c r="Q373" s="14" t="inlineStr">
        <is>
          <t>红</t>
        </is>
      </c>
      <c r="R373" s="48" t="n">
        <v>0.89</v>
      </c>
      <c r="S373" s="48" t="n">
        <v>0.89</v>
      </c>
      <c r="T373" s="14" t="inlineStr">
        <is>
          <t>D:\codex\outputs\football_odds_trader\decision_versions\2026-10-06\RUN_20261006_084027\slate_raw.csv</t>
        </is>
      </c>
      <c r="U373" s="14" t="n"/>
      <c r="V373" s="48" t="n"/>
      <c r="W373" s="48" t="n"/>
      <c r="X373" s="14" t="inlineStr">
        <is>
          <t>2940223</t>
        </is>
      </c>
      <c r="Y373" s="14" t="inlineStr">
        <is>
          <t>V4</t>
        </is>
      </c>
      <c r="Z373" s="14" t="inlineStr">
        <is>
          <t>prior-2026-10-06-v1</t>
        </is>
      </c>
      <c r="AA373" s="14" t="inlineStr">
        <is>
          <t>B</t>
        </is>
      </c>
      <c r="AB373" s="14" t="n">
        <v>0.5876013944951181</v>
      </c>
      <c r="AC373" s="14" t="n">
        <v>0.4123986055048819</v>
      </c>
      <c r="AD373" s="14" t="n">
        <v>1</v>
      </c>
      <c r="AE373" s="14" t="n"/>
      <c r="AF373" s="14" t="n"/>
      <c r="AG373" s="14" t="n">
        <v>0.1105666355957732</v>
      </c>
      <c r="AH373" s="14" t="n"/>
      <c r="AI373" s="14" t="n"/>
      <c r="AJ373" s="14" t="n">
        <v>0.1105666355957732</v>
      </c>
      <c r="AK373" s="14" t="n"/>
      <c r="AL373" s="14" t="n"/>
      <c r="AM373" s="14" t="inlineStr">
        <is>
          <t>EVALUATED</t>
        </is>
      </c>
      <c r="AN373" s="14" t="inlineStr">
        <is>
          <t>GIVING_VALIDATED_EDGE;BUCKET_PRIOR_ONLY;INTENT_INTERPRETATION_ONLY;FFL_OPTIONAL;EXPERT_MARKET</t>
        </is>
      </c>
      <c r="AO373" s="14" t="inlineStr">
        <is>
          <t>998ac97b3bdd8238e1ae</t>
        </is>
      </c>
      <c r="AP373" s="14" t="n">
        <v>-0.5</v>
      </c>
      <c r="AQ373" s="14" t="n">
        <v>0.89</v>
      </c>
      <c r="AR373" s="14" t="n">
        <v>0.5</v>
      </c>
      <c r="AS373" s="14" t="n">
        <v>-0.5</v>
      </c>
      <c r="AT373" s="14" t="n">
        <v>0.89</v>
      </c>
      <c r="AU373" s="14" t="n">
        <v>0.99</v>
      </c>
      <c r="AV373" s="14" t="inlineStr">
        <is>
          <t>2026-10-06T08:45:29.718562+08:00</t>
        </is>
      </c>
      <c r="AW373" s="14" t="inlineStr">
        <is>
          <t>Titan007/V4</t>
        </is>
      </c>
      <c r="AX373" s="14" t="inlineStr">
        <is>
          <t>Daily append；市场输入缺失时不生成决策</t>
        </is>
      </c>
      <c r="AY373" s="14" t="n"/>
    </row>
    <row r="374" ht="22" customHeight="1" s="39">
      <c r="A374" s="14" t="inlineStr">
        <is>
          <t>2026-10-06</t>
        </is>
      </c>
      <c r="B374" s="14" t="inlineStr">
        <is>
          <t>2026-10-06T19:30:00+08:00</t>
        </is>
      </c>
      <c r="C374" s="14" t="inlineStr">
        <is>
          <t>CLUB_LEAGUE</t>
        </is>
      </c>
      <c r="D374" s="14" t="n"/>
      <c r="E374" s="14" t="inlineStr">
        <is>
          <t>中甲</t>
        </is>
      </c>
      <c r="F374" s="14" t="inlineStr">
        <is>
          <t>南通支云 vs 宁波职业足球俱乐部</t>
        </is>
      </c>
      <c r="G374" s="26" t="n">
        <v>0.65</v>
      </c>
      <c r="H374" s="26" t="n">
        <v>1</v>
      </c>
      <c r="I374" s="26" t="n">
        <v>1.05</v>
      </c>
      <c r="J374" s="26" t="inlineStr">
        <is>
          <t>0.65/1.0/1.05</t>
        </is>
      </c>
      <c r="K374" s="14" t="inlineStr">
        <is>
          <t>V4-B</t>
        </is>
      </c>
      <c r="L374" s="14" t="inlineStr">
        <is>
          <t>南通支云</t>
        </is>
      </c>
      <c r="M374" s="47" t="n">
        <v>0.5589470983005795</v>
      </c>
      <c r="N374" s="14" t="inlineStr">
        <is>
          <t>V4 Shadow Only；real_money=false</t>
        </is>
      </c>
      <c r="O374" s="14" t="inlineStr">
        <is>
          <t>1-0</t>
        </is>
      </c>
      <c r="P374" s="14" t="inlineStr">
        <is>
          <t>已结算</t>
        </is>
      </c>
      <c r="Q374" s="14" t="inlineStr">
        <is>
          <t>走</t>
        </is>
      </c>
      <c r="R374" s="48" t="n">
        <v>0.65</v>
      </c>
      <c r="S374" s="48" t="n">
        <v>0</v>
      </c>
      <c r="T374" s="14" t="inlineStr">
        <is>
          <t>D:\codex\outputs\football_odds_trader\decision_versions\2026-10-06\RUN_20261006_084027\slate_raw.csv</t>
        </is>
      </c>
      <c r="U374" s="14" t="n"/>
      <c r="V374" s="48" t="n"/>
      <c r="W374" s="48" t="n"/>
      <c r="X374" s="14" t="inlineStr">
        <is>
          <t>2951663</t>
        </is>
      </c>
      <c r="Y374" s="14" t="inlineStr">
        <is>
          <t>V4</t>
        </is>
      </c>
      <c r="Z374" s="14" t="inlineStr">
        <is>
          <t>prior-2026-10-06-v1</t>
        </is>
      </c>
      <c r="AA374" s="14" t="inlineStr">
        <is>
          <t>B</t>
        </is>
      </c>
      <c r="AB374" s="14" t="n">
        <v>0.5589470983005795</v>
      </c>
      <c r="AC374" s="14" t="n">
        <v>0.1990412626757523</v>
      </c>
      <c r="AD374" s="14" t="n">
        <v>1.75</v>
      </c>
      <c r="AE374" s="14" t="n"/>
      <c r="AF374" s="14" t="n"/>
      <c r="AG374" s="14" t="n">
        <v>0.1642743512196244</v>
      </c>
      <c r="AH374" s="14" t="n"/>
      <c r="AI374" s="14" t="n"/>
      <c r="AJ374" s="14" t="n">
        <v>0.1642743512196244</v>
      </c>
      <c r="AK374" s="14" t="n"/>
      <c r="AL374" s="14" t="n"/>
      <c r="AM374" s="14" t="inlineStr">
        <is>
          <t>EVALUATED</t>
        </is>
      </c>
      <c r="AN374" s="14" t="inlineStr">
        <is>
          <t>GIVING_VALIDATED_EDGE;BUCKET_PRIOR_ONLY;INTENT_INTERPRETATION_ONLY;FFL_OPTIONAL;EXPERT_MARKET</t>
        </is>
      </c>
      <c r="AO374" s="14" t="inlineStr">
        <is>
          <t>724c48ac81cbb0c73e05</t>
        </is>
      </c>
      <c r="AP374" s="14" t="n">
        <v>-1</v>
      </c>
      <c r="AQ374" s="14" t="n">
        <v>0.65</v>
      </c>
      <c r="AR374" s="14" t="n">
        <v>1</v>
      </c>
      <c r="AS374" s="14" t="n">
        <v>-1</v>
      </c>
      <c r="AT374" s="14" t="n">
        <v>0.65</v>
      </c>
      <c r="AU374" s="14" t="n">
        <v>1.05</v>
      </c>
      <c r="AV374" s="14" t="inlineStr">
        <is>
          <t>2026-10-06T08:45:29.718562+08:00</t>
        </is>
      </c>
      <c r="AW374" s="14" t="inlineStr">
        <is>
          <t>Titan007/V4</t>
        </is>
      </c>
      <c r="AX374" s="14" t="inlineStr">
        <is>
          <t>Daily append；市场输入缺失时不生成决策</t>
        </is>
      </c>
      <c r="AY374" s="14" t="n"/>
    </row>
    <row r="375" ht="22" customHeight="1" s="39">
      <c r="A375" s="14" t="inlineStr">
        <is>
          <t>2026-10-06</t>
        </is>
      </c>
      <c r="B375" s="14" t="inlineStr">
        <is>
          <t>2026-10-07T02:45:00+08:00</t>
        </is>
      </c>
      <c r="C375" s="14" t="n"/>
      <c r="D375" s="14" t="n"/>
      <c r="E375" s="14" t="inlineStr">
        <is>
          <t>欧国联</t>
        </is>
      </c>
      <c r="F375" s="14" t="inlineStr">
        <is>
          <t>克罗地亚 vs 西班牙</t>
        </is>
      </c>
      <c r="G375" s="26" t="n">
        <v>0.98</v>
      </c>
      <c r="H375" s="26" t="n">
        <v>-1.75</v>
      </c>
      <c r="I375" s="26" t="n">
        <v>0.9</v>
      </c>
      <c r="J375" s="26" t="inlineStr">
        <is>
          <t>0.98/-1.75/0.9</t>
        </is>
      </c>
      <c r="K375" s="14" t="inlineStr">
        <is>
          <t>V4-B</t>
        </is>
      </c>
      <c r="L375" s="14" t="inlineStr">
        <is>
          <t>克罗地亚</t>
        </is>
      </c>
      <c r="M375" s="47" t="n">
        <v>0.0003684188601443524</v>
      </c>
      <c r="N375" s="14" t="inlineStr">
        <is>
          <t>V4 Shadow Only；real_money=false</t>
        </is>
      </c>
      <c r="O375" s="14" t="inlineStr">
        <is>
          <t>1-2</t>
        </is>
      </c>
      <c r="P375" s="14" t="inlineStr">
        <is>
          <t>已结算</t>
        </is>
      </c>
      <c r="Q375" s="14" t="inlineStr">
        <is>
          <t>红</t>
        </is>
      </c>
      <c r="R375" s="48" t="n">
        <v>0.98</v>
      </c>
      <c r="S375" s="48" t="n">
        <v>0.98</v>
      </c>
      <c r="T375" s="14" t="inlineStr">
        <is>
          <t>D:\codex\outputs\football_odds_trader\decision_versions\2026-10-06\RUN_20261006_084027\slate_raw.csv</t>
        </is>
      </c>
      <c r="U375" s="14" t="n"/>
      <c r="V375" s="48" t="n"/>
      <c r="W375" s="48" t="n"/>
      <c r="X375" s="14" t="inlineStr">
        <is>
          <t>2981455</t>
        </is>
      </c>
      <c r="Y375" s="14" t="inlineStr">
        <is>
          <t>V4</t>
        </is>
      </c>
      <c r="Z375" s="14" t="inlineStr">
        <is>
          <t>prior-2026-10-06-v1</t>
        </is>
      </c>
      <c r="AA375" s="14" t="inlineStr">
        <is>
          <t>B</t>
        </is>
      </c>
      <c r="AB375" s="14" t="n">
        <v>0.0003684188601443524</v>
      </c>
      <c r="AC375" s="14" t="n">
        <v>0.9992938258750106</v>
      </c>
      <c r="AD375" s="14" t="n">
        <v>-2.5</v>
      </c>
      <c r="AE375" s="14" t="n">
        <v>0</v>
      </c>
      <c r="AF375" s="14" t="n">
        <v>0</v>
      </c>
      <c r="AG375" s="14" t="n">
        <v>0.978939530497366</v>
      </c>
      <c r="AH375" s="14" t="n"/>
      <c r="AI375" s="14" t="n"/>
      <c r="AJ375" s="14" t="n">
        <v>0.978939530497366</v>
      </c>
      <c r="AK375" s="14" t="n"/>
      <c r="AL375" s="14" t="n"/>
      <c r="AM375" s="14" t="inlineStr">
        <is>
          <t>EVALUATED</t>
        </is>
      </c>
      <c r="AN375" s="14" t="inlineStr">
        <is>
          <t>RECEIVING_VALIDATED_EDGE;BUCKET_PRIOR_ONLY;INTENT_INTERPRETATION_ONLY;FFL_OPTIONAL;EXPERT_MARKET</t>
        </is>
      </c>
      <c r="AO375" s="14" t="inlineStr">
        <is>
          <t>909352837fc7483dcdc8</t>
        </is>
      </c>
      <c r="AP375" s="14" t="n">
        <v>1.75</v>
      </c>
      <c r="AQ375" s="14" t="n">
        <v>0.98</v>
      </c>
      <c r="AR375" s="14" t="n">
        <v>-1.75</v>
      </c>
      <c r="AS375" s="14" t="n">
        <v>1.75</v>
      </c>
      <c r="AT375" s="14" t="n">
        <v>0.98</v>
      </c>
      <c r="AU375" s="14" t="n">
        <v>0.9</v>
      </c>
      <c r="AV375" s="14" t="inlineStr">
        <is>
          <t>2026-10-06T08:45:29.718562+08:00</t>
        </is>
      </c>
      <c r="AW375" s="14" t="inlineStr">
        <is>
          <t>Titan007/V4</t>
        </is>
      </c>
      <c r="AX375" s="14" t="inlineStr">
        <is>
          <t>Daily append；市场输入缺失时不生成决策</t>
        </is>
      </c>
      <c r="AY375" s="14" t="n"/>
    </row>
    <row r="376" ht="22" customHeight="1" s="39">
      <c r="A376" s="14" t="inlineStr">
        <is>
          <t>2026-10-06</t>
        </is>
      </c>
      <c r="B376" s="14" t="inlineStr">
        <is>
          <t>2026-10-07T02:45:00+08:00</t>
        </is>
      </c>
      <c r="C376" s="14" t="n"/>
      <c r="D376" s="14" t="n"/>
      <c r="E376" s="14" t="inlineStr">
        <is>
          <t>欧国联</t>
        </is>
      </c>
      <c r="F376" s="14" t="inlineStr">
        <is>
          <t>英格兰 vs 捷克</t>
        </is>
      </c>
      <c r="G376" s="26" t="n">
        <v>0.95</v>
      </c>
      <c r="H376" s="26" t="n">
        <v>2.5</v>
      </c>
      <c r="I376" s="26" t="n">
        <v>0.93</v>
      </c>
      <c r="J376" s="26" t="inlineStr">
        <is>
          <t>0.95/2.5/0.93</t>
        </is>
      </c>
      <c r="K376" s="14" t="inlineStr">
        <is>
          <t>V4-B</t>
        </is>
      </c>
      <c r="L376" s="14" t="inlineStr">
        <is>
          <t>英格兰</t>
        </is>
      </c>
      <c r="M376" s="47" t="n">
        <v>0.5769942374980358</v>
      </c>
      <c r="N376" s="14" t="inlineStr">
        <is>
          <t>V4 Shadow Only；real_money=false</t>
        </is>
      </c>
      <c r="O376" s="14" t="inlineStr">
        <is>
          <t>3-0</t>
        </is>
      </c>
      <c r="P376" s="14" t="inlineStr">
        <is>
          <t>已结算</t>
        </is>
      </c>
      <c r="Q376" s="14" t="inlineStr">
        <is>
          <t>红</t>
        </is>
      </c>
      <c r="R376" s="48" t="n">
        <v>0.95</v>
      </c>
      <c r="S376" s="48" t="n">
        <v>0.95</v>
      </c>
      <c r="T376" s="14" t="inlineStr">
        <is>
          <t>D:\codex\outputs\football_odds_trader\decision_versions\2026-10-06\RUN_20261006_084027\slate_raw.csv</t>
        </is>
      </c>
      <c r="U376" s="14" t="n"/>
      <c r="V376" s="48" t="n"/>
      <c r="W376" s="48" t="n"/>
      <c r="X376" s="14" t="inlineStr">
        <is>
          <t>2981456</t>
        </is>
      </c>
      <c r="Y376" s="14" t="inlineStr">
        <is>
          <t>V4</t>
        </is>
      </c>
      <c r="Z376" s="14" t="inlineStr">
        <is>
          <t>prior-2026-10-06-v1</t>
        </is>
      </c>
      <c r="AA376" s="14" t="inlineStr">
        <is>
          <t>B</t>
        </is>
      </c>
      <c r="AB376" s="14" t="n">
        <v>0.5769942374980358</v>
      </c>
      <c r="AC376" s="14" t="n">
        <v>0.4230057625019641</v>
      </c>
      <c r="AD376" s="14" t="n">
        <v>3.5</v>
      </c>
      <c r="AE376" s="14" t="n"/>
      <c r="AF376" s="14" t="n"/>
      <c r="AG376" s="14" t="n">
        <v>0.1251387631211698</v>
      </c>
      <c r="AH376" s="14" t="n"/>
      <c r="AI376" s="14" t="n"/>
      <c r="AJ376" s="14" t="n">
        <v>0.1251387631211698</v>
      </c>
      <c r="AK376" s="14" t="n"/>
      <c r="AL376" s="14" t="n"/>
      <c r="AM376" s="14" t="inlineStr">
        <is>
          <t>EVALUATED</t>
        </is>
      </c>
      <c r="AN376" s="14" t="inlineStr">
        <is>
          <t>GIVING_VALIDATED_EDGE;BUCKET_PRIOR_ONLY;INTENT_INTERPRETATION_ONLY;FFL_OPTIONAL;EXPERT_MARKET</t>
        </is>
      </c>
      <c r="AO376" s="14" t="inlineStr">
        <is>
          <t>7dcefdd716427c037837</t>
        </is>
      </c>
      <c r="AP376" s="14" t="n">
        <v>-2.5</v>
      </c>
      <c r="AQ376" s="14" t="n">
        <v>0.95</v>
      </c>
      <c r="AR376" s="14" t="n">
        <v>2.5</v>
      </c>
      <c r="AS376" s="14" t="n">
        <v>-2.5</v>
      </c>
      <c r="AT376" s="14" t="n">
        <v>0.95</v>
      </c>
      <c r="AU376" s="14" t="n">
        <v>0.93</v>
      </c>
      <c r="AV376" s="14" t="inlineStr">
        <is>
          <t>2026-10-06T08:45:29.718562+08:00</t>
        </is>
      </c>
      <c r="AW376" s="14" t="inlineStr">
        <is>
          <t>Titan007/V4</t>
        </is>
      </c>
      <c r="AX376" s="14" t="inlineStr">
        <is>
          <t>Daily append；市场输入缺失时不生成决策</t>
        </is>
      </c>
      <c r="AY376" s="14" t="n"/>
    </row>
    <row r="377" ht="22" customHeight="1" s="39">
      <c r="A377" s="14" t="inlineStr">
        <is>
          <t>2026-10-06</t>
        </is>
      </c>
      <c r="B377" s="14" t="inlineStr">
        <is>
          <t>2026-10-07T02:45:00+08:00</t>
        </is>
      </c>
      <c r="C377" s="14" t="n"/>
      <c r="D377" s="14" t="n"/>
      <c r="E377" s="14" t="inlineStr">
        <is>
          <t>欧国联</t>
        </is>
      </c>
      <c r="F377" s="14" t="inlineStr">
        <is>
          <t>瑞士 vs 北马其顿</t>
        </is>
      </c>
      <c r="G377" s="26" t="n">
        <v>0.91</v>
      </c>
      <c r="H377" s="26" t="n">
        <v>2.5</v>
      </c>
      <c r="I377" s="26" t="n">
        <v>0.97</v>
      </c>
      <c r="J377" s="26" t="inlineStr">
        <is>
          <t>0.91/2.5/0.97</t>
        </is>
      </c>
      <c r="K377" s="14" t="inlineStr">
        <is>
          <t>V4-B</t>
        </is>
      </c>
      <c r="L377" s="14" t="inlineStr">
        <is>
          <t>瑞士</t>
        </is>
      </c>
      <c r="M377" s="47" t="n">
        <v>0.5891456942192262</v>
      </c>
      <c r="N377" s="14" t="inlineStr">
        <is>
          <t>V4 Shadow Only；real_money=false</t>
        </is>
      </c>
      <c r="O377" s="14" t="inlineStr">
        <is>
          <t>3-0</t>
        </is>
      </c>
      <c r="P377" s="14" t="inlineStr">
        <is>
          <t>已结算</t>
        </is>
      </c>
      <c r="Q377" s="14" t="inlineStr">
        <is>
          <t>红</t>
        </is>
      </c>
      <c r="R377" s="48" t="n">
        <v>0.91</v>
      </c>
      <c r="S377" s="48" t="n">
        <v>0.91</v>
      </c>
      <c r="T377" s="14" t="inlineStr">
        <is>
          <t>D:\codex\outputs\football_odds_trader\decision_versions\2026-10-06\RUN_20261006_084027\slate_raw.csv</t>
        </is>
      </c>
      <c r="U377" s="14" t="n"/>
      <c r="V377" s="48" t="n"/>
      <c r="W377" s="48" t="n"/>
      <c r="X377" s="14" t="inlineStr">
        <is>
          <t>2981505</t>
        </is>
      </c>
      <c r="Y377" s="14" t="inlineStr">
        <is>
          <t>V4</t>
        </is>
      </c>
      <c r="Z377" s="14" t="inlineStr">
        <is>
          <t>prior-2026-10-06-v1</t>
        </is>
      </c>
      <c r="AA377" s="14" t="inlineStr">
        <is>
          <t>B</t>
        </is>
      </c>
      <c r="AB377" s="14" t="n">
        <v>0.5891456942192262</v>
      </c>
      <c r="AC377" s="14" t="n">
        <v>0.4108543057807738</v>
      </c>
      <c r="AD377" s="14" t="n">
        <v>3.75</v>
      </c>
      <c r="AE377" s="14" t="n"/>
      <c r="AF377" s="14" t="n"/>
      <c r="AG377" s="14" t="n">
        <v>0.1252682759587221</v>
      </c>
      <c r="AH377" s="14" t="n"/>
      <c r="AI377" s="14" t="n"/>
      <c r="AJ377" s="14" t="n">
        <v>0.1252682759587221</v>
      </c>
      <c r="AK377" s="14" t="n"/>
      <c r="AL377" s="14" t="n"/>
      <c r="AM377" s="14" t="inlineStr">
        <is>
          <t>EVALUATED</t>
        </is>
      </c>
      <c r="AN377" s="14" t="inlineStr">
        <is>
          <t>GIVING_VALIDATED_EDGE;BUCKET_PRIOR_ONLY;INTENT_INTERPRETATION_ONLY;FFL_OPTIONAL;EXPERT_MARKET</t>
        </is>
      </c>
      <c r="AO377" s="14" t="inlineStr">
        <is>
          <t>0933e98aad752ef7a19b</t>
        </is>
      </c>
      <c r="AP377" s="14" t="n">
        <v>-2.5</v>
      </c>
      <c r="AQ377" s="14" t="n">
        <v>0.91</v>
      </c>
      <c r="AR377" s="14" t="n">
        <v>2.5</v>
      </c>
      <c r="AS377" s="14" t="n">
        <v>-2.5</v>
      </c>
      <c r="AT377" s="14" t="n">
        <v>0.91</v>
      </c>
      <c r="AU377" s="14" t="n">
        <v>0.97</v>
      </c>
      <c r="AV377" s="14" t="inlineStr">
        <is>
          <t>2026-10-06T08:45:29.718562+08:00</t>
        </is>
      </c>
      <c r="AW377" s="14" t="inlineStr">
        <is>
          <t>Titan007/V4</t>
        </is>
      </c>
      <c r="AX377" s="14" t="inlineStr">
        <is>
          <t>Daily append；市场输入缺失时不生成决策</t>
        </is>
      </c>
      <c r="AY377" s="14" t="n"/>
    </row>
    <row r="378" ht="22" customHeight="1" s="39">
      <c r="A378" s="14" t="inlineStr">
        <is>
          <t>2026-10-06</t>
        </is>
      </c>
      <c r="B378" s="14" t="inlineStr">
        <is>
          <t>2026-10-07T02:45:00+08:00</t>
        </is>
      </c>
      <c r="C378" s="14" t="n"/>
      <c r="D378" s="14" t="n"/>
      <c r="E378" s="14" t="inlineStr">
        <is>
          <t>欧国联</t>
        </is>
      </c>
      <c r="F378" s="14" t="inlineStr">
        <is>
          <t>苏格兰 vs 斯洛文尼亚</t>
        </is>
      </c>
      <c r="G378" s="26" t="n">
        <v>1.01</v>
      </c>
      <c r="H378" s="26" t="n">
        <v>0.75</v>
      </c>
      <c r="I378" s="26" t="n">
        <v>0.87</v>
      </c>
      <c r="J378" s="26" t="inlineStr">
        <is>
          <t>1.01/0.75/0.87</t>
        </is>
      </c>
      <c r="K378" s="14" t="inlineStr">
        <is>
          <t>V4-B</t>
        </is>
      </c>
      <c r="L378" s="14" t="inlineStr">
        <is>
          <t>苏格兰</t>
        </is>
      </c>
      <c r="M378" s="47" t="n">
        <v>0.5244032205652773</v>
      </c>
      <c r="N378" s="14" t="inlineStr">
        <is>
          <t>V4 Shadow Only；real_money=false</t>
        </is>
      </c>
      <c r="O378" s="14" t="inlineStr">
        <is>
          <t>1-2</t>
        </is>
      </c>
      <c r="P378" s="14" t="inlineStr">
        <is>
          <t>已结算</t>
        </is>
      </c>
      <c r="Q378" s="14" t="inlineStr">
        <is>
          <t>黑</t>
        </is>
      </c>
      <c r="R378" s="48" t="n">
        <v>1.01</v>
      </c>
      <c r="S378" s="48" t="n">
        <v>-1</v>
      </c>
      <c r="T378" s="14" t="inlineStr">
        <is>
          <t>D:\codex\outputs\football_odds_trader\decision_versions\2026-10-06\RUN_20261006_084027\slate_raw.csv</t>
        </is>
      </c>
      <c r="U378" s="14" t="n"/>
      <c r="V378" s="48" t="n"/>
      <c r="W378" s="48" t="n"/>
      <c r="X378" s="14" t="inlineStr">
        <is>
          <t>2981506</t>
        </is>
      </c>
      <c r="Y378" s="14" t="inlineStr">
        <is>
          <t>V4</t>
        </is>
      </c>
      <c r="Z378" s="14" t="inlineStr">
        <is>
          <t>prior-2026-10-06-v1</t>
        </is>
      </c>
      <c r="AA378" s="14" t="inlineStr">
        <is>
          <t>B</t>
        </is>
      </c>
      <c r="AB378" s="14" t="n">
        <v>0.5244032205652773</v>
      </c>
      <c r="AC378" s="14" t="n">
        <v>0.3466105604853256</v>
      </c>
      <c r="AD378" s="14" t="n">
        <v>1.25</v>
      </c>
      <c r="AE378" s="14" t="n"/>
      <c r="AF378" s="14" t="n"/>
      <c r="AG378" s="14" t="n">
        <v>0.1830366922856046</v>
      </c>
      <c r="AH378" s="14" t="n"/>
      <c r="AI378" s="14" t="n"/>
      <c r="AJ378" s="14" t="n">
        <v>0.1830366922856046</v>
      </c>
      <c r="AK378" s="14" t="n"/>
      <c r="AL378" s="14" t="n"/>
      <c r="AM378" s="14" t="inlineStr">
        <is>
          <t>EVALUATED</t>
        </is>
      </c>
      <c r="AN378" s="14" t="inlineStr">
        <is>
          <t>GIVING_VALIDATED_EDGE;BUCKET_PRIOR_ONLY;INTENT_INTERPRETATION_ONLY;FFL_OPTIONAL;EXPERT_MARKET</t>
        </is>
      </c>
      <c r="AO378" s="14" t="inlineStr">
        <is>
          <t>5eb354e93f9c02092a98</t>
        </is>
      </c>
      <c r="AP378" s="14" t="n">
        <v>-0.75</v>
      </c>
      <c r="AQ378" s="14" t="n">
        <v>1.01</v>
      </c>
      <c r="AR378" s="14" t="n">
        <v>0.75</v>
      </c>
      <c r="AS378" s="14" t="n">
        <v>-0.75</v>
      </c>
      <c r="AT378" s="14" t="n">
        <v>1.01</v>
      </c>
      <c r="AU378" s="14" t="n">
        <v>0.87</v>
      </c>
      <c r="AV378" s="14" t="inlineStr">
        <is>
          <t>2026-10-06T08:45:29.718562+08:00</t>
        </is>
      </c>
      <c r="AW378" s="14" t="inlineStr">
        <is>
          <t>Titan007/V4</t>
        </is>
      </c>
      <c r="AX378" s="14" t="inlineStr">
        <is>
          <t>Daily append；市场输入缺失时不生成决策</t>
        </is>
      </c>
      <c r="AY378" s="14" t="n"/>
    </row>
    <row r="379" ht="22" customHeight="1" s="39">
      <c r="A379" s="14" t="inlineStr">
        <is>
          <t>2026-10-06</t>
        </is>
      </c>
      <c r="B379" s="14" t="inlineStr">
        <is>
          <t>2026-10-07T02:45:00+08:00</t>
        </is>
      </c>
      <c r="C379" s="14" t="n"/>
      <c r="D379" s="14" t="n"/>
      <c r="E379" s="14" t="inlineStr">
        <is>
          <t>欧国联</t>
        </is>
      </c>
      <c r="F379" s="14" t="inlineStr">
        <is>
          <t>阿尔巴尼亚 vs 圣马力诺</t>
        </is>
      </c>
      <c r="G379" s="26" t="n">
        <v>1.02</v>
      </c>
      <c r="H379" s="26" t="n">
        <v>3.75</v>
      </c>
      <c r="I379" s="26" t="n">
        <v>0.86</v>
      </c>
      <c r="J379" s="26" t="inlineStr">
        <is>
          <t>1.02/3.75/0.86</t>
        </is>
      </c>
      <c r="K379" s="14" t="inlineStr">
        <is>
          <t>V4-B</t>
        </is>
      </c>
      <c r="L379" s="14" t="inlineStr">
        <is>
          <t>圣马力诺</t>
        </is>
      </c>
      <c r="M379" s="47" t="n">
        <v>0.2889076113985675</v>
      </c>
      <c r="N379" s="14" t="inlineStr">
        <is>
          <t>V4 Shadow Only；real_money=false</t>
        </is>
      </c>
      <c r="O379" s="14" t="inlineStr">
        <is>
          <t>2-1</t>
        </is>
      </c>
      <c r="P379" s="14" t="inlineStr">
        <is>
          <t>已结算</t>
        </is>
      </c>
      <c r="Q379" s="14" t="inlineStr">
        <is>
          <t>红</t>
        </is>
      </c>
      <c r="R379" s="48" t="n">
        <v>0.86</v>
      </c>
      <c r="S379" s="48" t="n">
        <v>0.86</v>
      </c>
      <c r="T379" s="14" t="inlineStr">
        <is>
          <t>D:\codex\outputs\football_odds_trader\decision_versions\2026-10-06\RUN_20261006_084027\slate_raw.csv</t>
        </is>
      </c>
      <c r="U379" s="14" t="n"/>
      <c r="V379" s="48" t="n"/>
      <c r="W379" s="48" t="n"/>
      <c r="X379" s="14" t="inlineStr">
        <is>
          <t>2981550</t>
        </is>
      </c>
      <c r="Y379" s="14" t="inlineStr">
        <is>
          <t>V4</t>
        </is>
      </c>
      <c r="Z379" s="14" t="inlineStr">
        <is>
          <t>prior-2026-10-06-v1</t>
        </is>
      </c>
      <c r="AA379" s="14" t="inlineStr">
        <is>
          <t>B</t>
        </is>
      </c>
      <c r="AB379" s="14" t="n">
        <v>0.2889076113985675</v>
      </c>
      <c r="AC379" s="14" t="n">
        <v>0.6252938337973881</v>
      </c>
      <c r="AD379" s="14" t="n">
        <v>4.5</v>
      </c>
      <c r="AE379" s="14" t="n"/>
      <c r="AF379" s="14" t="n"/>
      <c r="AG379" s="14" t="n">
        <v>0.2488450856671863</v>
      </c>
      <c r="AH379" s="14" t="n"/>
      <c r="AI379" s="14" t="n"/>
      <c r="AJ379" s="14" t="n">
        <v>0.2488450856671863</v>
      </c>
      <c r="AK379" s="14" t="n"/>
      <c r="AL379" s="14" t="n"/>
      <c r="AM379" s="14" t="inlineStr">
        <is>
          <t>EVALUATED</t>
        </is>
      </c>
      <c r="AN379" s="14" t="inlineStr">
        <is>
          <t>RECEIVING_VALIDATED_EDGE;BUCKET_PRIOR_ONLY;INTENT_INTERPRETATION_ONLY;FFL_OPTIONAL;EXPERT_MARKET</t>
        </is>
      </c>
      <c r="AO379" s="14" t="inlineStr">
        <is>
          <t>19e04d08d2e1db86c56d</t>
        </is>
      </c>
      <c r="AP379" s="14" t="n">
        <v>3.75</v>
      </c>
      <c r="AQ379" s="14" t="n">
        <v>0.86</v>
      </c>
      <c r="AR379" s="14" t="n">
        <v>3.75</v>
      </c>
      <c r="AS379" s="14" t="n">
        <v>-3.75</v>
      </c>
      <c r="AT379" s="14" t="n">
        <v>1.02</v>
      </c>
      <c r="AU379" s="14" t="n">
        <v>0.86</v>
      </c>
      <c r="AV379" s="14" t="inlineStr">
        <is>
          <t>2026-10-06T08:45:29.718562+08:00</t>
        </is>
      </c>
      <c r="AW379" s="14" t="inlineStr">
        <is>
          <t>Titan007/V4</t>
        </is>
      </c>
      <c r="AX379" s="14" t="inlineStr">
        <is>
          <t>Daily append；市场输入缺失时不生成决策</t>
        </is>
      </c>
      <c r="AY379" s="14" t="n"/>
    </row>
    <row r="380" ht="22" customHeight="1" s="39">
      <c r="A380" s="14" t="inlineStr">
        <is>
          <t>2026-10-06</t>
        </is>
      </c>
      <c r="B380" s="14" t="inlineStr">
        <is>
          <t>2026-10-07T02:45:00+08:00</t>
        </is>
      </c>
      <c r="C380" s="14" t="n"/>
      <c r="D380" s="14" t="n"/>
      <c r="E380" s="14" t="inlineStr">
        <is>
          <t>欧国联</t>
        </is>
      </c>
      <c r="F380" s="14" t="inlineStr">
        <is>
          <t>白俄罗斯 vs 芬兰</t>
        </is>
      </c>
      <c r="G380" s="26" t="n">
        <v>0.85</v>
      </c>
      <c r="H380" s="26" t="n">
        <v>-0.5</v>
      </c>
      <c r="I380" s="26" t="n">
        <v>1.03</v>
      </c>
      <c r="J380" s="26" t="inlineStr">
        <is>
          <t>0.85/-0.5/1.03</t>
        </is>
      </c>
      <c r="K380" s="14" t="inlineStr">
        <is>
          <t>V4-B</t>
        </is>
      </c>
      <c r="L380" s="14" t="inlineStr">
        <is>
          <t>白俄罗斯</t>
        </is>
      </c>
      <c r="M380" s="47" t="n">
        <v>0.1999979159621168</v>
      </c>
      <c r="N380" s="14" t="inlineStr">
        <is>
          <t>V4 Shadow Only；real_money=false</t>
        </is>
      </c>
      <c r="O380" s="14" t="inlineStr">
        <is>
          <t>1-0</t>
        </is>
      </c>
      <c r="P380" s="14" t="inlineStr">
        <is>
          <t>已结算</t>
        </is>
      </c>
      <c r="Q380" s="14" t="inlineStr">
        <is>
          <t>红</t>
        </is>
      </c>
      <c r="R380" s="48" t="n">
        <v>0.85</v>
      </c>
      <c r="S380" s="48" t="n">
        <v>0.85</v>
      </c>
      <c r="T380" s="14" t="inlineStr">
        <is>
          <t>D:\codex\outputs\football_odds_trader\decision_versions\2026-10-06\RUN_20261006_084027\slate_raw.csv</t>
        </is>
      </c>
      <c r="U380" s="14" t="n"/>
      <c r="V380" s="48" t="n"/>
      <c r="W380" s="48" t="n"/>
      <c r="X380" s="14" t="inlineStr">
        <is>
          <t>2981551</t>
        </is>
      </c>
      <c r="Y380" s="14" t="inlineStr">
        <is>
          <t>V4</t>
        </is>
      </c>
      <c r="Z380" s="14" t="inlineStr">
        <is>
          <t>prior-2026-10-06-v1</t>
        </is>
      </c>
      <c r="AA380" s="14" t="inlineStr">
        <is>
          <t>B</t>
        </is>
      </c>
      <c r="AB380" s="14" t="n">
        <v>0.1999979159621168</v>
      </c>
      <c r="AC380" s="14" t="n">
        <v>0.8000020840378832</v>
      </c>
      <c r="AD380" s="14" t="n">
        <v>-0.75</v>
      </c>
      <c r="AE380" s="14" t="n">
        <v>0</v>
      </c>
      <c r="AF380" s="14" t="n">
        <v>0</v>
      </c>
      <c r="AG380" s="14" t="n">
        <v>0.480003855470084</v>
      </c>
      <c r="AH380" s="14" t="n"/>
      <c r="AI380" s="14" t="n"/>
      <c r="AJ380" s="14" t="n">
        <v>0.480003855470084</v>
      </c>
      <c r="AK380" s="14" t="n"/>
      <c r="AL380" s="14" t="n"/>
      <c r="AM380" s="14" t="inlineStr">
        <is>
          <t>EVALUATED</t>
        </is>
      </c>
      <c r="AN380" s="14" t="inlineStr">
        <is>
          <t>RECEIVING_VALIDATED_EDGE;BUCKET_PRIOR_ONLY;INTENT_INTERPRETATION_ONLY;FFL_OPTIONAL;EXPERT_MARKET</t>
        </is>
      </c>
      <c r="AO380" s="14" t="inlineStr">
        <is>
          <t>d1753ea2154b5b9175f7</t>
        </is>
      </c>
      <c r="AP380" s="14" t="n">
        <v>0.5</v>
      </c>
      <c r="AQ380" s="14" t="n">
        <v>0.85</v>
      </c>
      <c r="AR380" s="14" t="n">
        <v>-0.5</v>
      </c>
      <c r="AS380" s="14" t="n">
        <v>0.5</v>
      </c>
      <c r="AT380" s="14" t="n">
        <v>0.85</v>
      </c>
      <c r="AU380" s="14" t="n">
        <v>1.03</v>
      </c>
      <c r="AV380" s="14" t="inlineStr">
        <is>
          <t>2026-10-06T08:45:29.718562+08:00</t>
        </is>
      </c>
      <c r="AW380" s="14" t="inlineStr">
        <is>
          <t>Titan007/V4</t>
        </is>
      </c>
      <c r="AX380" s="14" t="inlineStr">
        <is>
          <t>Daily append；市场输入缺失时不生成决策</t>
        </is>
      </c>
      <c r="AY380" s="14" t="n"/>
    </row>
    <row r="381" ht="22" customHeight="1" s="39">
      <c r="A381" s="14" t="inlineStr">
        <is>
          <t>2026-10-06</t>
        </is>
      </c>
      <c r="B381" s="14" t="inlineStr">
        <is>
          <t>2026-10-07T02:45:00+08:00</t>
        </is>
      </c>
      <c r="C381" s="14" t="n"/>
      <c r="D381" s="14" t="n"/>
      <c r="E381" s="14" t="inlineStr">
        <is>
          <t>欧国联</t>
        </is>
      </c>
      <c r="F381" s="14" t="inlineStr">
        <is>
          <t>摩尔多瓦 vs 斯洛伐克</t>
        </is>
      </c>
      <c r="G381" s="26" t="n">
        <v>1.01</v>
      </c>
      <c r="H381" s="26" t="n">
        <v>-1.25</v>
      </c>
      <c r="I381" s="26" t="n">
        <v>0.87</v>
      </c>
      <c r="J381" s="26" t="inlineStr">
        <is>
          <t>1.01/-1.25/0.87</t>
        </is>
      </c>
      <c r="K381" s="14" t="inlineStr">
        <is>
          <t>V4-B</t>
        </is>
      </c>
      <c r="L381" s="14" t="inlineStr">
        <is>
          <t>摩尔多瓦</t>
        </is>
      </c>
      <c r="M381" s="47" t="n">
        <v>0.003931547481802283</v>
      </c>
      <c r="N381" s="14" t="inlineStr">
        <is>
          <t>V4 Shadow Only；real_money=false</t>
        </is>
      </c>
      <c r="O381" s="14" t="inlineStr">
        <is>
          <t>0-4</t>
        </is>
      </c>
      <c r="P381" s="14" t="inlineStr">
        <is>
          <t>已结算</t>
        </is>
      </c>
      <c r="Q381" s="14" t="inlineStr">
        <is>
          <t>黑</t>
        </is>
      </c>
      <c r="R381" s="48" t="n">
        <v>1.01</v>
      </c>
      <c r="S381" s="48" t="n">
        <v>-1</v>
      </c>
      <c r="T381" s="14" t="inlineStr">
        <is>
          <t>D:\codex\outputs\football_odds_trader\decision_versions\2026-10-06\RUN_20261006_084027\slate_raw.csv</t>
        </is>
      </c>
      <c r="U381" s="14" t="n"/>
      <c r="V381" s="48" t="n"/>
      <c r="W381" s="48" t="n"/>
      <c r="X381" s="14" t="inlineStr">
        <is>
          <t>2981552</t>
        </is>
      </c>
      <c r="Y381" s="14" t="inlineStr">
        <is>
          <t>V4</t>
        </is>
      </c>
      <c r="Z381" s="14" t="inlineStr">
        <is>
          <t>prior-2026-10-06-v1</t>
        </is>
      </c>
      <c r="AA381" s="14" t="inlineStr">
        <is>
          <t>B</t>
        </is>
      </c>
      <c r="AB381" s="14" t="n">
        <v>0.003931547481802283</v>
      </c>
      <c r="AC381" s="14" t="n">
        <v>0.9822873131231382</v>
      </c>
      <c r="AD381" s="14" t="n">
        <v>-2</v>
      </c>
      <c r="AE381" s="14" t="n">
        <v>0</v>
      </c>
      <c r="AF381" s="14" t="n">
        <v>0</v>
      </c>
      <c r="AG381" s="14" t="n">
        <v>0.9881786387725674</v>
      </c>
      <c r="AH381" s="14" t="n"/>
      <c r="AI381" s="14" t="n"/>
      <c r="AJ381" s="14" t="n">
        <v>0.9881786387725674</v>
      </c>
      <c r="AK381" s="14" t="n"/>
      <c r="AL381" s="14" t="n"/>
      <c r="AM381" s="14" t="inlineStr">
        <is>
          <t>EVALUATED</t>
        </is>
      </c>
      <c r="AN381" s="14" t="inlineStr">
        <is>
          <t>RECEIVING_VALIDATED_EDGE;BUCKET_PRIOR_ONLY;INTENT_INTERPRETATION_ONLY;FFL_OPTIONAL;EXPERT_MARKET</t>
        </is>
      </c>
      <c r="AO381" s="14" t="inlineStr">
        <is>
          <t>005904d9824069653dab</t>
        </is>
      </c>
      <c r="AP381" s="14" t="n">
        <v>1.25</v>
      </c>
      <c r="AQ381" s="14" t="n">
        <v>1.01</v>
      </c>
      <c r="AR381" s="14" t="n">
        <v>-1.25</v>
      </c>
      <c r="AS381" s="14" t="n">
        <v>1.25</v>
      </c>
      <c r="AT381" s="14" t="n">
        <v>1.01</v>
      </c>
      <c r="AU381" s="14" t="n">
        <v>0.87</v>
      </c>
      <c r="AV381" s="14" t="inlineStr">
        <is>
          <t>2026-10-06T08:45:29.718562+08:00</t>
        </is>
      </c>
      <c r="AW381" s="14" t="inlineStr">
        <is>
          <t>Titan007/V4</t>
        </is>
      </c>
      <c r="AX381" s="14" t="inlineStr">
        <is>
          <t>Daily append；市场输入缺失时不生成决策</t>
        </is>
      </c>
      <c r="AY381" s="14" t="n"/>
    </row>
    <row r="382" ht="22" customHeight="1" s="39">
      <c r="A382" s="14" t="inlineStr">
        <is>
          <t>2026-10-06</t>
        </is>
      </c>
      <c r="B382" s="14" t="inlineStr">
        <is>
          <t>2026-10-07T02:45:00+08:00</t>
        </is>
      </c>
      <c r="C382" s="14" t="n"/>
      <c r="D382" s="14" t="n"/>
      <c r="E382" s="14" t="inlineStr">
        <is>
          <t>欧国联</t>
        </is>
      </c>
      <c r="F382" s="14" t="inlineStr">
        <is>
          <t>卢森堡 vs 保加利亚</t>
        </is>
      </c>
      <c r="G382" s="26" t="n">
        <v>0.86</v>
      </c>
      <c r="H382" s="26" t="n">
        <v>0.25</v>
      </c>
      <c r="I382" s="26" t="n">
        <v>1.02</v>
      </c>
      <c r="J382" s="26" t="inlineStr">
        <is>
          <t>0.86/0.25/1.02</t>
        </is>
      </c>
      <c r="K382" s="14" t="inlineStr">
        <is>
          <t>V4-B</t>
        </is>
      </c>
      <c r="L382" s="14" t="inlineStr">
        <is>
          <t>卢森堡</t>
        </is>
      </c>
      <c r="M382" s="47" t="n">
        <v>0.511958668273933</v>
      </c>
      <c r="N382" s="14" t="inlineStr">
        <is>
          <t>V4 Shadow Only；real_money=false</t>
        </is>
      </c>
      <c r="O382" s="14" t="inlineStr">
        <is>
          <t>0-2</t>
        </is>
      </c>
      <c r="P382" s="14" t="inlineStr">
        <is>
          <t>已结算</t>
        </is>
      </c>
      <c r="Q382" s="14" t="inlineStr">
        <is>
          <t>黑</t>
        </is>
      </c>
      <c r="R382" s="48" t="n">
        <v>0.86</v>
      </c>
      <c r="S382" s="48" t="n">
        <v>-1</v>
      </c>
      <c r="T382" s="14" t="inlineStr">
        <is>
          <t>D:\codex\outputs\football_odds_trader\decision_versions\2026-10-06\RUN_20261006_084027\slate_raw.csv</t>
        </is>
      </c>
      <c r="U382" s="14" t="n"/>
      <c r="V382" s="48" t="n"/>
      <c r="W382" s="48" t="n"/>
      <c r="X382" s="14" t="inlineStr">
        <is>
          <t>2981553</t>
        </is>
      </c>
      <c r="Y382" s="14" t="inlineStr">
        <is>
          <t>V4</t>
        </is>
      </c>
      <c r="Z382" s="14" t="inlineStr">
        <is>
          <t>prior-2026-10-06-v1</t>
        </is>
      </c>
      <c r="AA382" s="14" t="inlineStr">
        <is>
          <t>B</t>
        </is>
      </c>
      <c r="AB382" s="14" t="n">
        <v>0.511958668273933</v>
      </c>
      <c r="AC382" s="14" t="n">
        <v>0.3622928437484994</v>
      </c>
      <c r="AD382" s="14" t="n">
        <v>0.5</v>
      </c>
      <c r="AE382" s="14" t="n"/>
      <c r="AF382" s="14" t="n"/>
      <c r="AG382" s="14" t="n">
        <v>0.07799161096708296</v>
      </c>
      <c r="AH382" s="14" t="n"/>
      <c r="AI382" s="14" t="n"/>
      <c r="AJ382" s="14" t="n">
        <v>0.07799161096708296</v>
      </c>
      <c r="AK382" s="14" t="n"/>
      <c r="AL382" s="14" t="n"/>
      <c r="AM382" s="14" t="inlineStr">
        <is>
          <t>EVALUATED</t>
        </is>
      </c>
      <c r="AN382" s="14" t="inlineStr">
        <is>
          <t>GIVING_VALIDATED_EDGE;BUCKET_PRIOR_ONLY;INTENT_INTERPRETATION_ONLY;FFL_OPTIONAL;EXPERT_MARKET</t>
        </is>
      </c>
      <c r="AO382" s="14" t="inlineStr">
        <is>
          <t>eb58d3002ce8a9d17987</t>
        </is>
      </c>
      <c r="AP382" s="14" t="n">
        <v>-0.25</v>
      </c>
      <c r="AQ382" s="14" t="n">
        <v>0.86</v>
      </c>
      <c r="AR382" s="14" t="n">
        <v>0.25</v>
      </c>
      <c r="AS382" s="14" t="n">
        <v>-0.25</v>
      </c>
      <c r="AT382" s="14" t="n">
        <v>0.86</v>
      </c>
      <c r="AU382" s="14" t="n">
        <v>1.02</v>
      </c>
      <c r="AV382" s="14" t="inlineStr">
        <is>
          <t>2026-10-06T08:45:29.718562+08:00</t>
        </is>
      </c>
      <c r="AW382" s="14" t="inlineStr">
        <is>
          <t>Titan007/V4</t>
        </is>
      </c>
      <c r="AX382" s="14" t="inlineStr">
        <is>
          <t>Daily append；市场输入缺失时不生成决策</t>
        </is>
      </c>
      <c r="AY382" s="14" t="n"/>
    </row>
    <row r="383" ht="22" customHeight="1" s="39">
      <c r="A383" s="14" t="inlineStr">
        <is>
          <t>2026-10-06</t>
        </is>
      </c>
      <c r="B383" s="14" t="inlineStr">
        <is>
          <t>2026-10-07T02:45:00+08:00</t>
        </is>
      </c>
      <c r="C383" s="14" t="n"/>
      <c r="D383" s="14" t="n"/>
      <c r="E383" s="14" t="inlineStr">
        <is>
          <t>欧国联</t>
        </is>
      </c>
      <c r="F383" s="14" t="inlineStr">
        <is>
          <t>爱沙尼亚 vs 冰岛</t>
        </is>
      </c>
      <c r="G383" s="26" t="n">
        <v>0.87</v>
      </c>
      <c r="H383" s="26" t="n">
        <v>-1</v>
      </c>
      <c r="I383" s="26" t="n">
        <v>1.01</v>
      </c>
      <c r="J383" s="26" t="inlineStr">
        <is>
          <t>0.87/-1.0/1.01</t>
        </is>
      </c>
      <c r="K383" s="14" t="inlineStr">
        <is>
          <t>V4-B</t>
        </is>
      </c>
      <c r="L383" s="14" t="inlineStr">
        <is>
          <t>爱沙尼亚</t>
        </is>
      </c>
      <c r="M383" s="47" t="n">
        <v>0.02070439665896743</v>
      </c>
      <c r="N383" s="14" t="inlineStr">
        <is>
          <t>V4 Shadow Only；real_money=false</t>
        </is>
      </c>
      <c r="O383" s="14" t="inlineStr">
        <is>
          <t>0-0</t>
        </is>
      </c>
      <c r="P383" s="14" t="inlineStr">
        <is>
          <t>已结算</t>
        </is>
      </c>
      <c r="Q383" s="14" t="inlineStr">
        <is>
          <t>红</t>
        </is>
      </c>
      <c r="R383" s="48" t="n">
        <v>0.87</v>
      </c>
      <c r="S383" s="48" t="n">
        <v>0.87</v>
      </c>
      <c r="T383" s="14" t="inlineStr">
        <is>
          <t>D:\codex\outputs\football_odds_trader\decision_versions\2026-10-06\RUN_20261006_084027\slate_raw.csv</t>
        </is>
      </c>
      <c r="U383" s="14" t="n"/>
      <c r="V383" s="48" t="n"/>
      <c r="W383" s="48" t="n"/>
      <c r="X383" s="14" t="inlineStr">
        <is>
          <t>2981554</t>
        </is>
      </c>
      <c r="Y383" s="14" t="inlineStr">
        <is>
          <t>V4</t>
        </is>
      </c>
      <c r="Z383" s="14" t="inlineStr">
        <is>
          <t>prior-2026-10-06-v1</t>
        </is>
      </c>
      <c r="AA383" s="14" t="inlineStr">
        <is>
          <t>B</t>
        </is>
      </c>
      <c r="AB383" s="14" t="n">
        <v>0.02070439665896743</v>
      </c>
      <c r="AC383" s="14" t="n">
        <v>0.9084655680982037</v>
      </c>
      <c r="AD383" s="14" t="n">
        <v>-1.5</v>
      </c>
      <c r="AE383" s="14" t="n">
        <v>0</v>
      </c>
      <c r="AF383" s="14" t="n">
        <v>0</v>
      </c>
      <c r="AG383" s="14" t="n">
        <v>0.7696606475864698</v>
      </c>
      <c r="AH383" s="14" t="n"/>
      <c r="AI383" s="14" t="n"/>
      <c r="AJ383" s="14" t="n">
        <v>0.7696606475864698</v>
      </c>
      <c r="AK383" s="14" t="n"/>
      <c r="AL383" s="14" t="n"/>
      <c r="AM383" s="14" t="inlineStr">
        <is>
          <t>EVALUATED</t>
        </is>
      </c>
      <c r="AN383" s="14" t="inlineStr">
        <is>
          <t>RECEIVING_VALIDATED_EDGE;BUCKET_PRIOR_ONLY;INTENT_INTERPRETATION_ONLY;FFL_OPTIONAL;EXPERT_MARKET</t>
        </is>
      </c>
      <c r="AO383" s="14" t="inlineStr">
        <is>
          <t>db36d50b43438b47973e</t>
        </is>
      </c>
      <c r="AP383" s="14" t="n">
        <v>1</v>
      </c>
      <c r="AQ383" s="14" t="n">
        <v>0.87</v>
      </c>
      <c r="AR383" s="14" t="n">
        <v>-1</v>
      </c>
      <c r="AS383" s="14" t="n">
        <v>1</v>
      </c>
      <c r="AT383" s="14" t="n">
        <v>0.87</v>
      </c>
      <c r="AU383" s="14" t="n">
        <v>1.01</v>
      </c>
      <c r="AV383" s="14" t="inlineStr">
        <is>
          <t>2026-10-06T08:45:29.718562+08:00</t>
        </is>
      </c>
      <c r="AW383" s="14" t="inlineStr">
        <is>
          <t>Titan007/V4</t>
        </is>
      </c>
      <c r="AX383" s="14" t="inlineStr">
        <is>
          <t>Daily append；市场输入缺失时不生成决策</t>
        </is>
      </c>
      <c r="AY383" s="14" t="n"/>
    </row>
    <row r="384" ht="22" customHeight="1" s="39">
      <c r="A384" s="14" t="inlineStr">
        <is>
          <t>2026-10-06</t>
        </is>
      </c>
      <c r="B384" s="14" t="inlineStr">
        <is>
          <t>2026-10-07T03:00:00+08:00</t>
        </is>
      </c>
      <c r="C384" s="14" t="inlineStr">
        <is>
          <t>NATIONAL_OFFICIAL</t>
        </is>
      </c>
      <c r="D384" s="14" t="n"/>
      <c r="E384" s="14" t="inlineStr">
        <is>
          <t>非洲杯</t>
        </is>
      </c>
      <c r="F384" s="14" t="inlineStr">
        <is>
          <t>安哥拉 vs 马拉维</t>
        </is>
      </c>
      <c r="G384" s="26" t="n">
        <v>0.95</v>
      </c>
      <c r="H384" s="26" t="n">
        <v>1.25</v>
      </c>
      <c r="I384" s="26" t="n">
        <v>0.8100000000000001</v>
      </c>
      <c r="J384" s="26" t="inlineStr">
        <is>
          <t>0.95/1.25/0.81</t>
        </is>
      </c>
      <c r="K384" s="14" t="inlineStr">
        <is>
          <t>V4-B</t>
        </is>
      </c>
      <c r="L384" s="14" t="inlineStr">
        <is>
          <t>安哥拉</t>
        </is>
      </c>
      <c r="M384" s="47" t="n">
        <v>0.6554524776567966</v>
      </c>
      <c r="N384" s="14" t="inlineStr">
        <is>
          <t>V4 Shadow Only；real_money=false</t>
        </is>
      </c>
      <c r="O384" s="14" t="inlineStr">
        <is>
          <t>3-1</t>
        </is>
      </c>
      <c r="P384" s="14" t="inlineStr">
        <is>
          <t>已结算</t>
        </is>
      </c>
      <c r="Q384" s="14" t="inlineStr">
        <is>
          <t>红</t>
        </is>
      </c>
      <c r="R384" s="48" t="n">
        <v>0.95</v>
      </c>
      <c r="S384" s="48" t="n">
        <v>0.95</v>
      </c>
      <c r="T384" s="14" t="inlineStr">
        <is>
          <t>D:\codex\outputs\football_odds_trader\decision_versions\2026-10-06\RUN_20261006_084027\slate_raw.csv</t>
        </is>
      </c>
      <c r="U384" s="14" t="n"/>
      <c r="V384" s="48" t="n"/>
      <c r="W384" s="48" t="n"/>
      <c r="X384" s="14" t="inlineStr">
        <is>
          <t>3001010</t>
        </is>
      </c>
      <c r="Y384" s="14" t="inlineStr">
        <is>
          <t>V4</t>
        </is>
      </c>
      <c r="Z384" s="14" t="inlineStr">
        <is>
          <t>prior-2026-10-06-v1</t>
        </is>
      </c>
      <c r="AA384" s="14" t="inlineStr">
        <is>
          <t>B</t>
        </is>
      </c>
      <c r="AB384" s="14" t="n">
        <v>0.6554524776567966</v>
      </c>
      <c r="AC384" s="14" t="n">
        <v>0.2354160601160731</v>
      </c>
      <c r="AD384" s="14" t="n">
        <v>2.25</v>
      </c>
      <c r="AE384" s="14" t="n"/>
      <c r="AF384" s="14" t="n"/>
      <c r="AG384" s="14" t="n">
        <v>0.3872637936578835</v>
      </c>
      <c r="AH384" s="14" t="n"/>
      <c r="AI384" s="14" t="n"/>
      <c r="AJ384" s="14" t="n">
        <v>0.3872637936578835</v>
      </c>
      <c r="AK384" s="14" t="n"/>
      <c r="AL384" s="14" t="n"/>
      <c r="AM384" s="14" t="inlineStr">
        <is>
          <t>EVALUATED</t>
        </is>
      </c>
      <c r="AN384" s="14" t="inlineStr">
        <is>
          <t>GIVING_VALIDATED_EDGE;BUCKET_PRIOR_ONLY;INTENT_INTERPRETATION_ONLY;FFL_OPTIONAL;EXPERT_MARKET</t>
        </is>
      </c>
      <c r="AO384" s="14" t="inlineStr">
        <is>
          <t>2ea6559ab555d356aa17</t>
        </is>
      </c>
      <c r="AP384" s="14" t="n">
        <v>-1.25</v>
      </c>
      <c r="AQ384" s="14" t="n">
        <v>0.95</v>
      </c>
      <c r="AR384" s="14" t="n">
        <v>1.25</v>
      </c>
      <c r="AS384" s="14" t="n">
        <v>-1.25</v>
      </c>
      <c r="AT384" s="14" t="n">
        <v>0.95</v>
      </c>
      <c r="AU384" s="14" t="n">
        <v>0.8100000000000001</v>
      </c>
      <c r="AV384" s="14" t="inlineStr">
        <is>
          <t>2026-10-06T08:45:29.718562+08:00</t>
        </is>
      </c>
      <c r="AW384" s="14" t="inlineStr">
        <is>
          <t>Titan007/V4</t>
        </is>
      </c>
      <c r="AX384" s="14" t="inlineStr">
        <is>
          <t>Daily append；市场输入缺失时不生成决策</t>
        </is>
      </c>
      <c r="AY384" s="14" t="n"/>
    </row>
    <row r="385" ht="22" customHeight="1" s="39">
      <c r="A385" s="14" t="inlineStr">
        <is>
          <t>2026-10-06</t>
        </is>
      </c>
      <c r="B385" s="14" t="inlineStr">
        <is>
          <t>2026-10-06T23:00:00+08:00</t>
        </is>
      </c>
      <c r="C385" s="14" t="inlineStr">
        <is>
          <t>CLUB_CUP</t>
        </is>
      </c>
      <c r="D385" s="14" t="n"/>
      <c r="E385" s="14" t="inlineStr">
        <is>
          <t>瑞典杯</t>
        </is>
      </c>
      <c r="F385" s="14" t="inlineStr">
        <is>
          <t>特罗尔海坦 vs 米亚尔比</t>
        </is>
      </c>
      <c r="G385" s="26" t="n">
        <v>1</v>
      </c>
      <c r="H385" s="26" t="n">
        <v>-1.25</v>
      </c>
      <c r="I385" s="26" t="n">
        <v>0.8</v>
      </c>
      <c r="J385" s="26" t="inlineStr">
        <is>
          <t>1.0/-1.25/0.8</t>
        </is>
      </c>
      <c r="K385" s="14" t="inlineStr">
        <is>
          <t>V4-B</t>
        </is>
      </c>
      <c r="L385" s="14" t="inlineStr">
        <is>
          <t>特罗尔海坦</t>
        </is>
      </c>
      <c r="M385" s="47" t="n">
        <v>0.009903888499352038</v>
      </c>
      <c r="N385" s="14" t="inlineStr">
        <is>
          <t>V4 Shadow Only；real_money=false</t>
        </is>
      </c>
      <c r="O385" s="14" t="inlineStr">
        <is>
          <t>1-0</t>
        </is>
      </c>
      <c r="P385" s="14" t="inlineStr">
        <is>
          <t>已结算</t>
        </is>
      </c>
      <c r="Q385" s="14" t="inlineStr">
        <is>
          <t>红</t>
        </is>
      </c>
      <c r="R385" s="48" t="n">
        <v>1</v>
      </c>
      <c r="S385" s="48" t="n">
        <v>1</v>
      </c>
      <c r="T385" s="14" t="inlineStr">
        <is>
          <t>D:\codex\outputs\football_odds_trader\decision_versions\2026-10-06\RUN_20261006_084027\slate_raw.csv</t>
        </is>
      </c>
      <c r="U385" s="14" t="n"/>
      <c r="V385" s="48" t="n"/>
      <c r="W385" s="48" t="n"/>
      <c r="X385" s="14" t="inlineStr">
        <is>
          <t>3004370</t>
        </is>
      </c>
      <c r="Y385" s="14" t="inlineStr">
        <is>
          <t>V4</t>
        </is>
      </c>
      <c r="Z385" s="14" t="inlineStr">
        <is>
          <t>prior-2026-10-06-v1</t>
        </is>
      </c>
      <c r="AA385" s="14" t="inlineStr">
        <is>
          <t>B</t>
        </is>
      </c>
      <c r="AB385" s="14" t="n">
        <v>0.009903888499352038</v>
      </c>
      <c r="AC385" s="14" t="n">
        <v>0.966980930916876</v>
      </c>
      <c r="AD385" s="14" t="n">
        <v>-1.75</v>
      </c>
      <c r="AE385" s="14" t="n">
        <v>0</v>
      </c>
      <c r="AF385" s="14" t="n">
        <v>0</v>
      </c>
      <c r="AG385" s="14" t="n">
        <v>0.9570770424175239</v>
      </c>
      <c r="AH385" s="14" t="n"/>
      <c r="AI385" s="14" t="n"/>
      <c r="AJ385" s="14" t="n">
        <v>0.9570770424175239</v>
      </c>
      <c r="AK385" s="14" t="n"/>
      <c r="AL385" s="14" t="n"/>
      <c r="AM385" s="14" t="inlineStr">
        <is>
          <t>EVALUATED</t>
        </is>
      </c>
      <c r="AN385" s="14" t="inlineStr">
        <is>
          <t>RECEIVING_VALIDATED_EDGE;BUCKET_PRIOR_ONLY;INTENT_INTERPRETATION_ONLY;FFL_OPTIONAL;EXPERT_MARKET</t>
        </is>
      </c>
      <c r="AO385" s="14" t="inlineStr">
        <is>
          <t>22c9bbabdb89e0a5ec12</t>
        </is>
      </c>
      <c r="AP385" s="14" t="n">
        <v>1.25</v>
      </c>
      <c r="AQ385" s="14" t="n">
        <v>1</v>
      </c>
      <c r="AR385" s="14" t="n">
        <v>-1.25</v>
      </c>
      <c r="AS385" s="14" t="n">
        <v>1.25</v>
      </c>
      <c r="AT385" s="14" t="n">
        <v>1</v>
      </c>
      <c r="AU385" s="14" t="n">
        <v>0.8</v>
      </c>
      <c r="AV385" s="14" t="inlineStr">
        <is>
          <t>2026-10-06T08:45:29.718562+08:00</t>
        </is>
      </c>
      <c r="AW385" s="14" t="inlineStr">
        <is>
          <t>Titan007/V4</t>
        </is>
      </c>
      <c r="AX385" s="14" t="inlineStr">
        <is>
          <t>Daily append；市场输入缺失时不生成决策</t>
        </is>
      </c>
      <c r="AY385" s="14" t="n"/>
    </row>
    <row r="386" ht="22" customHeight="1" s="39">
      <c r="A386" s="14" t="inlineStr">
        <is>
          <t>2026-10-06</t>
        </is>
      </c>
      <c r="B386" s="14" t="inlineStr">
        <is>
          <t>2026-10-06T22:00:00+08:00</t>
        </is>
      </c>
      <c r="C386" s="14" t="n"/>
      <c r="D386" s="14" t="n"/>
      <c r="E386" s="14" t="inlineStr">
        <is>
          <t>斯亚乙</t>
        </is>
      </c>
      <c r="F386" s="14" t="inlineStr">
        <is>
          <t>比列 vs 加德兰戴卡尼</t>
        </is>
      </c>
      <c r="G386" s="26" t="n">
        <v>0.74</v>
      </c>
      <c r="H386" s="26" t="n">
        <v>-0.5</v>
      </c>
      <c r="I386" s="26" t="n">
        <v>0.96</v>
      </c>
      <c r="J386" s="26" t="inlineStr">
        <is>
          <t>0.74/-0.5/0.96</t>
        </is>
      </c>
      <c r="K386" s="14" t="inlineStr">
        <is>
          <t>V4-B</t>
        </is>
      </c>
      <c r="L386" s="14" t="inlineStr">
        <is>
          <t>比列</t>
        </is>
      </c>
      <c r="M386" s="47" t="n">
        <v>0.2169670805166028</v>
      </c>
      <c r="N386" s="14" t="inlineStr">
        <is>
          <t>V4 Shadow Only；real_money=false</t>
        </is>
      </c>
      <c r="O386" s="14" t="inlineStr">
        <is>
          <t>2-0</t>
        </is>
      </c>
      <c r="P386" s="14" t="inlineStr">
        <is>
          <t>已结算</t>
        </is>
      </c>
      <c r="Q386" s="14" t="inlineStr">
        <is>
          <t>红</t>
        </is>
      </c>
      <c r="R386" s="48" t="n">
        <v>0.74</v>
      </c>
      <c r="S386" s="48" t="n">
        <v>0.74</v>
      </c>
      <c r="T386" s="14" t="inlineStr">
        <is>
          <t>D:\codex\outputs\football_odds_trader\decision_versions\2026-10-06\RUN_20261006_084027\slate_raw.csv</t>
        </is>
      </c>
      <c r="U386" s="14" t="n"/>
      <c r="V386" s="48" t="n"/>
      <c r="W386" s="48" t="n"/>
      <c r="X386" s="14" t="inlineStr">
        <is>
          <t>3005986</t>
        </is>
      </c>
      <c r="Y386" s="14" t="inlineStr">
        <is>
          <t>V4</t>
        </is>
      </c>
      <c r="Z386" s="14" t="inlineStr">
        <is>
          <t>prior-2026-10-06-v1</t>
        </is>
      </c>
      <c r="AA386" s="14" t="inlineStr">
        <is>
          <t>B</t>
        </is>
      </c>
      <c r="AB386" s="14" t="n">
        <v>0.2169670805166028</v>
      </c>
      <c r="AC386" s="14" t="n">
        <v>0.7830329194833973</v>
      </c>
      <c r="AD386" s="14" t="n">
        <v>-0.75</v>
      </c>
      <c r="AE386" s="14" t="n">
        <v>0</v>
      </c>
      <c r="AF386" s="14" t="n">
        <v>0</v>
      </c>
      <c r="AG386" s="14" t="n">
        <v>0.3624772799011112</v>
      </c>
      <c r="AH386" s="14" t="n"/>
      <c r="AI386" s="14" t="n"/>
      <c r="AJ386" s="14" t="n">
        <v>0.3624772799011112</v>
      </c>
      <c r="AK386" s="14" t="n"/>
      <c r="AL386" s="14" t="n"/>
      <c r="AM386" s="14" t="inlineStr">
        <is>
          <t>EVALUATED</t>
        </is>
      </c>
      <c r="AN386" s="14" t="inlineStr">
        <is>
          <t>RECEIVING_VALIDATED_EDGE;BUCKET_PRIOR_ONLY;INTENT_INTERPRETATION_ONLY;FFL_OPTIONAL;EXPERT_MARKET</t>
        </is>
      </c>
      <c r="AO386" s="14" t="inlineStr">
        <is>
          <t>1a01b0d2a34daf864076</t>
        </is>
      </c>
      <c r="AP386" s="14" t="n">
        <v>0.5</v>
      </c>
      <c r="AQ386" s="14" t="n">
        <v>0.74</v>
      </c>
      <c r="AR386" s="14" t="n">
        <v>-0.5</v>
      </c>
      <c r="AS386" s="14" t="n">
        <v>0.5</v>
      </c>
      <c r="AT386" s="14" t="n">
        <v>0.74</v>
      </c>
      <c r="AU386" s="14" t="n">
        <v>0.96</v>
      </c>
      <c r="AV386" s="14" t="inlineStr">
        <is>
          <t>2026-10-06T08:45:29.718562+08:00</t>
        </is>
      </c>
      <c r="AW386" s="14" t="inlineStr">
        <is>
          <t>Titan007/V4</t>
        </is>
      </c>
      <c r="AX386" s="14" t="inlineStr">
        <is>
          <t>Daily append；市场输入缺失时不生成决策</t>
        </is>
      </c>
      <c r="AY386" s="14" t="n"/>
    </row>
    <row r="387" ht="22" customHeight="1" s="39">
      <c r="A387" s="14" t="inlineStr">
        <is>
          <t>2026-10-06</t>
        </is>
      </c>
      <c r="B387" s="14" t="inlineStr">
        <is>
          <t>2026-10-06T21:00:00+08:00</t>
        </is>
      </c>
      <c r="C387" s="14" t="n"/>
      <c r="D387" s="14" t="n"/>
      <c r="E387" s="14" t="inlineStr">
        <is>
          <t>黑山乙</t>
        </is>
      </c>
      <c r="F387" s="14" t="inlineStr">
        <is>
          <t>吉斯科普 vs 洛夫琴</t>
        </is>
      </c>
      <c r="G387" s="26" t="n">
        <v>1.82</v>
      </c>
      <c r="H387" s="26" t="n">
        <v>1.5</v>
      </c>
      <c r="I387" s="26" t="n">
        <v>0.35</v>
      </c>
      <c r="J387" s="26" t="inlineStr">
        <is>
          <t>1.82/1.5/0.35</t>
        </is>
      </c>
      <c r="K387" s="14" t="inlineStr">
        <is>
          <t>V4-B</t>
        </is>
      </c>
      <c r="L387" s="14" t="inlineStr">
        <is>
          <t>吉斯科普</t>
        </is>
      </c>
      <c r="M387" s="47" t="n">
        <v>0.3945462670166617</v>
      </c>
      <c r="N387" s="14" t="inlineStr">
        <is>
          <t>V4 Shadow Only；real_money=false</t>
        </is>
      </c>
      <c r="O387" s="14" t="inlineStr">
        <is>
          <t>2-1</t>
        </is>
      </c>
      <c r="P387" s="14" t="inlineStr">
        <is>
          <t>已结算</t>
        </is>
      </c>
      <c r="Q387" s="14" t="inlineStr">
        <is>
          <t>黑</t>
        </is>
      </c>
      <c r="R387" s="48" t="n">
        <v>1.82</v>
      </c>
      <c r="S387" s="48" t="n">
        <v>-1</v>
      </c>
      <c r="T387" s="14" t="inlineStr">
        <is>
          <t>D:\codex\outputs\football_odds_trader\decision_versions\2026-10-06\RUN_20261006_084027\slate_raw.csv</t>
        </is>
      </c>
      <c r="U387" s="14" t="n"/>
      <c r="V387" s="48" t="n"/>
      <c r="W387" s="48" t="n"/>
      <c r="X387" s="14" t="inlineStr">
        <is>
          <t>3006208</t>
        </is>
      </c>
      <c r="Y387" s="14" t="inlineStr">
        <is>
          <t>V4</t>
        </is>
      </c>
      <c r="Z387" s="14" t="inlineStr">
        <is>
          <t>prior-2026-10-06-v1</t>
        </is>
      </c>
      <c r="AA387" s="14" t="inlineStr">
        <is>
          <t>B</t>
        </is>
      </c>
      <c r="AB387" s="14" t="n">
        <v>0.3945462670166617</v>
      </c>
      <c r="AC387" s="14" t="n">
        <v>0.6054537329833383</v>
      </c>
      <c r="AD387" s="14" t="n">
        <v>1.25</v>
      </c>
      <c r="AE387" s="14" t="n"/>
      <c r="AF387" s="14" t="n"/>
      <c r="AG387" s="14" t="n">
        <v>0.112620472986986</v>
      </c>
      <c r="AH387" s="14" t="n"/>
      <c r="AI387" s="14" t="n"/>
      <c r="AJ387" s="14" t="n">
        <v>0.112620472986986</v>
      </c>
      <c r="AK387" s="14" t="n"/>
      <c r="AL387" s="14" t="n"/>
      <c r="AM387" s="14" t="inlineStr">
        <is>
          <t>EVALUATED</t>
        </is>
      </c>
      <c r="AN387" s="14" t="inlineStr">
        <is>
          <t>GIVING_VALIDATED_EDGE;BUCKET_PRIOR_ONLY;INTENT_INTERPRETATION_ONLY;FFL_OPTIONAL;EXPERT_MARKET</t>
        </is>
      </c>
      <c r="AO387" s="14" t="inlineStr">
        <is>
          <t>5bd5dcaa2d26f42156c4</t>
        </is>
      </c>
      <c r="AP387" s="14" t="n">
        <v>-1.5</v>
      </c>
      <c r="AQ387" s="14" t="n">
        <v>1.82</v>
      </c>
      <c r="AR387" s="14" t="n">
        <v>1.5</v>
      </c>
      <c r="AS387" s="14" t="n">
        <v>-1.5</v>
      </c>
      <c r="AT387" s="14" t="n">
        <v>1.82</v>
      </c>
      <c r="AU387" s="14" t="n">
        <v>0.35</v>
      </c>
      <c r="AV387" s="14" t="inlineStr">
        <is>
          <t>2026-10-06T08:45:29.718562+08:00</t>
        </is>
      </c>
      <c r="AW387" s="14" t="inlineStr">
        <is>
          <t>Titan007/V4</t>
        </is>
      </c>
      <c r="AX387" s="14" t="inlineStr">
        <is>
          <t>Daily append；市场输入缺失时不生成决策</t>
        </is>
      </c>
      <c r="AY387" s="14" t="n"/>
    </row>
    <row r="388" ht="22" customHeight="1" s="39">
      <c r="A388" s="14" t="inlineStr">
        <is>
          <t>2026-10-06</t>
        </is>
      </c>
      <c r="B388" s="14" t="inlineStr">
        <is>
          <t>2026-10-07T02:00:00+08:00</t>
        </is>
      </c>
      <c r="C388" s="14" t="n"/>
      <c r="D388" s="14" t="n"/>
      <c r="E388" s="14" t="inlineStr">
        <is>
          <t>英锦赛</t>
        </is>
      </c>
      <c r="F388" s="14" t="inlineStr">
        <is>
          <t>罗瑟汉姆 vs 布拉德福德</t>
        </is>
      </c>
      <c r="G388" s="26" t="n">
        <v>0.8100000000000001</v>
      </c>
      <c r="H388" s="26" t="n">
        <v>-0.5</v>
      </c>
      <c r="I388" s="26" t="n">
        <v>1.01</v>
      </c>
      <c r="J388" s="26" t="inlineStr">
        <is>
          <t>0.81/-0.5/1.01</t>
        </is>
      </c>
      <c r="K388" s="14" t="inlineStr">
        <is>
          <t>V4-C</t>
        </is>
      </c>
      <c r="L388" s="14" t="inlineStr">
        <is>
          <t>罗瑟汉姆</t>
        </is>
      </c>
      <c r="M388" s="47" t="n">
        <v>0.2373707225054307</v>
      </c>
      <c r="N388" s="14" t="inlineStr">
        <is>
          <t>V4 Shadow Only；real_money=false</t>
        </is>
      </c>
      <c r="O388" s="14" t="inlineStr">
        <is>
          <t>0-4</t>
        </is>
      </c>
      <c r="P388" s="14" t="inlineStr">
        <is>
          <t>已结算</t>
        </is>
      </c>
      <c r="Q388" s="14" t="inlineStr">
        <is>
          <t>黑</t>
        </is>
      </c>
      <c r="R388" s="48" t="n">
        <v>0.8100000000000001</v>
      </c>
      <c r="S388" s="48" t="n">
        <v>-1</v>
      </c>
      <c r="T388" s="14" t="inlineStr">
        <is>
          <t>D:\codex\outputs\football_odds_trader\decision_versions\2026-10-06\RUN_20261006_084027\slate_raw.csv</t>
        </is>
      </c>
      <c r="U388" s="14" t="n"/>
      <c r="V388" s="48" t="n"/>
      <c r="W388" s="48" t="n"/>
      <c r="X388" s="14" t="inlineStr">
        <is>
          <t>3012828</t>
        </is>
      </c>
      <c r="Y388" s="14" t="inlineStr">
        <is>
          <t>V4</t>
        </is>
      </c>
      <c r="Z388" s="14" t="inlineStr">
        <is>
          <t>prior-2026-10-06-v1</t>
        </is>
      </c>
      <c r="AA388" s="14" t="inlineStr">
        <is>
          <t>C</t>
        </is>
      </c>
      <c r="AB388" s="14" t="n">
        <v>0.2373707225054307</v>
      </c>
      <c r="AC388" s="14" t="n">
        <v>0.7626292774945693</v>
      </c>
      <c r="AD388" s="14" t="n">
        <v>-0.5</v>
      </c>
      <c r="AE388" s="14" t="n">
        <v>0</v>
      </c>
      <c r="AF388" s="14" t="n">
        <v>0</v>
      </c>
      <c r="AG388" s="14" t="n">
        <v>0.3803589922651705</v>
      </c>
      <c r="AH388" s="14" t="n"/>
      <c r="AI388" s="14" t="n"/>
      <c r="AJ388" s="14" t="n">
        <v>0.3803589922651705</v>
      </c>
      <c r="AK388" s="14" t="n"/>
      <c r="AL388" s="14" t="n"/>
      <c r="AM388" s="14" t="inlineStr">
        <is>
          <t>EVALUATED</t>
        </is>
      </c>
      <c r="AN388" s="14" t="inlineStr">
        <is>
          <t>RECEIVING_VALIDATED_EDGE;BUCKET_PRIOR_ONLY;INTENT_INTERPRETATION_ONLY;FFL_OPTIONAL;EXPERT_MARKET</t>
        </is>
      </c>
      <c r="AO388" s="14" t="inlineStr">
        <is>
          <t>e73be051585c87303d1a</t>
        </is>
      </c>
      <c r="AP388" s="14" t="n">
        <v>0.5</v>
      </c>
      <c r="AQ388" s="14" t="n">
        <v>0.8100000000000001</v>
      </c>
      <c r="AR388" s="14" t="n">
        <v>-0.5</v>
      </c>
      <c r="AS388" s="14" t="n">
        <v>0.5</v>
      </c>
      <c r="AT388" s="14" t="n">
        <v>0.8100000000000001</v>
      </c>
      <c r="AU388" s="14" t="n">
        <v>1.01</v>
      </c>
      <c r="AV388" s="14" t="inlineStr">
        <is>
          <t>2026-10-06T08:45:29.718562+08:00</t>
        </is>
      </c>
      <c r="AW388" s="14" t="inlineStr">
        <is>
          <t>Titan007/V4</t>
        </is>
      </c>
      <c r="AX388" s="14" t="inlineStr">
        <is>
          <t>Daily append；市场输入缺失时不生成决策</t>
        </is>
      </c>
      <c r="AY388" s="14" t="n"/>
    </row>
    <row r="389" ht="22" customHeight="1" s="39">
      <c r="A389" s="14" t="inlineStr">
        <is>
          <t>2026-10-06</t>
        </is>
      </c>
      <c r="B389" s="14" t="inlineStr">
        <is>
          <t>2026-10-07T02:00:00+08:00</t>
        </is>
      </c>
      <c r="C389" s="14" t="n"/>
      <c r="D389" s="14" t="n"/>
      <c r="E389" s="14" t="inlineStr">
        <is>
          <t>英锦赛</t>
        </is>
      </c>
      <c r="F389" s="14" t="inlineStr">
        <is>
          <t>什鲁斯伯里 vs 斯托克港</t>
        </is>
      </c>
      <c r="G389" s="26" t="n">
        <v>1.06</v>
      </c>
      <c r="H389" s="26" t="n">
        <v>-0.75</v>
      </c>
      <c r="I389" s="26" t="n">
        <v>0.76</v>
      </c>
      <c r="J389" s="26" t="inlineStr">
        <is>
          <t>1.06/-0.75/0.76</t>
        </is>
      </c>
      <c r="K389" s="14" t="inlineStr">
        <is>
          <t>V4-C</t>
        </is>
      </c>
      <c r="L389" s="14" t="inlineStr">
        <is>
          <t>什鲁斯伯里</t>
        </is>
      </c>
      <c r="M389" s="47" t="n">
        <v>0.07926913273825739</v>
      </c>
      <c r="N389" s="14" t="inlineStr">
        <is>
          <t>V4 Shadow Only；real_money=false</t>
        </is>
      </c>
      <c r="O389" s="14" t="inlineStr">
        <is>
          <t>0-2</t>
        </is>
      </c>
      <c r="P389" s="14" t="inlineStr">
        <is>
          <t>已结算</t>
        </is>
      </c>
      <c r="Q389" s="14" t="inlineStr">
        <is>
          <t>黑</t>
        </is>
      </c>
      <c r="R389" s="48" t="n">
        <v>1.06</v>
      </c>
      <c r="S389" s="48" t="n">
        <v>-1</v>
      </c>
      <c r="T389" s="14" t="inlineStr">
        <is>
          <t>D:\codex\outputs\football_odds_trader\decision_versions\2026-10-06\RUN_20261006_084027\slate_raw.csv</t>
        </is>
      </c>
      <c r="U389" s="14" t="n"/>
      <c r="V389" s="48" t="n"/>
      <c r="W389" s="48" t="n"/>
      <c r="X389" s="14" t="inlineStr">
        <is>
          <t>3012843</t>
        </is>
      </c>
      <c r="Y389" s="14" t="inlineStr">
        <is>
          <t>V4</t>
        </is>
      </c>
      <c r="Z389" s="14" t="inlineStr">
        <is>
          <t>prior-2026-10-06-v1</t>
        </is>
      </c>
      <c r="AA389" s="14" t="inlineStr">
        <is>
          <t>C</t>
        </is>
      </c>
      <c r="AB389" s="14" t="n">
        <v>0.07926913273825739</v>
      </c>
      <c r="AC389" s="14" t="n">
        <v>0.8746745380135106</v>
      </c>
      <c r="AD389" s="14" t="n">
        <v>-1.25</v>
      </c>
      <c r="AE389" s="14" t="n">
        <v>0</v>
      </c>
      <c r="AF389" s="14" t="n">
        <v>0</v>
      </c>
      <c r="AG389" s="14" t="n">
        <v>0.8478858775560638</v>
      </c>
      <c r="AH389" s="14" t="n"/>
      <c r="AI389" s="14" t="n"/>
      <c r="AJ389" s="14" t="n">
        <v>0.8478858775560638</v>
      </c>
      <c r="AK389" s="14" t="n"/>
      <c r="AL389" s="14" t="n"/>
      <c r="AM389" s="14" t="inlineStr">
        <is>
          <t>EVALUATED</t>
        </is>
      </c>
      <c r="AN389" s="14" t="inlineStr">
        <is>
          <t>RECEIVING_VALIDATED_EDGE;BUCKET_PRIOR_ONLY;INTENT_INTERPRETATION_ONLY;FFL_OPTIONAL;EXPERT_MARKET</t>
        </is>
      </c>
      <c r="AO389" s="14" t="inlineStr">
        <is>
          <t>226125de786e1796e423</t>
        </is>
      </c>
      <c r="AP389" s="14" t="n">
        <v>0.75</v>
      </c>
      <c r="AQ389" s="14" t="n">
        <v>1.06</v>
      </c>
      <c r="AR389" s="14" t="n">
        <v>-0.75</v>
      </c>
      <c r="AS389" s="14" t="n">
        <v>0.75</v>
      </c>
      <c r="AT389" s="14" t="n">
        <v>1.06</v>
      </c>
      <c r="AU389" s="14" t="n">
        <v>0.76</v>
      </c>
      <c r="AV389" s="14" t="inlineStr">
        <is>
          <t>2026-10-06T08:45:29.718562+08:00</t>
        </is>
      </c>
      <c r="AW389" s="14" t="inlineStr">
        <is>
          <t>Titan007/V4</t>
        </is>
      </c>
      <c r="AX389" s="14" t="inlineStr">
        <is>
          <t>Daily append；市场输入缺失时不生成决策</t>
        </is>
      </c>
      <c r="AY389" s="14" t="n"/>
    </row>
    <row r="390" ht="22" customHeight="1" s="39">
      <c r="A390" s="14" t="inlineStr">
        <is>
          <t>2026-10-06</t>
        </is>
      </c>
      <c r="B390" s="14" t="inlineStr">
        <is>
          <t>2026-10-07T02:00:00+08:00</t>
        </is>
      </c>
      <c r="C390" s="14" t="n"/>
      <c r="D390" s="14" t="n"/>
      <c r="E390" s="14" t="inlineStr">
        <is>
          <t>英锦赛</t>
        </is>
      </c>
      <c r="F390" s="14" t="inlineStr">
        <is>
          <t>弗利特伍德 vs 巴恩斯利</t>
        </is>
      </c>
      <c r="G390" s="26" t="n">
        <v>0.91</v>
      </c>
      <c r="H390" s="26" t="n">
        <v>-0.5</v>
      </c>
      <c r="I390" s="26" t="n">
        <v>0.91</v>
      </c>
      <c r="J390" s="26" t="inlineStr">
        <is>
          <t>0.91/-0.5/0.91</t>
        </is>
      </c>
      <c r="K390" s="14" t="inlineStr">
        <is>
          <t>V4-C</t>
        </is>
      </c>
      <c r="L390" s="14" t="inlineStr">
        <is>
          <t>弗利特伍德</t>
        </is>
      </c>
      <c r="M390" s="47" t="n">
        <v>0.2278193674562841</v>
      </c>
      <c r="N390" s="14" t="inlineStr">
        <is>
          <t>V4 Shadow Only；real_money=false</t>
        </is>
      </c>
      <c r="O390" s="14" t="inlineStr">
        <is>
          <t>4-1</t>
        </is>
      </c>
      <c r="P390" s="14" t="inlineStr">
        <is>
          <t>已结算</t>
        </is>
      </c>
      <c r="Q390" s="14" t="inlineStr">
        <is>
          <t>红</t>
        </is>
      </c>
      <c r="R390" s="48" t="n">
        <v>0.91</v>
      </c>
      <c r="S390" s="48" t="n">
        <v>0.91</v>
      </c>
      <c r="T390" s="14" t="inlineStr">
        <is>
          <t>D:\codex\outputs\football_odds_trader\decision_versions\2026-10-06\RUN_20261006_084027\slate_raw.csv</t>
        </is>
      </c>
      <c r="U390" s="14" t="n"/>
      <c r="V390" s="48" t="n"/>
      <c r="W390" s="48" t="n"/>
      <c r="X390" s="14" t="inlineStr">
        <is>
          <t>3012852</t>
        </is>
      </c>
      <c r="Y390" s="14" t="inlineStr">
        <is>
          <t>V4</t>
        </is>
      </c>
      <c r="Z390" s="14" t="inlineStr">
        <is>
          <t>prior-2026-10-06-v1</t>
        </is>
      </c>
      <c r="AA390" s="14" t="inlineStr">
        <is>
          <t>C</t>
        </is>
      </c>
      <c r="AB390" s="14" t="n">
        <v>0.2278193674562841</v>
      </c>
      <c r="AC390" s="14" t="n">
        <v>0.7721806325437159</v>
      </c>
      <c r="AD390" s="14" t="n">
        <v>-0.75</v>
      </c>
      <c r="AE390" s="14" t="n">
        <v>0</v>
      </c>
      <c r="AF390" s="14" t="n">
        <v>0</v>
      </c>
      <c r="AG390" s="14" t="n">
        <v>0.4748650081584973</v>
      </c>
      <c r="AH390" s="14" t="n"/>
      <c r="AI390" s="14" t="n"/>
      <c r="AJ390" s="14" t="n">
        <v>0.4748650081584973</v>
      </c>
      <c r="AK390" s="14" t="n"/>
      <c r="AL390" s="14" t="n"/>
      <c r="AM390" s="14" t="inlineStr">
        <is>
          <t>EVALUATED</t>
        </is>
      </c>
      <c r="AN390" s="14" t="inlineStr">
        <is>
          <t>RECEIVING_VALIDATED_EDGE;BUCKET_PRIOR_ONLY;INTENT_INTERPRETATION_ONLY;FFL_OPTIONAL;EXPERT_MARKET</t>
        </is>
      </c>
      <c r="AO390" s="14" t="inlineStr">
        <is>
          <t>b2c5643a1dce60c0ea33</t>
        </is>
      </c>
      <c r="AP390" s="14" t="n">
        <v>0.5</v>
      </c>
      <c r="AQ390" s="14" t="n">
        <v>0.91</v>
      </c>
      <c r="AR390" s="14" t="n">
        <v>-0.5</v>
      </c>
      <c r="AS390" s="14" t="n">
        <v>0.5</v>
      </c>
      <c r="AT390" s="14" t="n">
        <v>0.91</v>
      </c>
      <c r="AU390" s="14" t="n">
        <v>0.91</v>
      </c>
      <c r="AV390" s="14" t="inlineStr">
        <is>
          <t>2026-10-06T08:45:29.718562+08:00</t>
        </is>
      </c>
      <c r="AW390" s="14" t="inlineStr">
        <is>
          <t>Titan007/V4</t>
        </is>
      </c>
      <c r="AX390" s="14" t="inlineStr">
        <is>
          <t>Daily append；市场输入缺失时不生成决策</t>
        </is>
      </c>
      <c r="AY390" s="14" t="n"/>
    </row>
    <row r="391" ht="22" customHeight="1" s="39">
      <c r="A391" s="14" t="inlineStr">
        <is>
          <t>2026-10-06</t>
        </is>
      </c>
      <c r="B391" s="14" t="inlineStr">
        <is>
          <t>2026-10-07T02:00:00+08:00</t>
        </is>
      </c>
      <c r="C391" s="14" t="n"/>
      <c r="D391" s="14" t="n"/>
      <c r="E391" s="14" t="inlineStr">
        <is>
          <t>英锦赛</t>
        </is>
      </c>
      <c r="F391" s="14" t="inlineStr">
        <is>
          <t>哈德斯菲尔德 vs 罗奇代尔</t>
        </is>
      </c>
      <c r="G391" s="26" t="n">
        <v>0.86</v>
      </c>
      <c r="H391" s="26" t="n">
        <v>1.5</v>
      </c>
      <c r="I391" s="26" t="n">
        <v>0.96</v>
      </c>
      <c r="J391" s="26" t="inlineStr">
        <is>
          <t>0.86/1.5/0.96</t>
        </is>
      </c>
      <c r="K391" s="14" t="inlineStr">
        <is>
          <t>V4-C</t>
        </is>
      </c>
      <c r="L391" s="14" t="inlineStr">
        <is>
          <t>哈德斯菲尔德</t>
        </is>
      </c>
      <c r="M391" s="47" t="n">
        <v>0.6084629819333969</v>
      </c>
      <c r="N391" s="14" t="inlineStr">
        <is>
          <t>V4 Shadow Only；real_money=false</t>
        </is>
      </c>
      <c r="O391" s="14" t="inlineStr">
        <is>
          <t>5-0</t>
        </is>
      </c>
      <c r="P391" s="14" t="inlineStr">
        <is>
          <t>已结算</t>
        </is>
      </c>
      <c r="Q391" s="14" t="inlineStr">
        <is>
          <t>红</t>
        </is>
      </c>
      <c r="R391" s="48" t="n">
        <v>0.86</v>
      </c>
      <c r="S391" s="48" t="n">
        <v>0.86</v>
      </c>
      <c r="T391" s="14" t="inlineStr">
        <is>
          <t>D:\codex\outputs\football_odds_trader\decision_versions\2026-10-06\RUN_20261006_084027\slate_raw.csv</t>
        </is>
      </c>
      <c r="U391" s="14" t="n"/>
      <c r="V391" s="48" t="n"/>
      <c r="W391" s="48" t="n"/>
      <c r="X391" s="14" t="inlineStr">
        <is>
          <t>3012861</t>
        </is>
      </c>
      <c r="Y391" s="14" t="inlineStr">
        <is>
          <t>V4</t>
        </is>
      </c>
      <c r="Z391" s="14" t="inlineStr">
        <is>
          <t>prior-2026-10-06-v1</t>
        </is>
      </c>
      <c r="AA391" s="14" t="inlineStr">
        <is>
          <t>C</t>
        </is>
      </c>
      <c r="AB391" s="14" t="n">
        <v>0.6084629819333969</v>
      </c>
      <c r="AC391" s="14" t="n">
        <v>0.3915370180666031</v>
      </c>
      <c r="AD391" s="14" t="n">
        <v>2</v>
      </c>
      <c r="AE391" s="14" t="n"/>
      <c r="AF391" s="14" t="n"/>
      <c r="AG391" s="14" t="n">
        <v>0.1317411463961182</v>
      </c>
      <c r="AH391" s="14" t="n"/>
      <c r="AI391" s="14" t="n"/>
      <c r="AJ391" s="14" t="n">
        <v>0.1317411463961182</v>
      </c>
      <c r="AK391" s="14" t="n"/>
      <c r="AL391" s="14" t="n"/>
      <c r="AM391" s="14" t="inlineStr">
        <is>
          <t>EVALUATED</t>
        </is>
      </c>
      <c r="AN391" s="14" t="inlineStr">
        <is>
          <t>GIVING_VALIDATED_EDGE;BUCKET_PRIOR_ONLY;INTENT_INTERPRETATION_ONLY;FFL_OPTIONAL;EXPERT_MARKET</t>
        </is>
      </c>
      <c r="AO391" s="14" t="inlineStr">
        <is>
          <t>616a6d45415b644a679d</t>
        </is>
      </c>
      <c r="AP391" s="14" t="n">
        <v>-1.5</v>
      </c>
      <c r="AQ391" s="14" t="n">
        <v>0.86</v>
      </c>
      <c r="AR391" s="14" t="n">
        <v>1.5</v>
      </c>
      <c r="AS391" s="14" t="n">
        <v>-1.5</v>
      </c>
      <c r="AT391" s="14" t="n">
        <v>0.86</v>
      </c>
      <c r="AU391" s="14" t="n">
        <v>0.96</v>
      </c>
      <c r="AV391" s="14" t="inlineStr">
        <is>
          <t>2026-10-06T08:45:29.718562+08:00</t>
        </is>
      </c>
      <c r="AW391" s="14" t="inlineStr">
        <is>
          <t>Titan007/V4</t>
        </is>
      </c>
      <c r="AX391" s="14" t="inlineStr">
        <is>
          <t>Daily append；市场输入缺失时不生成决策</t>
        </is>
      </c>
      <c r="AY391" s="14" t="n"/>
    </row>
    <row r="392" ht="22" customHeight="1" s="39">
      <c r="A392" s="14" t="inlineStr">
        <is>
          <t>2026-10-06</t>
        </is>
      </c>
      <c r="B392" s="14" t="inlineStr">
        <is>
          <t>2026-10-07T02:00:00+08:00</t>
        </is>
      </c>
      <c r="C392" s="14" t="n"/>
      <c r="D392" s="14" t="n"/>
      <c r="E392" s="14" t="inlineStr">
        <is>
          <t>英锦赛</t>
        </is>
      </c>
      <c r="F392" s="14" t="inlineStr">
        <is>
          <t>埃克塞特城 vs 牛津联队</t>
        </is>
      </c>
      <c r="G392" s="26" t="n">
        <v>0.93</v>
      </c>
      <c r="H392" s="26" t="n">
        <v>-0.5</v>
      </c>
      <c r="I392" s="26" t="n">
        <v>0.89</v>
      </c>
      <c r="J392" s="26" t="inlineStr">
        <is>
          <t>0.93/-0.5/0.89</t>
        </is>
      </c>
      <c r="K392" s="14" t="inlineStr">
        <is>
          <t>V4-C</t>
        </is>
      </c>
      <c r="L392" s="14" t="inlineStr">
        <is>
          <t>埃克塞特城</t>
        </is>
      </c>
      <c r="M392" s="47" t="n">
        <v>0.2186082983922447</v>
      </c>
      <c r="N392" s="14" t="inlineStr">
        <is>
          <t>V4 Shadow Only；real_money=false</t>
        </is>
      </c>
      <c r="O392" s="14" t="inlineStr">
        <is>
          <t>2-2</t>
        </is>
      </c>
      <c r="P392" s="14" t="inlineStr">
        <is>
          <t>已结算</t>
        </is>
      </c>
      <c r="Q392" s="14" t="inlineStr">
        <is>
          <t>红</t>
        </is>
      </c>
      <c r="R392" s="48" t="n">
        <v>0.93</v>
      </c>
      <c r="S392" s="48" t="n">
        <v>0.93</v>
      </c>
      <c r="T392" s="14" t="inlineStr">
        <is>
          <t>D:\codex\outputs\football_odds_trader\decision_versions\2026-10-06\RUN_20261006_084027\slate_raw.csv</t>
        </is>
      </c>
      <c r="U392" s="14" t="n"/>
      <c r="V392" s="48" t="n"/>
      <c r="W392" s="48" t="n"/>
      <c r="X392" s="14" t="inlineStr">
        <is>
          <t>3012954</t>
        </is>
      </c>
      <c r="Y392" s="14" t="inlineStr">
        <is>
          <t>V4</t>
        </is>
      </c>
      <c r="Z392" s="14" t="inlineStr">
        <is>
          <t>prior-2026-10-06-v1</t>
        </is>
      </c>
      <c r="AA392" s="14" t="inlineStr">
        <is>
          <t>C</t>
        </is>
      </c>
      <c r="AB392" s="14" t="n">
        <v>0.2186082983922447</v>
      </c>
      <c r="AC392" s="14" t="n">
        <v>0.7813917016077553</v>
      </c>
      <c r="AD392" s="14" t="n">
        <v>-0.75</v>
      </c>
      <c r="AE392" s="14" t="n">
        <v>0</v>
      </c>
      <c r="AF392" s="14" t="n">
        <v>0</v>
      </c>
      <c r="AG392" s="14" t="n">
        <v>0.5080859841029678</v>
      </c>
      <c r="AH392" s="14" t="n"/>
      <c r="AI392" s="14" t="n"/>
      <c r="AJ392" s="14" t="n">
        <v>0.5080859841029678</v>
      </c>
      <c r="AK392" s="14" t="n"/>
      <c r="AL392" s="14" t="n"/>
      <c r="AM392" s="14" t="inlineStr">
        <is>
          <t>EVALUATED</t>
        </is>
      </c>
      <c r="AN392" s="14" t="inlineStr">
        <is>
          <t>RECEIVING_VALIDATED_EDGE;BUCKET_PRIOR_ONLY;INTENT_INTERPRETATION_ONLY;FFL_OPTIONAL;EXPERT_MARKET</t>
        </is>
      </c>
      <c r="AO392" s="14" t="inlineStr">
        <is>
          <t>6a9e07d9c2f75af410fc</t>
        </is>
      </c>
      <c r="AP392" s="14" t="n">
        <v>0.5</v>
      </c>
      <c r="AQ392" s="14" t="n">
        <v>0.93</v>
      </c>
      <c r="AR392" s="14" t="n">
        <v>-0.5</v>
      </c>
      <c r="AS392" s="14" t="n">
        <v>0.5</v>
      </c>
      <c r="AT392" s="14" t="n">
        <v>0.93</v>
      </c>
      <c r="AU392" s="14" t="n">
        <v>0.89</v>
      </c>
      <c r="AV392" s="14" t="inlineStr">
        <is>
          <t>2026-10-06T08:45:29.718562+08:00</t>
        </is>
      </c>
      <c r="AW392" s="14" t="inlineStr">
        <is>
          <t>Titan007/V4</t>
        </is>
      </c>
      <c r="AX392" s="14" t="inlineStr">
        <is>
          <t>Daily append；市场输入缺失时不生成决策</t>
        </is>
      </c>
      <c r="AY392" s="14" t="n"/>
    </row>
    <row r="393" ht="22" customHeight="1" s="39">
      <c r="A393" s="14" t="inlineStr">
        <is>
          <t>2026-10-06</t>
        </is>
      </c>
      <c r="B393" s="14" t="inlineStr">
        <is>
          <t>2026-10-07T02:00:00+08:00</t>
        </is>
      </c>
      <c r="C393" s="14" t="n"/>
      <c r="D393" s="14" t="n"/>
      <c r="E393" s="14" t="inlineStr">
        <is>
          <t>英锦赛</t>
        </is>
      </c>
      <c r="F393" s="14" t="inlineStr">
        <is>
          <t>斯蒂文尼奇 vs 莱斯特城</t>
        </is>
      </c>
      <c r="G393" s="26" t="n">
        <v>0.89</v>
      </c>
      <c r="H393" s="26" t="n">
        <v>-0.25</v>
      </c>
      <c r="I393" s="26" t="n">
        <v>0.93</v>
      </c>
      <c r="J393" s="26" t="inlineStr">
        <is>
          <t>0.89/-0.25/0.93</t>
        </is>
      </c>
      <c r="K393" s="14" t="inlineStr">
        <is>
          <t>V4-C</t>
        </is>
      </c>
      <c r="L393" s="14" t="inlineStr">
        <is>
          <t>斯蒂文尼奇</t>
        </is>
      </c>
      <c r="M393" s="47" t="n">
        <v>0.2869645756288545</v>
      </c>
      <c r="N393" s="14" t="inlineStr">
        <is>
          <t>V4 Shadow Only；real_money=false</t>
        </is>
      </c>
      <c r="O393" s="14" t="inlineStr">
        <is>
          <t>2-1</t>
        </is>
      </c>
      <c r="P393" s="14" t="inlineStr">
        <is>
          <t>已结算</t>
        </is>
      </c>
      <c r="Q393" s="14" t="inlineStr">
        <is>
          <t>红</t>
        </is>
      </c>
      <c r="R393" s="48" t="n">
        <v>0.89</v>
      </c>
      <c r="S393" s="48" t="n">
        <v>0.89</v>
      </c>
      <c r="T393" s="14" t="inlineStr">
        <is>
          <t>D:\codex\outputs\football_odds_trader\decision_versions\2026-10-06\RUN_20261006_084027\slate_raw.csv</t>
        </is>
      </c>
      <c r="U393" s="14" t="n"/>
      <c r="V393" s="48" t="n"/>
      <c r="W393" s="48" t="n"/>
      <c r="X393" s="14" t="inlineStr">
        <is>
          <t>3012960</t>
        </is>
      </c>
      <c r="Y393" s="14" t="inlineStr">
        <is>
          <t>V4</t>
        </is>
      </c>
      <c r="Z393" s="14" t="inlineStr">
        <is>
          <t>prior-2026-10-06-v1</t>
        </is>
      </c>
      <c r="AA393" s="14" t="inlineStr">
        <is>
          <t>C</t>
        </is>
      </c>
      <c r="AB393" s="14" t="n">
        <v>0.2869645756288545</v>
      </c>
      <c r="AC393" s="14" t="n">
        <v>0.5834780658919665</v>
      </c>
      <c r="AD393" s="14" t="n">
        <v>-0.25</v>
      </c>
      <c r="AE393" s="14" t="n">
        <v>0</v>
      </c>
      <c r="AF393" s="14" t="n">
        <v>0</v>
      </c>
      <c r="AG393" s="14" t="n">
        <v>0.2323309030149956</v>
      </c>
      <c r="AH393" s="14" t="n"/>
      <c r="AI393" s="14" t="n"/>
      <c r="AJ393" s="14" t="n">
        <v>0.2323309030149956</v>
      </c>
      <c r="AK393" s="14" t="n"/>
      <c r="AL393" s="14" t="n"/>
      <c r="AM393" s="14" t="inlineStr">
        <is>
          <t>EVALUATED</t>
        </is>
      </c>
      <c r="AN393" s="14" t="inlineStr">
        <is>
          <t>RECEIVING_VALIDATED_EDGE;BUCKET_PRIOR_ONLY;INTENT_INTERPRETATION_ONLY;FFL_OPTIONAL;EXPERT_MARKET</t>
        </is>
      </c>
      <c r="AO393" s="14" t="inlineStr">
        <is>
          <t>70f9bd8f44109fced0d0</t>
        </is>
      </c>
      <c r="AP393" s="14" t="n">
        <v>0.25</v>
      </c>
      <c r="AQ393" s="14" t="n">
        <v>0.89</v>
      </c>
      <c r="AR393" s="14" t="n">
        <v>-0.25</v>
      </c>
      <c r="AS393" s="14" t="n">
        <v>0.25</v>
      </c>
      <c r="AT393" s="14" t="n">
        <v>0.89</v>
      </c>
      <c r="AU393" s="14" t="n">
        <v>0.93</v>
      </c>
      <c r="AV393" s="14" t="inlineStr">
        <is>
          <t>2026-10-06T08:45:29.718562+08:00</t>
        </is>
      </c>
      <c r="AW393" s="14" t="inlineStr">
        <is>
          <t>Titan007/V4</t>
        </is>
      </c>
      <c r="AX393" s="14" t="inlineStr">
        <is>
          <t>Daily append；市场输入缺失时不生成决策</t>
        </is>
      </c>
      <c r="AY393" s="14" t="n"/>
    </row>
    <row r="394" ht="22" customHeight="1" s="39">
      <c r="A394" s="14" t="inlineStr">
        <is>
          <t>2026-10-06</t>
        </is>
      </c>
      <c r="B394" s="14" t="inlineStr">
        <is>
          <t>2026-10-07T02:00:00+08:00</t>
        </is>
      </c>
      <c r="C394" s="14" t="n"/>
      <c r="D394" s="14" t="n"/>
      <c r="E394" s="14" t="inlineStr">
        <is>
          <t>英锦赛</t>
        </is>
      </c>
      <c r="F394" s="14" t="inlineStr">
        <is>
          <t>彼得堡联 vs 伊普斯维奇U21</t>
        </is>
      </c>
      <c r="G394" s="26" t="n">
        <v>0.95</v>
      </c>
      <c r="H394" s="26" t="n">
        <v>2.25</v>
      </c>
      <c r="I394" s="26" t="n">
        <v>0.87</v>
      </c>
      <c r="J394" s="26" t="inlineStr">
        <is>
          <t>0.95/2.25/0.87</t>
        </is>
      </c>
      <c r="K394" s="14" t="inlineStr">
        <is>
          <t>V4-C</t>
        </is>
      </c>
      <c r="L394" s="14" t="inlineStr">
        <is>
          <t>彼得堡联</t>
        </is>
      </c>
      <c r="M394" s="47" t="n">
        <v>0.4898227797708971</v>
      </c>
      <c r="N394" s="14" t="inlineStr">
        <is>
          <t>V4 Shadow Only；real_money=false</t>
        </is>
      </c>
      <c r="O394" s="14" t="inlineStr">
        <is>
          <t>4-1</t>
        </is>
      </c>
      <c r="P394" s="14" t="inlineStr">
        <is>
          <t>已结算</t>
        </is>
      </c>
      <c r="Q394" s="14" t="inlineStr">
        <is>
          <t>红</t>
        </is>
      </c>
      <c r="R394" s="48" t="n">
        <v>0.95</v>
      </c>
      <c r="S394" s="48" t="n">
        <v>0.95</v>
      </c>
      <c r="T394" s="14" t="inlineStr">
        <is>
          <t>D:\codex\outputs\football_odds_trader\decision_versions\2026-10-06\RUN_20261006_084027\slate_raw.csv</t>
        </is>
      </c>
      <c r="U394" s="14" t="n"/>
      <c r="V394" s="48" t="n"/>
      <c r="W394" s="48" t="n"/>
      <c r="X394" s="14" t="inlineStr">
        <is>
          <t>3012975</t>
        </is>
      </c>
      <c r="Y394" s="14" t="inlineStr">
        <is>
          <t>V4</t>
        </is>
      </c>
      <c r="Z394" s="14" t="inlineStr">
        <is>
          <t>prior-2026-10-06-v1</t>
        </is>
      </c>
      <c r="AA394" s="14" t="inlineStr">
        <is>
          <t>C</t>
        </is>
      </c>
      <c r="AB394" s="14" t="n">
        <v>0.4898227797708971</v>
      </c>
      <c r="AC394" s="14" t="n">
        <v>0.3888188305062646</v>
      </c>
      <c r="AD394" s="14" t="n">
        <v>2.75</v>
      </c>
      <c r="AE394" s="14" t="n"/>
      <c r="AF394" s="14" t="n"/>
      <c r="AG394" s="14" t="n">
        <v>0.07651281027608764</v>
      </c>
      <c r="AH394" s="14" t="n"/>
      <c r="AI394" s="14" t="n"/>
      <c r="AJ394" s="14" t="n">
        <v>0.07651281027608764</v>
      </c>
      <c r="AK394" s="14" t="n"/>
      <c r="AL394" s="14" t="n"/>
      <c r="AM394" s="14" t="inlineStr">
        <is>
          <t>EVALUATED</t>
        </is>
      </c>
      <c r="AN394" s="14" t="inlineStr">
        <is>
          <t>GIVING_VALIDATED_EDGE;BUCKET_PRIOR_ONLY;INTENT_INTERPRETATION_ONLY;FFL_OPTIONAL;EXPERT_MARKET</t>
        </is>
      </c>
      <c r="AO394" s="14" t="inlineStr">
        <is>
          <t>51837ca5d623e6a7cfc7</t>
        </is>
      </c>
      <c r="AP394" s="14" t="n">
        <v>-2.25</v>
      </c>
      <c r="AQ394" s="14" t="n">
        <v>0.95</v>
      </c>
      <c r="AR394" s="14" t="n">
        <v>2.25</v>
      </c>
      <c r="AS394" s="14" t="n">
        <v>-2.25</v>
      </c>
      <c r="AT394" s="14" t="n">
        <v>0.95</v>
      </c>
      <c r="AU394" s="14" t="n">
        <v>0.87</v>
      </c>
      <c r="AV394" s="14" t="inlineStr">
        <is>
          <t>2026-10-06T08:45:29.718562+08:00</t>
        </is>
      </c>
      <c r="AW394" s="14" t="inlineStr">
        <is>
          <t>Titan007/V4</t>
        </is>
      </c>
      <c r="AX394" s="14" t="inlineStr">
        <is>
          <t>Daily append；市场输入缺失时不生成决策</t>
        </is>
      </c>
      <c r="AY394" s="14" t="n"/>
    </row>
    <row r="395" ht="22" customHeight="1" s="39">
      <c r="A395" s="14" t="inlineStr">
        <is>
          <t>2026-10-06</t>
        </is>
      </c>
      <c r="B395" s="14" t="inlineStr">
        <is>
          <t>2026-10-07T02:00:00+08:00</t>
        </is>
      </c>
      <c r="C395" s="14" t="n"/>
      <c r="D395" s="14" t="n"/>
      <c r="E395" s="14" t="inlineStr">
        <is>
          <t>英锦赛</t>
        </is>
      </c>
      <c r="F395" s="14" t="inlineStr">
        <is>
          <t>纽波特 vs 普利茅斯</t>
        </is>
      </c>
      <c r="G395" s="26" t="n">
        <v>1.01</v>
      </c>
      <c r="H395" s="26" t="n">
        <v>-0.75</v>
      </c>
      <c r="I395" s="26" t="n">
        <v>0.8100000000000001</v>
      </c>
      <c r="J395" s="26" t="inlineStr">
        <is>
          <t>1.01/-0.75/0.81</t>
        </is>
      </c>
      <c r="K395" s="14" t="inlineStr">
        <is>
          <t>V4-C</t>
        </is>
      </c>
      <c r="L395" s="14" t="inlineStr">
        <is>
          <t>纽波特</t>
        </is>
      </c>
      <c r="M395" s="47" t="n">
        <v>0.08557665359837183</v>
      </c>
      <c r="N395" s="14" t="inlineStr">
        <is>
          <t>V4 Shadow Only；real_money=false</t>
        </is>
      </c>
      <c r="O395" s="14" t="inlineStr">
        <is>
          <t>2-2</t>
        </is>
      </c>
      <c r="P395" s="14" t="inlineStr">
        <is>
          <t>已结算</t>
        </is>
      </c>
      <c r="Q395" s="14" t="inlineStr">
        <is>
          <t>红</t>
        </is>
      </c>
      <c r="R395" s="48" t="n">
        <v>1.01</v>
      </c>
      <c r="S395" s="48" t="n">
        <v>1.01</v>
      </c>
      <c r="T395" s="14" t="inlineStr">
        <is>
          <t>D:\codex\outputs\football_odds_trader\decision_versions\2026-10-06\RUN_20261006_084027\slate_raw.csv</t>
        </is>
      </c>
      <c r="U395" s="14" t="n"/>
      <c r="V395" s="48" t="n"/>
      <c r="W395" s="48" t="n"/>
      <c r="X395" s="14" t="inlineStr">
        <is>
          <t>3012981</t>
        </is>
      </c>
      <c r="Y395" s="14" t="inlineStr">
        <is>
          <t>V4</t>
        </is>
      </c>
      <c r="Z395" s="14" t="inlineStr">
        <is>
          <t>prior-2026-10-06-v1</t>
        </is>
      </c>
      <c r="AA395" s="14" t="inlineStr">
        <is>
          <t>C</t>
        </is>
      </c>
      <c r="AB395" s="14" t="n">
        <v>0.08557665359837183</v>
      </c>
      <c r="AC395" s="14" t="n">
        <v>0.8657656041495398</v>
      </c>
      <c r="AD395" s="14" t="n">
        <v>-1.25</v>
      </c>
      <c r="AE395" s="14" t="n">
        <v>0</v>
      </c>
      <c r="AF395" s="14" t="n">
        <v>0</v>
      </c>
      <c r="AG395" s="14" t="n">
        <v>0.7888466065926634</v>
      </c>
      <c r="AH395" s="14" t="n"/>
      <c r="AI395" s="14" t="n"/>
      <c r="AJ395" s="14" t="n">
        <v>0.7888466065926634</v>
      </c>
      <c r="AK395" s="14" t="n"/>
      <c r="AL395" s="14" t="n"/>
      <c r="AM395" s="14" t="inlineStr">
        <is>
          <t>EVALUATED</t>
        </is>
      </c>
      <c r="AN395" s="14" t="inlineStr">
        <is>
          <t>RECEIVING_VALIDATED_EDGE;BUCKET_PRIOR_ONLY;INTENT_INTERPRETATION_ONLY;FFL_OPTIONAL;EXPERT_MARKET</t>
        </is>
      </c>
      <c r="AO395" s="14" t="inlineStr">
        <is>
          <t>2b14dc33f2f19c8c63c9</t>
        </is>
      </c>
      <c r="AP395" s="14" t="n">
        <v>0.75</v>
      </c>
      <c r="AQ395" s="14" t="n">
        <v>1.01</v>
      </c>
      <c r="AR395" s="14" t="n">
        <v>-0.75</v>
      </c>
      <c r="AS395" s="14" t="n">
        <v>0.75</v>
      </c>
      <c r="AT395" s="14" t="n">
        <v>1.01</v>
      </c>
      <c r="AU395" s="14" t="n">
        <v>0.8100000000000001</v>
      </c>
      <c r="AV395" s="14" t="inlineStr">
        <is>
          <t>2026-10-06T08:45:29.718562+08:00</t>
        </is>
      </c>
      <c r="AW395" s="14" t="inlineStr">
        <is>
          <t>Titan007/V4</t>
        </is>
      </c>
      <c r="AX395" s="14" t="inlineStr">
        <is>
          <t>Daily append；市场输入缺失时不生成决策</t>
        </is>
      </c>
      <c r="AY395" s="14" t="n"/>
    </row>
    <row r="396" ht="22" customHeight="1" s="39">
      <c r="A396" s="14" t="inlineStr">
        <is>
          <t>2026-10-06</t>
        </is>
      </c>
      <c r="B396" s="14" t="inlineStr">
        <is>
          <t>2026-10-07T02:00:00+08:00</t>
        </is>
      </c>
      <c r="C396" s="14" t="n"/>
      <c r="D396" s="14" t="n"/>
      <c r="E396" s="14" t="inlineStr">
        <is>
          <t>英锦赛</t>
        </is>
      </c>
      <c r="F396" s="14" t="inlineStr">
        <is>
          <t>剑桥联 vs 北安普敦</t>
        </is>
      </c>
      <c r="G396" s="26" t="n">
        <v>0.82</v>
      </c>
      <c r="H396" s="26" t="n">
        <v>0.5</v>
      </c>
      <c r="I396" s="26" t="n">
        <v>1</v>
      </c>
      <c r="J396" s="26" t="inlineStr">
        <is>
          <t>0.82/0.5/1.0</t>
        </is>
      </c>
      <c r="K396" s="14" t="inlineStr">
        <is>
          <t>V4-C</t>
        </is>
      </c>
      <c r="L396" s="14" t="inlineStr">
        <is>
          <t>剑桥联</t>
        </is>
      </c>
      <c r="M396" s="47" t="n">
        <v>0.5932767012810619</v>
      </c>
      <c r="N396" s="14" t="inlineStr">
        <is>
          <t>V4 Shadow Only；real_money=false</t>
        </is>
      </c>
      <c r="O396" s="14" t="inlineStr">
        <is>
          <t>2-1</t>
        </is>
      </c>
      <c r="P396" s="14" t="inlineStr">
        <is>
          <t>已结算</t>
        </is>
      </c>
      <c r="Q396" s="14" t="inlineStr">
        <is>
          <t>红</t>
        </is>
      </c>
      <c r="R396" s="48" t="n">
        <v>0.82</v>
      </c>
      <c r="S396" s="48" t="n">
        <v>0.82</v>
      </c>
      <c r="T396" s="14" t="inlineStr">
        <is>
          <t>D:\codex\outputs\football_odds_trader\decision_versions\2026-10-06\RUN_20261006_084027\slate_raw.csv</t>
        </is>
      </c>
      <c r="U396" s="14" t="n"/>
      <c r="V396" s="48" t="n"/>
      <c r="W396" s="48" t="n"/>
      <c r="X396" s="14" t="inlineStr">
        <is>
          <t>3012991</t>
        </is>
      </c>
      <c r="Y396" s="14" t="inlineStr">
        <is>
          <t>V4</t>
        </is>
      </c>
      <c r="Z396" s="14" t="inlineStr">
        <is>
          <t>prior-2026-10-06-v1</t>
        </is>
      </c>
      <c r="AA396" s="14" t="inlineStr">
        <is>
          <t>C</t>
        </is>
      </c>
      <c r="AB396" s="14" t="n">
        <v>0.5932767012810619</v>
      </c>
      <c r="AC396" s="14" t="n">
        <v>0.4067232987189381</v>
      </c>
      <c r="AD396" s="14" t="n">
        <v>1</v>
      </c>
      <c r="AE396" s="14" t="n"/>
      <c r="AF396" s="14" t="n"/>
      <c r="AG396" s="14" t="n">
        <v>0.07976359633153257</v>
      </c>
      <c r="AH396" s="14" t="n"/>
      <c r="AI396" s="14" t="n"/>
      <c r="AJ396" s="14" t="n">
        <v>0.07976359633153257</v>
      </c>
      <c r="AK396" s="14" t="n"/>
      <c r="AL396" s="14" t="n"/>
      <c r="AM396" s="14" t="inlineStr">
        <is>
          <t>EVALUATED</t>
        </is>
      </c>
      <c r="AN396" s="14" t="inlineStr">
        <is>
          <t>GIVING_VALIDATED_EDGE;BUCKET_PRIOR_ONLY;INTENT_INTERPRETATION_ONLY;FFL_OPTIONAL;EXPERT_MARKET</t>
        </is>
      </c>
      <c r="AO396" s="14" t="inlineStr">
        <is>
          <t>4cdae4a3169aab777021</t>
        </is>
      </c>
      <c r="AP396" s="14" t="n">
        <v>-0.5</v>
      </c>
      <c r="AQ396" s="14" t="n">
        <v>0.82</v>
      </c>
      <c r="AR396" s="14" t="n">
        <v>0.5</v>
      </c>
      <c r="AS396" s="14" t="n">
        <v>-0.5</v>
      </c>
      <c r="AT396" s="14" t="n">
        <v>0.82</v>
      </c>
      <c r="AU396" s="14" t="n">
        <v>1</v>
      </c>
      <c r="AV396" s="14" t="inlineStr">
        <is>
          <t>2026-10-06T08:45:29.718562+08:00</t>
        </is>
      </c>
      <c r="AW396" s="14" t="inlineStr">
        <is>
          <t>Titan007/V4</t>
        </is>
      </c>
      <c r="AX396" s="14" t="inlineStr">
        <is>
          <t>Daily append；市场输入缺失时不生成决策</t>
        </is>
      </c>
      <c r="AY396" s="14" t="n"/>
    </row>
    <row r="397" ht="22" customHeight="1" s="39">
      <c r="A397" s="14" t="inlineStr">
        <is>
          <t>2026-10-06</t>
        </is>
      </c>
      <c r="B397" s="14" t="inlineStr">
        <is>
          <t>2026-10-07T02:45:00+08:00</t>
        </is>
      </c>
      <c r="C397" s="14" t="n"/>
      <c r="D397" s="14" t="n"/>
      <c r="E397" s="14" t="inlineStr">
        <is>
          <t>英锦赛</t>
        </is>
      </c>
      <c r="F397" s="14" t="inlineStr">
        <is>
          <t>克劳利 vs 布罗姆利</t>
        </is>
      </c>
      <c r="G397" s="26" t="n">
        <v>1</v>
      </c>
      <c r="H397" s="26" t="n">
        <v>-0.25</v>
      </c>
      <c r="I397" s="26" t="n">
        <v>0.82</v>
      </c>
      <c r="J397" s="26" t="inlineStr">
        <is>
          <t>1.0/-0.25/0.82</t>
        </is>
      </c>
      <c r="K397" s="14" t="inlineStr">
        <is>
          <t>V4-C</t>
        </is>
      </c>
      <c r="L397" s="14" t="inlineStr">
        <is>
          <t>克劳利</t>
        </is>
      </c>
      <c r="M397" s="47" t="n">
        <v>0.2681512064544646</v>
      </c>
      <c r="N397" s="14" t="inlineStr">
        <is>
          <t>V4 Shadow Only；real_money=false</t>
        </is>
      </c>
      <c r="O397" s="14" t="inlineStr">
        <is>
          <t>4-0</t>
        </is>
      </c>
      <c r="P397" s="14" t="inlineStr">
        <is>
          <t>已结算</t>
        </is>
      </c>
      <c r="Q397" s="14" t="inlineStr">
        <is>
          <t>红</t>
        </is>
      </c>
      <c r="R397" s="48" t="n">
        <v>1</v>
      </c>
      <c r="S397" s="48" t="n">
        <v>1</v>
      </c>
      <c r="T397" s="14" t="inlineStr">
        <is>
          <t>D:\codex\outputs\football_odds_trader\decision_versions\2026-10-06\RUN_20261006_084027\slate_raw.csv</t>
        </is>
      </c>
      <c r="U397" s="14" t="n"/>
      <c r="V397" s="48" t="n"/>
      <c r="W397" s="48" t="n"/>
      <c r="X397" s="14" t="inlineStr">
        <is>
          <t>3012996</t>
        </is>
      </c>
      <c r="Y397" s="14" t="inlineStr">
        <is>
          <t>V4</t>
        </is>
      </c>
      <c r="Z397" s="14" t="inlineStr">
        <is>
          <t>prior-2026-10-06-v1</t>
        </is>
      </c>
      <c r="AA397" s="14" t="inlineStr">
        <is>
          <t>C</t>
        </is>
      </c>
      <c r="AB397" s="14" t="n">
        <v>0.2681512064544646</v>
      </c>
      <c r="AC397" s="14" t="n">
        <v>0.6045714573705793</v>
      </c>
      <c r="AD397" s="14" t="n">
        <v>-0.5</v>
      </c>
      <c r="AE397" s="14" t="n">
        <v>0</v>
      </c>
      <c r="AF397" s="14" t="n">
        <v>0</v>
      </c>
      <c r="AG397" s="14" t="n">
        <v>0.3364202509161147</v>
      </c>
      <c r="AH397" s="14" t="n"/>
      <c r="AI397" s="14" t="n"/>
      <c r="AJ397" s="14" t="n">
        <v>0.3364202509161147</v>
      </c>
      <c r="AK397" s="14" t="n"/>
      <c r="AL397" s="14" t="n"/>
      <c r="AM397" s="14" t="inlineStr">
        <is>
          <t>EVALUATED</t>
        </is>
      </c>
      <c r="AN397" s="14" t="inlineStr">
        <is>
          <t>RECEIVING_VALIDATED_EDGE;BUCKET_PRIOR_ONLY;INTENT_INTERPRETATION_ONLY;FFL_OPTIONAL;EXPERT_MARKET</t>
        </is>
      </c>
      <c r="AO397" s="14" t="inlineStr">
        <is>
          <t>98b2bf90f625cc361f05</t>
        </is>
      </c>
      <c r="AP397" s="14" t="n">
        <v>0.25</v>
      </c>
      <c r="AQ397" s="14" t="n">
        <v>1</v>
      </c>
      <c r="AR397" s="14" t="n">
        <v>-0.25</v>
      </c>
      <c r="AS397" s="14" t="n">
        <v>0.25</v>
      </c>
      <c r="AT397" s="14" t="n">
        <v>1</v>
      </c>
      <c r="AU397" s="14" t="n">
        <v>0.82</v>
      </c>
      <c r="AV397" s="14" t="inlineStr">
        <is>
          <t>2026-10-06T08:45:29.718562+08:00</t>
        </is>
      </c>
      <c r="AW397" s="14" t="inlineStr">
        <is>
          <t>Titan007/V4</t>
        </is>
      </c>
      <c r="AX397" s="14" t="inlineStr">
        <is>
          <t>Daily append；市场输入缺失时不生成决策</t>
        </is>
      </c>
      <c r="AY397" s="14" t="n"/>
    </row>
    <row r="398" ht="22" customHeight="1" s="39">
      <c r="A398" s="14" t="inlineStr">
        <is>
          <t>2026-10-06</t>
        </is>
      </c>
      <c r="B398" s="14" t="inlineStr">
        <is>
          <t>2026-10-07T02:45:00+08:00</t>
        </is>
      </c>
      <c r="C398" s="14" t="n"/>
      <c r="D398" s="14" t="n"/>
      <c r="E398" s="14" t="inlineStr">
        <is>
          <t>英议南</t>
        </is>
      </c>
      <c r="F398" s="14" t="inlineStr">
        <is>
          <t>法纳姆城 vs 特鲁罗城</t>
        </is>
      </c>
      <c r="G398" s="26" t="n">
        <v>0.82</v>
      </c>
      <c r="H398" s="26" t="n">
        <v>-0.5</v>
      </c>
      <c r="I398" s="26" t="n">
        <v>0.88</v>
      </c>
      <c r="J398" s="26" t="inlineStr">
        <is>
          <t>0.82/-0.5/0.88</t>
        </is>
      </c>
      <c r="K398" s="14" t="inlineStr">
        <is>
          <t>V4-C</t>
        </is>
      </c>
      <c r="L398" s="14" t="inlineStr">
        <is>
          <t>法纳姆城</t>
        </is>
      </c>
      <c r="M398" s="47" t="n">
        <v>0.2165544632998025</v>
      </c>
      <c r="N398" s="14" t="inlineStr">
        <is>
          <t>V4 Shadow Only；real_money=false</t>
        </is>
      </c>
      <c r="O398" s="14" t="inlineStr">
        <is>
          <t>2-2</t>
        </is>
      </c>
      <c r="P398" s="14" t="inlineStr">
        <is>
          <t>已结算</t>
        </is>
      </c>
      <c r="Q398" s="14" t="inlineStr">
        <is>
          <t>红</t>
        </is>
      </c>
      <c r="R398" s="48" t="n">
        <v>0.82</v>
      </c>
      <c r="S398" s="48" t="n">
        <v>0.82</v>
      </c>
      <c r="T398" s="14" t="inlineStr">
        <is>
          <t>D:\codex\outputs\football_odds_trader\decision_versions\2026-10-06\RUN_20261006_084027\slate_raw.csv</t>
        </is>
      </c>
      <c r="U398" s="14" t="n"/>
      <c r="V398" s="48" t="n"/>
      <c r="W398" s="48" t="n"/>
      <c r="X398" s="14" t="inlineStr">
        <is>
          <t>3028894</t>
        </is>
      </c>
      <c r="Y398" s="14" t="inlineStr">
        <is>
          <t>V4</t>
        </is>
      </c>
      <c r="Z398" s="14" t="inlineStr">
        <is>
          <t>prior-2026-10-06-v1</t>
        </is>
      </c>
      <c r="AA398" s="14" t="inlineStr">
        <is>
          <t>C</t>
        </is>
      </c>
      <c r="AB398" s="14" t="n">
        <v>0.2165544632998025</v>
      </c>
      <c r="AC398" s="14" t="n">
        <v>0.7834455367001975</v>
      </c>
      <c r="AD398" s="14" t="n">
        <v>-0.75</v>
      </c>
      <c r="AE398" s="14" t="n">
        <v>0</v>
      </c>
      <c r="AF398" s="14" t="n">
        <v>0</v>
      </c>
      <c r="AG398" s="14" t="n">
        <v>0.4258708767943594</v>
      </c>
      <c r="AH398" s="14" t="n"/>
      <c r="AI398" s="14" t="n"/>
      <c r="AJ398" s="14" t="n">
        <v>0.4258708767943594</v>
      </c>
      <c r="AK398" s="14" t="n"/>
      <c r="AL398" s="14" t="n"/>
      <c r="AM398" s="14" t="inlineStr">
        <is>
          <t>EVALUATED</t>
        </is>
      </c>
      <c r="AN398" s="14" t="inlineStr">
        <is>
          <t>RECEIVING_VALIDATED_EDGE;BUCKET_PRIOR_ONLY;INTENT_INTERPRETATION_ONLY;FFL_OPTIONAL;EXPERT_MARKET</t>
        </is>
      </c>
      <c r="AO398" s="14" t="inlineStr">
        <is>
          <t>0ef4071f04df67274d96</t>
        </is>
      </c>
      <c r="AP398" s="14" t="n">
        <v>0.5</v>
      </c>
      <c r="AQ398" s="14" t="n">
        <v>0.82</v>
      </c>
      <c r="AR398" s="14" t="n">
        <v>-0.5</v>
      </c>
      <c r="AS398" s="14" t="n">
        <v>0.5</v>
      </c>
      <c r="AT398" s="14" t="n">
        <v>0.82</v>
      </c>
      <c r="AU398" s="14" t="n">
        <v>0.88</v>
      </c>
      <c r="AV398" s="14" t="inlineStr">
        <is>
          <t>2026-10-06T08:45:29.718562+08:00</t>
        </is>
      </c>
      <c r="AW398" s="14" t="inlineStr">
        <is>
          <t>Titan007/V4</t>
        </is>
      </c>
      <c r="AX398" s="14" t="inlineStr">
        <is>
          <t>Daily append；市场输入缺失时不生成决策</t>
        </is>
      </c>
      <c r="AY398" s="14" t="n"/>
    </row>
    <row r="399" ht="22" customHeight="1" s="39">
      <c r="A399" s="14" t="inlineStr">
        <is>
          <t>2026-10-06</t>
        </is>
      </c>
      <c r="B399" s="14" t="inlineStr">
        <is>
          <t>2026-10-07T02:45:00+08:00</t>
        </is>
      </c>
      <c r="C399" s="14" t="n"/>
      <c r="D399" s="14" t="n"/>
      <c r="E399" s="14" t="inlineStr">
        <is>
          <t>英依超</t>
        </is>
      </c>
      <c r="F399" s="14" t="inlineStr">
        <is>
          <t>柴斯罕特 vs 艾维利</t>
        </is>
      </c>
      <c r="G399" s="26" t="n">
        <v>1</v>
      </c>
      <c r="H399" s="26" t="n">
        <v>-0.25</v>
      </c>
      <c r="I399" s="26" t="n">
        <v>0.8</v>
      </c>
      <c r="J399" s="26" t="inlineStr">
        <is>
          <t>1.0/-0.25/0.8</t>
        </is>
      </c>
      <c r="K399" s="14" t="inlineStr">
        <is>
          <t>V4-B</t>
        </is>
      </c>
      <c r="L399" s="14" t="inlineStr">
        <is>
          <t>柴斯罕特</t>
        </is>
      </c>
      <c r="M399" s="47" t="n">
        <v>0.2600508625535033</v>
      </c>
      <c r="N399" s="14" t="inlineStr">
        <is>
          <t>V4 Shadow Only；real_money=false</t>
        </is>
      </c>
      <c r="O399" s="14" t="inlineStr">
        <is>
          <t>2-1</t>
        </is>
      </c>
      <c r="P399" s="14" t="inlineStr">
        <is>
          <t>已结算</t>
        </is>
      </c>
      <c r="Q399" s="14" t="inlineStr">
        <is>
          <t>红</t>
        </is>
      </c>
      <c r="R399" s="48" t="n">
        <v>1</v>
      </c>
      <c r="S399" s="48" t="n">
        <v>1</v>
      </c>
      <c r="T399" s="14" t="inlineStr">
        <is>
          <t>D:\codex\outputs\football_odds_trader\decision_versions\2026-10-06\RUN_20261006_084027\slate_raw.csv</t>
        </is>
      </c>
      <c r="U399" s="14" t="n"/>
      <c r="V399" s="48" t="n"/>
      <c r="W399" s="48" t="n"/>
      <c r="X399" s="14" t="inlineStr">
        <is>
          <t>3037429</t>
        </is>
      </c>
      <c r="Y399" s="14" t="inlineStr">
        <is>
          <t>V4</t>
        </is>
      </c>
      <c r="Z399" s="14" t="inlineStr">
        <is>
          <t>prior-2026-10-06-v1</t>
        </is>
      </c>
      <c r="AA399" s="14" t="inlineStr">
        <is>
          <t>B</t>
        </is>
      </c>
      <c r="AB399" s="14" t="n">
        <v>0.2600508625535033</v>
      </c>
      <c r="AC399" s="14" t="n">
        <v>0.6132973424367383</v>
      </c>
      <c r="AD399" s="14" t="n">
        <v>-0.5</v>
      </c>
      <c r="AE399" s="14" t="n">
        <v>0</v>
      </c>
      <c r="AF399" s="14" t="n">
        <v>0</v>
      </c>
      <c r="AG399" s="14" t="n">
        <v>0.353246479883235</v>
      </c>
      <c r="AH399" s="14" t="n"/>
      <c r="AI399" s="14" t="n"/>
      <c r="AJ399" s="14" t="n">
        <v>0.353246479883235</v>
      </c>
      <c r="AK399" s="14" t="n"/>
      <c r="AL399" s="14" t="n"/>
      <c r="AM399" s="14" t="inlineStr">
        <is>
          <t>EVALUATED</t>
        </is>
      </c>
      <c r="AN399" s="14" t="inlineStr">
        <is>
          <t>RECEIVING_VALIDATED_EDGE;BUCKET_PRIOR_ONLY;INTENT_INTERPRETATION_ONLY;FFL_OPTIONAL;EXPERT_MARKET</t>
        </is>
      </c>
      <c r="AO399" s="14" t="inlineStr">
        <is>
          <t>f7476bb260de3534b7ab</t>
        </is>
      </c>
      <c r="AP399" s="14" t="n">
        <v>0.25</v>
      </c>
      <c r="AQ399" s="14" t="n">
        <v>1</v>
      </c>
      <c r="AR399" s="14" t="n">
        <v>-0.25</v>
      </c>
      <c r="AS399" s="14" t="n">
        <v>0.25</v>
      </c>
      <c r="AT399" s="14" t="n">
        <v>1</v>
      </c>
      <c r="AU399" s="14" t="n">
        <v>0.8</v>
      </c>
      <c r="AV399" s="14" t="inlineStr">
        <is>
          <t>2026-10-06T08:45:29.718562+08:00</t>
        </is>
      </c>
      <c r="AW399" s="14" t="inlineStr">
        <is>
          <t>Titan007/V4</t>
        </is>
      </c>
      <c r="AX399" s="14" t="inlineStr">
        <is>
          <t>Daily append；市场输入缺失时不生成决策</t>
        </is>
      </c>
      <c r="AY399" s="14" t="n"/>
    </row>
    <row r="400" ht="22" customHeight="1" s="39">
      <c r="A400" s="14" t="inlineStr">
        <is>
          <t>2026-10-06</t>
        </is>
      </c>
      <c r="B400" s="14" t="inlineStr">
        <is>
          <t>2026-10-07T02:45:00+08:00</t>
        </is>
      </c>
      <c r="C400" s="14" t="n"/>
      <c r="D400" s="14" t="n"/>
      <c r="E400" s="14" t="inlineStr">
        <is>
          <t>英依超</t>
        </is>
      </c>
      <c r="F400" s="14" t="inlineStr">
        <is>
          <t>莫尔登蒂普特里 vs 威灵</t>
        </is>
      </c>
      <c r="G400" s="26" t="n">
        <v>0.83</v>
      </c>
      <c r="H400" s="26" t="n">
        <v>-1</v>
      </c>
      <c r="I400" s="26" t="n">
        <v>0.98</v>
      </c>
      <c r="J400" s="26" t="inlineStr">
        <is>
          <t>0.83/-1.0/0.98</t>
        </is>
      </c>
      <c r="K400" s="14" t="inlineStr">
        <is>
          <t>V4-B</t>
        </is>
      </c>
      <c r="L400" s="14" t="inlineStr">
        <is>
          <t>莫尔登蒂普特里</t>
        </is>
      </c>
      <c r="M400" s="47" t="n">
        <v>0.02417181444695369</v>
      </c>
      <c r="N400" s="14" t="inlineStr">
        <is>
          <t>V4 Shadow Only；real_money=false</t>
        </is>
      </c>
      <c r="O400" s="14" t="inlineStr">
        <is>
          <t>0-1</t>
        </is>
      </c>
      <c r="P400" s="14" t="inlineStr">
        <is>
          <t>已结算</t>
        </is>
      </c>
      <c r="Q400" s="14" t="inlineStr">
        <is>
          <t>走</t>
        </is>
      </c>
      <c r="R400" s="48" t="n">
        <v>0.83</v>
      </c>
      <c r="S400" s="48" t="n">
        <v>0</v>
      </c>
      <c r="T400" s="14" t="inlineStr">
        <is>
          <t>D:\codex\outputs\football_odds_trader\decision_versions\2026-10-06\RUN_20261006_084027\slate_raw.csv</t>
        </is>
      </c>
      <c r="U400" s="14" t="n"/>
      <c r="V400" s="48" t="n"/>
      <c r="W400" s="48" t="n"/>
      <c r="X400" s="14" t="inlineStr">
        <is>
          <t>3037432</t>
        </is>
      </c>
      <c r="Y400" s="14" t="inlineStr">
        <is>
          <t>V4</t>
        </is>
      </c>
      <c r="Z400" s="14" t="inlineStr">
        <is>
          <t>prior-2026-10-06-v1</t>
        </is>
      </c>
      <c r="AA400" s="14" t="inlineStr">
        <is>
          <t>B</t>
        </is>
      </c>
      <c r="AB400" s="14" t="n">
        <v>0.02417181444695369</v>
      </c>
      <c r="AC400" s="14" t="n">
        <v>0.8992790835676339</v>
      </c>
      <c r="AD400" s="14" t="n">
        <v>-1.5</v>
      </c>
      <c r="AE400" s="14" t="n">
        <v>0</v>
      </c>
      <c r="AF400" s="14" t="n">
        <v>0</v>
      </c>
      <c r="AG400" s="14" t="n">
        <v>0.7222298249141823</v>
      </c>
      <c r="AH400" s="14" t="n"/>
      <c r="AI400" s="14" t="n"/>
      <c r="AJ400" s="14" t="n">
        <v>0.7222298249141823</v>
      </c>
      <c r="AK400" s="14" t="n"/>
      <c r="AL400" s="14" t="n"/>
      <c r="AM400" s="14" t="inlineStr">
        <is>
          <t>EVALUATED</t>
        </is>
      </c>
      <c r="AN400" s="14" t="inlineStr">
        <is>
          <t>RECEIVING_VALIDATED_EDGE;BUCKET_PRIOR_ONLY;INTENT_INTERPRETATION_ONLY;FFL_OPTIONAL;EXPERT_MARKET</t>
        </is>
      </c>
      <c r="AO400" s="14" t="inlineStr">
        <is>
          <t>6edbb40a242daee4bfdf</t>
        </is>
      </c>
      <c r="AP400" s="14" t="n">
        <v>1</v>
      </c>
      <c r="AQ400" s="14" t="n">
        <v>0.83</v>
      </c>
      <c r="AR400" s="14" t="n">
        <v>-1</v>
      </c>
      <c r="AS400" s="14" t="n">
        <v>1</v>
      </c>
      <c r="AT400" s="14" t="n">
        <v>0.83</v>
      </c>
      <c r="AU400" s="14" t="n">
        <v>0.98</v>
      </c>
      <c r="AV400" s="14" t="inlineStr">
        <is>
          <t>2026-10-06T08:45:29.718562+08:00</t>
        </is>
      </c>
      <c r="AW400" s="14" t="inlineStr">
        <is>
          <t>Titan007/V4</t>
        </is>
      </c>
      <c r="AX400" s="14" t="inlineStr">
        <is>
          <t>Daily append；市场输入缺失时不生成决策</t>
        </is>
      </c>
      <c r="AY400" s="14" t="n"/>
    </row>
    <row r="401" ht="22" customHeight="1" s="39">
      <c r="A401" s="14" t="inlineStr">
        <is>
          <t>2026-10-06</t>
        </is>
      </c>
      <c r="B401" s="14" t="inlineStr">
        <is>
          <t>2026-10-07T02:45:00+08:00</t>
        </is>
      </c>
      <c r="C401" s="14" t="n"/>
      <c r="D401" s="14" t="n"/>
      <c r="E401" s="14" t="inlineStr">
        <is>
          <t>英依超</t>
        </is>
      </c>
      <c r="F401" s="14" t="inlineStr">
        <is>
          <t>斯坦韦流浪 vs 恩菲尔德镇</t>
        </is>
      </c>
      <c r="G401" s="26" t="n">
        <v>0.9</v>
      </c>
      <c r="H401" s="26" t="n">
        <v>-1</v>
      </c>
      <c r="I401" s="26" t="n">
        <v>0.9</v>
      </c>
      <c r="J401" s="26" t="inlineStr">
        <is>
          <t>0.9/-1.0/0.9</t>
        </is>
      </c>
      <c r="K401" s="14" t="inlineStr">
        <is>
          <t>V4-B</t>
        </is>
      </c>
      <c r="L401" s="14" t="inlineStr">
        <is>
          <t>斯坦韦流浪</t>
        </is>
      </c>
      <c r="M401" s="47" t="n">
        <v>0.02983902312620536</v>
      </c>
      <c r="N401" s="14" t="inlineStr">
        <is>
          <t>V4 Shadow Only；real_money=false</t>
        </is>
      </c>
      <c r="O401" s="14" t="inlineStr">
        <is>
          <t>1-2</t>
        </is>
      </c>
      <c r="P401" s="14" t="inlineStr">
        <is>
          <t>已结算</t>
        </is>
      </c>
      <c r="Q401" s="14" t="inlineStr">
        <is>
          <t>走</t>
        </is>
      </c>
      <c r="R401" s="48" t="n">
        <v>0.9</v>
      </c>
      <c r="S401" s="48" t="n">
        <v>0</v>
      </c>
      <c r="T401" s="14" t="inlineStr">
        <is>
          <t>D:\codex\outputs\football_odds_trader\decision_versions\2026-10-06\RUN_20261006_084027\slate_raw.csv</t>
        </is>
      </c>
      <c r="U401" s="14" t="n"/>
      <c r="V401" s="48" t="n"/>
      <c r="W401" s="48" t="n"/>
      <c r="X401" s="14" t="inlineStr">
        <is>
          <t>3037434</t>
        </is>
      </c>
      <c r="Y401" s="14" t="inlineStr">
        <is>
          <t>V4</t>
        </is>
      </c>
      <c r="Z401" s="14" t="inlineStr">
        <is>
          <t>prior-2026-10-06-v1</t>
        </is>
      </c>
      <c r="AA401" s="14" t="inlineStr">
        <is>
          <t>B</t>
        </is>
      </c>
      <c r="AB401" s="14" t="n">
        <v>0.02983902312620536</v>
      </c>
      <c r="AC401" s="14" t="n">
        <v>0.8839798315244656</v>
      </c>
      <c r="AD401" s="14" t="n">
        <v>-1.25</v>
      </c>
      <c r="AE401" s="14" t="n">
        <v>0</v>
      </c>
      <c r="AF401" s="14" t="n">
        <v>0</v>
      </c>
      <c r="AG401" s="14" t="n">
        <v>0.7657428252458137</v>
      </c>
      <c r="AH401" s="14" t="n"/>
      <c r="AI401" s="14" t="n"/>
      <c r="AJ401" s="14" t="n">
        <v>0.7657428252458137</v>
      </c>
      <c r="AK401" s="14" t="n"/>
      <c r="AL401" s="14" t="n"/>
      <c r="AM401" s="14" t="inlineStr">
        <is>
          <t>EVALUATED</t>
        </is>
      </c>
      <c r="AN401" s="14" t="inlineStr">
        <is>
          <t>RECEIVING_VALIDATED_EDGE;BUCKET_PRIOR_ONLY;INTENT_INTERPRETATION_ONLY;FFL_OPTIONAL;EXPERT_MARKET</t>
        </is>
      </c>
      <c r="AO401" s="14" t="inlineStr">
        <is>
          <t>a89b161c58e223c013f3</t>
        </is>
      </c>
      <c r="AP401" s="14" t="n">
        <v>1</v>
      </c>
      <c r="AQ401" s="14" t="n">
        <v>0.9</v>
      </c>
      <c r="AR401" s="14" t="n">
        <v>-1</v>
      </c>
      <c r="AS401" s="14" t="n">
        <v>1</v>
      </c>
      <c r="AT401" s="14" t="n">
        <v>0.9</v>
      </c>
      <c r="AU401" s="14" t="n">
        <v>0.9</v>
      </c>
      <c r="AV401" s="14" t="inlineStr">
        <is>
          <t>2026-10-06T08:45:29.718562+08:00</t>
        </is>
      </c>
      <c r="AW401" s="14" t="inlineStr">
        <is>
          <t>Titan007/V4</t>
        </is>
      </c>
      <c r="AX401" s="14" t="inlineStr">
        <is>
          <t>Daily append；市场输入缺失时不生成决策</t>
        </is>
      </c>
      <c r="AY401" s="14" t="n"/>
    </row>
    <row r="402" ht="22" customHeight="1" s="39">
      <c r="A402" s="14" t="inlineStr">
        <is>
          <t>2026-10-06</t>
        </is>
      </c>
      <c r="B402" s="14" t="inlineStr">
        <is>
          <t>2026-10-07T02:45:00+08:00</t>
        </is>
      </c>
      <c r="C402" s="14" t="n"/>
      <c r="D402" s="14" t="n"/>
      <c r="E402" s="14" t="inlineStr">
        <is>
          <t>英北超</t>
        </is>
      </c>
      <c r="F402" s="14" t="inlineStr">
        <is>
          <t>克利索普斯城 vs 海德联</t>
        </is>
      </c>
      <c r="G402" s="26" t="n">
        <v>0.95</v>
      </c>
      <c r="H402" s="26" t="n">
        <v>1</v>
      </c>
      <c r="I402" s="26" t="n">
        <v>0.85</v>
      </c>
      <c r="J402" s="26" t="inlineStr">
        <is>
          <t>0.95/1.0/0.85</t>
        </is>
      </c>
      <c r="K402" s="14" t="inlineStr">
        <is>
          <t>V4-B</t>
        </is>
      </c>
      <c r="L402" s="14" t="inlineStr">
        <is>
          <t>克利索普斯城</t>
        </is>
      </c>
      <c r="M402" s="47" t="n">
        <v>0.4352537393874526</v>
      </c>
      <c r="N402" s="14" t="inlineStr">
        <is>
          <t>V4 Shadow Only；real_money=false</t>
        </is>
      </c>
      <c r="O402" s="14" t="inlineStr">
        <is>
          <t>1-0</t>
        </is>
      </c>
      <c r="P402" s="14" t="inlineStr">
        <is>
          <t>已结算</t>
        </is>
      </c>
      <c r="Q402" s="14" t="inlineStr">
        <is>
          <t>走</t>
        </is>
      </c>
      <c r="R402" s="48" t="n">
        <v>0.95</v>
      </c>
      <c r="S402" s="48" t="n">
        <v>0</v>
      </c>
      <c r="T402" s="14" t="inlineStr">
        <is>
          <t>D:\codex\outputs\football_odds_trader\decision_versions\2026-10-06\RUN_20261006_084027\slate_raw.csv</t>
        </is>
      </c>
      <c r="U402" s="14" t="n"/>
      <c r="V402" s="48" t="n"/>
      <c r="W402" s="48" t="n"/>
      <c r="X402" s="14" t="inlineStr">
        <is>
          <t>3044678</t>
        </is>
      </c>
      <c r="Y402" s="14" t="inlineStr">
        <is>
          <t>V4</t>
        </is>
      </c>
      <c r="Z402" s="14" t="inlineStr">
        <is>
          <t>prior-2026-10-06-v1</t>
        </is>
      </c>
      <c r="AA402" s="14" t="inlineStr">
        <is>
          <t>B</t>
        </is>
      </c>
      <c r="AB402" s="14" t="n">
        <v>0.4352537393874526</v>
      </c>
      <c r="AC402" s="14" t="n">
        <v>0.3091782922585623</v>
      </c>
      <c r="AD402" s="14" t="n">
        <v>1.25</v>
      </c>
      <c r="AE402" s="14" t="n"/>
      <c r="AF402" s="14" t="n"/>
      <c r="AG402" s="14" t="n">
        <v>0.1043127601595176</v>
      </c>
      <c r="AH402" s="14" t="n"/>
      <c r="AI402" s="14" t="n"/>
      <c r="AJ402" s="14" t="n">
        <v>0.1043127601595176</v>
      </c>
      <c r="AK402" s="14" t="n"/>
      <c r="AL402" s="14" t="n"/>
      <c r="AM402" s="14" t="inlineStr">
        <is>
          <t>EVALUATED</t>
        </is>
      </c>
      <c r="AN402" s="14" t="inlineStr">
        <is>
          <t>GIVING_VALIDATED_EDGE;BUCKET_PRIOR_ONLY;INTENT_INTERPRETATION_ONLY;FFL_OPTIONAL;EXPERT_MARKET</t>
        </is>
      </c>
      <c r="AO402" s="14" t="inlineStr">
        <is>
          <t>814b4ef06ee1a7f3acba</t>
        </is>
      </c>
      <c r="AP402" s="14" t="n">
        <v>-1</v>
      </c>
      <c r="AQ402" s="14" t="n">
        <v>0.95</v>
      </c>
      <c r="AR402" s="14" t="n">
        <v>1</v>
      </c>
      <c r="AS402" s="14" t="n">
        <v>-1</v>
      </c>
      <c r="AT402" s="14" t="n">
        <v>0.95</v>
      </c>
      <c r="AU402" s="14" t="n">
        <v>0.85</v>
      </c>
      <c r="AV402" s="14" t="inlineStr">
        <is>
          <t>2026-10-06T08:45:29.718562+08:00</t>
        </is>
      </c>
      <c r="AW402" s="14" t="inlineStr">
        <is>
          <t>Titan007/V4</t>
        </is>
      </c>
      <c r="AX402" s="14" t="inlineStr">
        <is>
          <t>Daily append；市场输入缺失时不生成决策</t>
        </is>
      </c>
      <c r="AY402" s="14" t="n"/>
    </row>
    <row r="403" ht="22" customHeight="1" s="39">
      <c r="A403" s="14" t="inlineStr">
        <is>
          <t>2026-10-06</t>
        </is>
      </c>
      <c r="B403" s="14" t="inlineStr">
        <is>
          <t>2026-10-07T02:45:00+08:00</t>
        </is>
      </c>
      <c r="C403" s="14" t="n"/>
      <c r="D403" s="14" t="n"/>
      <c r="E403" s="14" t="inlineStr">
        <is>
          <t>英北超</t>
        </is>
      </c>
      <c r="F403" s="14" t="inlineStr">
        <is>
          <t>阿什顿 vs 雷德卡竞技</t>
        </is>
      </c>
      <c r="G403" s="26" t="n">
        <v>0.85</v>
      </c>
      <c r="H403" s="26" t="n">
        <v>-0.25</v>
      </c>
      <c r="I403" s="26" t="n">
        <v>0.95</v>
      </c>
      <c r="J403" s="26" t="inlineStr">
        <is>
          <t>0.85/-0.25/0.95</t>
        </is>
      </c>
      <c r="K403" s="14" t="inlineStr">
        <is>
          <t>V4-B</t>
        </is>
      </c>
      <c r="L403" s="14" t="inlineStr">
        <is>
          <t>阿什顿</t>
        </is>
      </c>
      <c r="M403" s="47" t="n">
        <v>0.3382484042233633</v>
      </c>
      <c r="N403" s="14" t="inlineStr">
        <is>
          <t>V4 Shadow Only；real_money=false</t>
        </is>
      </c>
      <c r="O403" s="14" t="inlineStr">
        <is>
          <t>3-1</t>
        </is>
      </c>
      <c r="P403" s="14" t="inlineStr">
        <is>
          <t>已结算</t>
        </is>
      </c>
      <c r="Q403" s="14" t="inlineStr">
        <is>
          <t>红</t>
        </is>
      </c>
      <c r="R403" s="48" t="n">
        <v>0.85</v>
      </c>
      <c r="S403" s="48" t="n">
        <v>0.85</v>
      </c>
      <c r="T403" s="14" t="inlineStr">
        <is>
          <t>D:\codex\outputs\football_odds_trader\decision_versions\2026-10-06\RUN_20261006_084027\slate_raw.csv</t>
        </is>
      </c>
      <c r="U403" s="14" t="n"/>
      <c r="V403" s="48" t="n"/>
      <c r="W403" s="48" t="n"/>
      <c r="X403" s="14" t="inlineStr">
        <is>
          <t>3044679</t>
        </is>
      </c>
      <c r="Y403" s="14" t="inlineStr">
        <is>
          <t>V4</t>
        </is>
      </c>
      <c r="Z403" s="14" t="inlineStr">
        <is>
          <t>prior-2026-10-06-v1</t>
        </is>
      </c>
      <c r="AA403" s="14" t="inlineStr">
        <is>
          <t>B</t>
        </is>
      </c>
      <c r="AB403" s="14" t="n">
        <v>0.3382484042233633</v>
      </c>
      <c r="AC403" s="14" t="n">
        <v>0.5303762806139067</v>
      </c>
      <c r="AD403" s="14" t="n">
        <v>-0.25</v>
      </c>
      <c r="AE403" s="14" t="n">
        <v>0</v>
      </c>
      <c r="AF403" s="14" t="n">
        <v>0</v>
      </c>
      <c r="AG403" s="14" t="n">
        <v>0.1125714342984573</v>
      </c>
      <c r="AH403" s="14" t="n"/>
      <c r="AI403" s="14" t="n"/>
      <c r="AJ403" s="14" t="n">
        <v>0.1125714342984573</v>
      </c>
      <c r="AK403" s="14" t="n"/>
      <c r="AL403" s="14" t="n"/>
      <c r="AM403" s="14" t="inlineStr">
        <is>
          <t>EVALUATED</t>
        </is>
      </c>
      <c r="AN403" s="14" t="inlineStr">
        <is>
          <t>RECEIVING_VALIDATED_EDGE;BUCKET_PRIOR_ONLY;INTENT_INTERPRETATION_ONLY;FFL_OPTIONAL;EXPERT_MARKET</t>
        </is>
      </c>
      <c r="AO403" s="14" t="inlineStr">
        <is>
          <t>06f8eebe7c3d33def8ad</t>
        </is>
      </c>
      <c r="AP403" s="14" t="n">
        <v>0.25</v>
      </c>
      <c r="AQ403" s="14" t="n">
        <v>0.85</v>
      </c>
      <c r="AR403" s="14" t="n">
        <v>-0.25</v>
      </c>
      <c r="AS403" s="14" t="n">
        <v>0.25</v>
      </c>
      <c r="AT403" s="14" t="n">
        <v>0.85</v>
      </c>
      <c r="AU403" s="14" t="n">
        <v>0.95</v>
      </c>
      <c r="AV403" s="14" t="inlineStr">
        <is>
          <t>2026-10-06T08:45:29.718562+08:00</t>
        </is>
      </c>
      <c r="AW403" s="14" t="inlineStr">
        <is>
          <t>Titan007/V4</t>
        </is>
      </c>
      <c r="AX403" s="14" t="inlineStr">
        <is>
          <t>Daily append；市场输入缺失时不生成决策</t>
        </is>
      </c>
      <c r="AY403" s="14" t="n"/>
    </row>
    <row r="404" ht="22" customHeight="1" s="39">
      <c r="A404" s="14" t="inlineStr">
        <is>
          <t>2026-10-06</t>
        </is>
      </c>
      <c r="B404" s="14" t="inlineStr">
        <is>
          <t>2026-10-07T02:45:00+08:00</t>
        </is>
      </c>
      <c r="C404" s="14" t="n"/>
      <c r="D404" s="14" t="n"/>
      <c r="E404" s="14" t="inlineStr">
        <is>
          <t>英北超</t>
        </is>
      </c>
      <c r="F404" s="14" t="inlineStr">
        <is>
          <t>伊肯斯顿城 vs 吉英瑟莱</t>
        </is>
      </c>
      <c r="G404" s="26" t="n">
        <v>0.88</v>
      </c>
      <c r="H404" s="26" t="n">
        <v>-0.5</v>
      </c>
      <c r="I404" s="26" t="n">
        <v>0.93</v>
      </c>
      <c r="J404" s="26" t="inlineStr">
        <is>
          <t>0.88/-0.5/0.93</t>
        </is>
      </c>
      <c r="K404" s="14" t="inlineStr">
        <is>
          <t>V4-B</t>
        </is>
      </c>
      <c r="L404" s="14" t="inlineStr">
        <is>
          <t>伊肯斯顿城</t>
        </is>
      </c>
      <c r="M404" s="47" t="n">
        <v>0.1990195538100425</v>
      </c>
      <c r="N404" s="14" t="inlineStr">
        <is>
          <t>V4 Shadow Only；real_money=false</t>
        </is>
      </c>
      <c r="O404" s="14" t="inlineStr">
        <is>
          <t>0-2</t>
        </is>
      </c>
      <c r="P404" s="14" t="inlineStr">
        <is>
          <t>已结算</t>
        </is>
      </c>
      <c r="Q404" s="14" t="inlineStr">
        <is>
          <t>黑</t>
        </is>
      </c>
      <c r="R404" s="48" t="n">
        <v>0.88</v>
      </c>
      <c r="S404" s="48" t="n">
        <v>-1</v>
      </c>
      <c r="T404" s="14" t="inlineStr">
        <is>
          <t>D:\codex\outputs\football_odds_trader\decision_versions\2026-10-06\RUN_20261006_084027\slate_raw.csv</t>
        </is>
      </c>
      <c r="U404" s="14" t="n"/>
      <c r="V404" s="48" t="n"/>
      <c r="W404" s="48" t="n"/>
      <c r="X404" s="14" t="inlineStr">
        <is>
          <t>3044681</t>
        </is>
      </c>
      <c r="Y404" s="14" t="inlineStr">
        <is>
          <t>V4</t>
        </is>
      </c>
      <c r="Z404" s="14" t="inlineStr">
        <is>
          <t>prior-2026-10-06-v1</t>
        </is>
      </c>
      <c r="AA404" s="14" t="inlineStr">
        <is>
          <t>B</t>
        </is>
      </c>
      <c r="AB404" s="14" t="n">
        <v>0.1990195538100425</v>
      </c>
      <c r="AC404" s="14" t="n">
        <v>0.8009804461899575</v>
      </c>
      <c r="AD404" s="14" t="n">
        <v>-0.75</v>
      </c>
      <c r="AE404" s="14" t="n">
        <v>0</v>
      </c>
      <c r="AF404" s="14" t="n">
        <v>0</v>
      </c>
      <c r="AG404" s="14" t="n">
        <v>0.50584323883712</v>
      </c>
      <c r="AH404" s="14" t="n"/>
      <c r="AI404" s="14" t="n"/>
      <c r="AJ404" s="14" t="n">
        <v>0.50584323883712</v>
      </c>
      <c r="AK404" s="14" t="n"/>
      <c r="AL404" s="14" t="n"/>
      <c r="AM404" s="14" t="inlineStr">
        <is>
          <t>EVALUATED</t>
        </is>
      </c>
      <c r="AN404" s="14" t="inlineStr">
        <is>
          <t>RECEIVING_VALIDATED_EDGE;BUCKET_PRIOR_ONLY;INTENT_INTERPRETATION_ONLY;FFL_OPTIONAL;EXPERT_MARKET</t>
        </is>
      </c>
      <c r="AO404" s="14" t="inlineStr">
        <is>
          <t>ab4bba5fc1b33be79389</t>
        </is>
      </c>
      <c r="AP404" s="14" t="n">
        <v>0.5</v>
      </c>
      <c r="AQ404" s="14" t="n">
        <v>0.88</v>
      </c>
      <c r="AR404" s="14" t="n">
        <v>-0.5</v>
      </c>
      <c r="AS404" s="14" t="n">
        <v>0.5</v>
      </c>
      <c r="AT404" s="14" t="n">
        <v>0.88</v>
      </c>
      <c r="AU404" s="14" t="n">
        <v>0.93</v>
      </c>
      <c r="AV404" s="14" t="inlineStr">
        <is>
          <t>2026-10-06T08:45:29.718562+08:00</t>
        </is>
      </c>
      <c r="AW404" s="14" t="inlineStr">
        <is>
          <t>Titan007/V4</t>
        </is>
      </c>
      <c r="AX404" s="14" t="inlineStr">
        <is>
          <t>Daily append；市场输入缺失时不生成决策</t>
        </is>
      </c>
      <c r="AY404" s="14" t="n"/>
    </row>
    <row r="405" ht="22" customHeight="1" s="39">
      <c r="A405" s="14" t="inlineStr">
        <is>
          <t>2026-10-06</t>
        </is>
      </c>
      <c r="B405" s="14" t="inlineStr">
        <is>
          <t>2026-10-07T02:45:00+08:00</t>
        </is>
      </c>
      <c r="C405" s="14" t="n"/>
      <c r="D405" s="14" t="n"/>
      <c r="E405" s="14" t="inlineStr">
        <is>
          <t>英北超</t>
        </is>
      </c>
      <c r="F405" s="14" t="inlineStr">
        <is>
          <t>利克镇 vs 沃灵顿瑞兰</t>
        </is>
      </c>
      <c r="G405" s="26" t="n">
        <v>0.85</v>
      </c>
      <c r="H405" s="26" t="n">
        <v>-0.25</v>
      </c>
      <c r="I405" s="26" t="n">
        <v>0.95</v>
      </c>
      <c r="J405" s="26" t="inlineStr">
        <is>
          <t>0.85/-0.25/0.95</t>
        </is>
      </c>
      <c r="K405" s="14" t="inlineStr">
        <is>
          <t>V4-B</t>
        </is>
      </c>
      <c r="L405" s="14" t="inlineStr">
        <is>
          <t>利克镇</t>
        </is>
      </c>
      <c r="M405" s="47" t="n">
        <v>0.2929415951406022</v>
      </c>
      <c r="N405" s="14" t="inlineStr">
        <is>
          <t>V4 Shadow Only；real_money=false</t>
        </is>
      </c>
      <c r="O405" s="14" t="inlineStr">
        <is>
          <t>3-3</t>
        </is>
      </c>
      <c r="P405" s="14" t="inlineStr">
        <is>
          <t>已结算</t>
        </is>
      </c>
      <c r="Q405" s="14" t="inlineStr">
        <is>
          <t>半红</t>
        </is>
      </c>
      <c r="R405" s="48" t="n">
        <v>0.85</v>
      </c>
      <c r="S405" s="48" t="n">
        <v>0.425</v>
      </c>
      <c r="T405" s="14" t="inlineStr">
        <is>
          <t>D:\codex\outputs\football_odds_trader\decision_versions\2026-10-06\RUN_20261006_084027\slate_raw.csv</t>
        </is>
      </c>
      <c r="U405" s="14" t="n"/>
      <c r="V405" s="48" t="n"/>
      <c r="W405" s="48" t="n"/>
      <c r="X405" s="14" t="inlineStr">
        <is>
          <t>3044682</t>
        </is>
      </c>
      <c r="Y405" s="14" t="inlineStr">
        <is>
          <t>V4</t>
        </is>
      </c>
      <c r="Z405" s="14" t="inlineStr">
        <is>
          <t>prior-2026-10-06-v1</t>
        </is>
      </c>
      <c r="AA405" s="14" t="inlineStr">
        <is>
          <t>B</t>
        </is>
      </c>
      <c r="AB405" s="14" t="n">
        <v>0.2929415951406022</v>
      </c>
      <c r="AC405" s="14" t="n">
        <v>0.5779094459774623</v>
      </c>
      <c r="AD405" s="14" t="n">
        <v>-0.25</v>
      </c>
      <c r="AE405" s="14" t="n">
        <v>0</v>
      </c>
      <c r="AF405" s="14" t="n">
        <v>0</v>
      </c>
      <c r="AG405" s="14" t="n">
        <v>0.1982814339402408</v>
      </c>
      <c r="AH405" s="14" t="n"/>
      <c r="AI405" s="14" t="n"/>
      <c r="AJ405" s="14" t="n">
        <v>0.1982814339402408</v>
      </c>
      <c r="AK405" s="14" t="n"/>
      <c r="AL405" s="14" t="n"/>
      <c r="AM405" s="14" t="inlineStr">
        <is>
          <t>EVALUATED</t>
        </is>
      </c>
      <c r="AN405" s="14" t="inlineStr">
        <is>
          <t>RECEIVING_VALIDATED_EDGE;BUCKET_PRIOR_ONLY;INTENT_INTERPRETATION_ONLY;FFL_OPTIONAL;EXPERT_MARKET</t>
        </is>
      </c>
      <c r="AO405" s="14" t="inlineStr">
        <is>
          <t>8fbc51d980a2c6475ab8</t>
        </is>
      </c>
      <c r="AP405" s="14" t="n">
        <v>0.25</v>
      </c>
      <c r="AQ405" s="14" t="n">
        <v>0.85</v>
      </c>
      <c r="AR405" s="14" t="n">
        <v>-0.25</v>
      </c>
      <c r="AS405" s="14" t="n">
        <v>0.25</v>
      </c>
      <c r="AT405" s="14" t="n">
        <v>0.85</v>
      </c>
      <c r="AU405" s="14" t="n">
        <v>0.95</v>
      </c>
      <c r="AV405" s="14" t="inlineStr">
        <is>
          <t>2026-10-06T08:45:29.718562+08:00</t>
        </is>
      </c>
      <c r="AW405" s="14" t="inlineStr">
        <is>
          <t>Titan007/V4</t>
        </is>
      </c>
      <c r="AX405" s="14" t="inlineStr">
        <is>
          <t>Daily append；市场输入缺失时不生成决策</t>
        </is>
      </c>
      <c r="AY405" s="14" t="n"/>
    </row>
    <row r="406" ht="22" customHeight="1" s="39">
      <c r="A406" s="14" t="inlineStr">
        <is>
          <t>2026-10-06</t>
        </is>
      </c>
      <c r="B406" s="14" t="inlineStr">
        <is>
          <t>2026-10-07T02:45:00+08:00</t>
        </is>
      </c>
      <c r="C406" s="14" t="n"/>
      <c r="D406" s="14" t="n"/>
      <c r="E406" s="14" t="inlineStr">
        <is>
          <t>英北超</t>
        </is>
      </c>
      <c r="F406" s="14" t="inlineStr">
        <is>
          <t>斯托克顿镇 vs 伯利</t>
        </is>
      </c>
      <c r="G406" s="26" t="n">
        <v>0.83</v>
      </c>
      <c r="H406" s="26" t="n">
        <v>-0.75</v>
      </c>
      <c r="I406" s="26" t="n">
        <v>0.98</v>
      </c>
      <c r="J406" s="26" t="inlineStr">
        <is>
          <t>0.83/-0.75/0.98</t>
        </is>
      </c>
      <c r="K406" s="14" t="inlineStr">
        <is>
          <t>V4-B</t>
        </is>
      </c>
      <c r="L406" s="14" t="inlineStr">
        <is>
          <t>斯托克顿镇</t>
        </is>
      </c>
      <c r="M406" s="47" t="n">
        <v>0.1178654558161863</v>
      </c>
      <c r="N406" s="14" t="inlineStr">
        <is>
          <t>V4 Shadow Only；real_money=false</t>
        </is>
      </c>
      <c r="O406" s="14" t="inlineStr">
        <is>
          <t>1-0</t>
        </is>
      </c>
      <c r="P406" s="14" t="inlineStr">
        <is>
          <t>已结算</t>
        </is>
      </c>
      <c r="Q406" s="14" t="inlineStr">
        <is>
          <t>红</t>
        </is>
      </c>
      <c r="R406" s="48" t="n">
        <v>0.83</v>
      </c>
      <c r="S406" s="48" t="n">
        <v>0.83</v>
      </c>
      <c r="T406" s="14" t="inlineStr">
        <is>
          <t>D:\codex\outputs\football_odds_trader\decision_versions\2026-10-06\RUN_20261006_084027\slate_raw.csv</t>
        </is>
      </c>
      <c r="U406" s="14" t="n"/>
      <c r="V406" s="48" t="n"/>
      <c r="W406" s="48" t="n"/>
      <c r="X406" s="14" t="inlineStr">
        <is>
          <t>3044684</t>
        </is>
      </c>
      <c r="Y406" s="14" t="inlineStr">
        <is>
          <t>V4</t>
        </is>
      </c>
      <c r="Z406" s="14" t="inlineStr">
        <is>
          <t>prior-2026-10-06-v1</t>
        </is>
      </c>
      <c r="AA406" s="14" t="inlineStr">
        <is>
          <t>B</t>
        </is>
      </c>
      <c r="AB406" s="14" t="n">
        <v>0.1178654558161863</v>
      </c>
      <c r="AC406" s="14" t="n">
        <v>0.8208643606493272</v>
      </c>
      <c r="AD406" s="14" t="n">
        <v>-1</v>
      </c>
      <c r="AE406" s="14" t="n">
        <v>0</v>
      </c>
      <c r="AF406" s="14" t="n">
        <v>0</v>
      </c>
      <c r="AG406" s="14" t="n">
        <v>0.5634519635227552</v>
      </c>
      <c r="AH406" s="14" t="n"/>
      <c r="AI406" s="14" t="n"/>
      <c r="AJ406" s="14" t="n">
        <v>0.5634519635227552</v>
      </c>
      <c r="AK406" s="14" t="n"/>
      <c r="AL406" s="14" t="n"/>
      <c r="AM406" s="14" t="inlineStr">
        <is>
          <t>EVALUATED</t>
        </is>
      </c>
      <c r="AN406" s="14" t="inlineStr">
        <is>
          <t>RECEIVING_VALIDATED_EDGE;BUCKET_PRIOR_ONLY;INTENT_INTERPRETATION_ONLY;FFL_OPTIONAL;EXPERT_MARKET</t>
        </is>
      </c>
      <c r="AO406" s="14" t="inlineStr">
        <is>
          <t>70ff6e3dc986cac69eda</t>
        </is>
      </c>
      <c r="AP406" s="14" t="n">
        <v>0.75</v>
      </c>
      <c r="AQ406" s="14" t="n">
        <v>0.83</v>
      </c>
      <c r="AR406" s="14" t="n">
        <v>-0.75</v>
      </c>
      <c r="AS406" s="14" t="n">
        <v>0.75</v>
      </c>
      <c r="AT406" s="14" t="n">
        <v>0.83</v>
      </c>
      <c r="AU406" s="14" t="n">
        <v>0.98</v>
      </c>
      <c r="AV406" s="14" t="inlineStr">
        <is>
          <t>2026-10-06T08:45:29.718562+08:00</t>
        </is>
      </c>
      <c r="AW406" s="14" t="inlineStr">
        <is>
          <t>Titan007/V4</t>
        </is>
      </c>
      <c r="AX406" s="14" t="inlineStr">
        <is>
          <t>Daily append；市场输入缺失时不生成决策</t>
        </is>
      </c>
      <c r="AY406" s="14" t="n"/>
    </row>
    <row r="407" ht="22" customHeight="1" s="39">
      <c r="A407" s="14" t="inlineStr">
        <is>
          <t>2026-10-06</t>
        </is>
      </c>
      <c r="B407" s="14" t="inlineStr">
        <is>
          <t>2026-10-07T02:45:00+08:00</t>
        </is>
      </c>
      <c r="C407" s="14" t="n"/>
      <c r="D407" s="14" t="n"/>
      <c r="E407" s="14" t="inlineStr">
        <is>
          <t>英北超</t>
        </is>
      </c>
      <c r="F407" s="14" t="inlineStr">
        <is>
          <t>威特比 vs 根斯堡</t>
        </is>
      </c>
      <c r="G407" s="26" t="n">
        <v>0.93</v>
      </c>
      <c r="H407" s="26" t="n">
        <v>-0.5</v>
      </c>
      <c r="I407" s="26" t="n">
        <v>0.88</v>
      </c>
      <c r="J407" s="26" t="inlineStr">
        <is>
          <t>0.93/-0.5/0.88</t>
        </is>
      </c>
      <c r="K407" s="14" t="inlineStr">
        <is>
          <t>V4-B</t>
        </is>
      </c>
      <c r="L407" s="14" t="inlineStr">
        <is>
          <t>威特比</t>
        </is>
      </c>
      <c r="M407" s="47" t="n">
        <v>0.1959155223750849</v>
      </c>
      <c r="N407" s="14" t="inlineStr">
        <is>
          <t>V4 Shadow Only；real_money=false</t>
        </is>
      </c>
      <c r="O407" s="14" t="inlineStr">
        <is>
          <t>2-6</t>
        </is>
      </c>
      <c r="P407" s="14" t="inlineStr">
        <is>
          <t>已结算</t>
        </is>
      </c>
      <c r="Q407" s="14" t="inlineStr">
        <is>
          <t>黑</t>
        </is>
      </c>
      <c r="R407" s="48" t="n">
        <v>0.93</v>
      </c>
      <c r="S407" s="48" t="n">
        <v>-1</v>
      </c>
      <c r="T407" s="14" t="inlineStr">
        <is>
          <t>D:\codex\outputs\football_odds_trader\decision_versions\2026-10-06\RUN_20261006_084027\slate_raw.csv</t>
        </is>
      </c>
      <c r="U407" s="14" t="n"/>
      <c r="V407" s="48" t="n"/>
      <c r="W407" s="48" t="n"/>
      <c r="X407" s="14" t="inlineStr">
        <is>
          <t>3044686</t>
        </is>
      </c>
      <c r="Y407" s="14" t="inlineStr">
        <is>
          <t>V4</t>
        </is>
      </c>
      <c r="Z407" s="14" t="inlineStr">
        <is>
          <t>prior-2026-10-06-v1</t>
        </is>
      </c>
      <c r="AA407" s="14" t="inlineStr">
        <is>
          <t>B</t>
        </is>
      </c>
      <c r="AB407" s="14" t="n">
        <v>0.1959155223750849</v>
      </c>
      <c r="AC407" s="14" t="n">
        <v>0.8040844776249151</v>
      </c>
      <c r="AD407" s="14" t="n">
        <v>-0.75</v>
      </c>
      <c r="AE407" s="14" t="n">
        <v>0</v>
      </c>
      <c r="AF407" s="14" t="n">
        <v>0</v>
      </c>
      <c r="AG407" s="14" t="n">
        <v>0.5518830418160862</v>
      </c>
      <c r="AH407" s="14" t="n"/>
      <c r="AI407" s="14" t="n"/>
      <c r="AJ407" s="14" t="n">
        <v>0.5518830418160862</v>
      </c>
      <c r="AK407" s="14" t="n"/>
      <c r="AL407" s="14" t="n"/>
      <c r="AM407" s="14" t="inlineStr">
        <is>
          <t>EVALUATED</t>
        </is>
      </c>
      <c r="AN407" s="14" t="inlineStr">
        <is>
          <t>RECEIVING_VALIDATED_EDGE;BUCKET_PRIOR_ONLY;INTENT_INTERPRETATION_ONLY;FFL_OPTIONAL;EXPERT_MARKET</t>
        </is>
      </c>
      <c r="AO407" s="14" t="inlineStr">
        <is>
          <t>2c92efd3466a5b0afa27</t>
        </is>
      </c>
      <c r="AP407" s="14" t="n">
        <v>0.5</v>
      </c>
      <c r="AQ407" s="14" t="n">
        <v>0.93</v>
      </c>
      <c r="AR407" s="14" t="n">
        <v>-0.5</v>
      </c>
      <c r="AS407" s="14" t="n">
        <v>0.5</v>
      </c>
      <c r="AT407" s="14" t="n">
        <v>0.93</v>
      </c>
      <c r="AU407" s="14" t="n">
        <v>0.88</v>
      </c>
      <c r="AV407" s="14" t="inlineStr">
        <is>
          <t>2026-10-06T08:45:29.718562+08:00</t>
        </is>
      </c>
      <c r="AW407" s="14" t="inlineStr">
        <is>
          <t>Titan007/V4</t>
        </is>
      </c>
      <c r="AX407" s="14" t="inlineStr">
        <is>
          <t>Daily append；市场输入缺失时不生成决策</t>
        </is>
      </c>
      <c r="AY407" s="14" t="n"/>
    </row>
    <row r="408" ht="22" customHeight="1" s="39">
      <c r="A408" s="14" t="inlineStr">
        <is>
          <t>2026-10-06</t>
        </is>
      </c>
      <c r="B408" s="14" t="inlineStr">
        <is>
          <t>2026-10-06T21:00:00+08:00</t>
        </is>
      </c>
      <c r="C408" s="14" t="n"/>
      <c r="D408" s="14" t="n"/>
      <c r="E408" s="14" t="inlineStr">
        <is>
          <t>英乙U21</t>
        </is>
      </c>
      <c r="F408" s="14" t="inlineStr">
        <is>
          <t>高车士打U21 vs 斯旺西U21</t>
        </is>
      </c>
      <c r="G408" s="26" t="n">
        <v>0.93</v>
      </c>
      <c r="H408" s="26" t="n">
        <v>-0.75</v>
      </c>
      <c r="I408" s="26" t="n">
        <v>0.83</v>
      </c>
      <c r="J408" s="26" t="inlineStr">
        <is>
          <t>0.93/-0.75/0.83</t>
        </is>
      </c>
      <c r="K408" s="14" t="inlineStr">
        <is>
          <t>V4-B</t>
        </is>
      </c>
      <c r="L408" s="14" t="inlineStr">
        <is>
          <t>高车士打U21</t>
        </is>
      </c>
      <c r="M408" s="47" t="n">
        <v>0.1195693066863245</v>
      </c>
      <c r="N408" s="14" t="inlineStr">
        <is>
          <t>V4 Shadow Only；real_money=false</t>
        </is>
      </c>
      <c r="O408" s="14" t="inlineStr">
        <is>
          <t>1-2</t>
        </is>
      </c>
      <c r="P408" s="14" t="inlineStr">
        <is>
          <t>已结算</t>
        </is>
      </c>
      <c r="Q408" s="14" t="inlineStr">
        <is>
          <t>半黑</t>
        </is>
      </c>
      <c r="R408" s="48" t="n">
        <v>0.93</v>
      </c>
      <c r="S408" s="48" t="n">
        <v>-0.5</v>
      </c>
      <c r="T408" s="14" t="inlineStr">
        <is>
          <t>D:\codex\outputs\football_odds_trader\decision_versions\2026-10-06\RUN_20261006_084027\slate_raw.csv</t>
        </is>
      </c>
      <c r="U408" s="14" t="n"/>
      <c r="V408" s="48" t="n"/>
      <c r="W408" s="48" t="n"/>
      <c r="X408" s="14" t="inlineStr">
        <is>
          <t>3059212</t>
        </is>
      </c>
      <c r="Y408" s="14" t="inlineStr">
        <is>
          <t>V4</t>
        </is>
      </c>
      <c r="Z408" s="14" t="inlineStr">
        <is>
          <t>prior-2026-10-06-v1</t>
        </is>
      </c>
      <c r="AA408" s="14" t="inlineStr">
        <is>
          <t>B</t>
        </is>
      </c>
      <c r="AB408" s="14" t="n">
        <v>0.1195693066863245</v>
      </c>
      <c r="AC408" s="14" t="n">
        <v>0.8189478475238414</v>
      </c>
      <c r="AD408" s="14" t="n">
        <v>-1</v>
      </c>
      <c r="AE408" s="14" t="n">
        <v>0</v>
      </c>
      <c r="AF408" s="14" t="n">
        <v>0</v>
      </c>
      <c r="AG408" s="14" t="n">
        <v>0.642052191510848</v>
      </c>
      <c r="AH408" s="14" t="n"/>
      <c r="AI408" s="14" t="n"/>
      <c r="AJ408" s="14" t="n">
        <v>0.642052191510848</v>
      </c>
      <c r="AK408" s="14" t="n"/>
      <c r="AL408" s="14" t="n"/>
      <c r="AM408" s="14" t="inlineStr">
        <is>
          <t>EVALUATED</t>
        </is>
      </c>
      <c r="AN408" s="14" t="inlineStr">
        <is>
          <t>RECEIVING_VALIDATED_EDGE;BUCKET_PRIOR_ONLY;INTENT_INTERPRETATION_ONLY;FFL_OPTIONAL;EXPERT_MARKET</t>
        </is>
      </c>
      <c r="AO408" s="14" t="inlineStr">
        <is>
          <t>fb275ead2e5c04152ce2</t>
        </is>
      </c>
      <c r="AP408" s="14" t="n">
        <v>0.75</v>
      </c>
      <c r="AQ408" s="14" t="n">
        <v>0.93</v>
      </c>
      <c r="AR408" s="14" t="n">
        <v>-0.75</v>
      </c>
      <c r="AS408" s="14" t="n">
        <v>0.75</v>
      </c>
      <c r="AT408" s="14" t="n">
        <v>0.93</v>
      </c>
      <c r="AU408" s="14" t="n">
        <v>0.83</v>
      </c>
      <c r="AV408" s="14" t="inlineStr">
        <is>
          <t>2026-10-06T08:45:29.718562+08:00</t>
        </is>
      </c>
      <c r="AW408" s="14" t="inlineStr">
        <is>
          <t>Titan007/V4</t>
        </is>
      </c>
      <c r="AX408" s="14" t="inlineStr">
        <is>
          <t>Daily append；市场输入缺失时不生成决策</t>
        </is>
      </c>
      <c r="AY408" s="14" t="n"/>
    </row>
    <row r="409" ht="22" customHeight="1" s="39">
      <c r="A409" s="14" t="inlineStr">
        <is>
          <t>2026-10-06</t>
        </is>
      </c>
      <c r="B409" s="14" t="inlineStr">
        <is>
          <t>2026-10-06T17:00:00+08:00</t>
        </is>
      </c>
      <c r="C409" s="14" t="n"/>
      <c r="D409" s="14" t="n"/>
      <c r="E409" s="14" t="inlineStr">
        <is>
          <t>女欧U19</t>
        </is>
      </c>
      <c r="F409" s="14" t="inlineStr">
        <is>
          <t>罗马尼亚女足U19 vs 哈萨克斯坦女足U19</t>
        </is>
      </c>
      <c r="G409" s="26" t="n">
        <v>0.9</v>
      </c>
      <c r="H409" s="26" t="n">
        <v>3.5</v>
      </c>
      <c r="I409" s="26" t="n">
        <v>0.9</v>
      </c>
      <c r="J409" s="26" t="inlineStr">
        <is>
          <t>0.9/3.5/0.9</t>
        </is>
      </c>
      <c r="K409" s="14" t="inlineStr">
        <is>
          <t>V4-C</t>
        </is>
      </c>
      <c r="L409" s="14" t="inlineStr">
        <is>
          <t>哈萨克斯坦女足U19</t>
        </is>
      </c>
      <c r="M409" s="47" t="n">
        <v>0.3702812004428939</v>
      </c>
      <c r="N409" s="14" t="inlineStr">
        <is>
          <t>V4 Shadow Only；real_money=false</t>
        </is>
      </c>
      <c r="O409" s="14" t="inlineStr">
        <is>
          <t>6-1</t>
        </is>
      </c>
      <c r="P409" s="14" t="inlineStr">
        <is>
          <t>已结算</t>
        </is>
      </c>
      <c r="Q409" s="14" t="inlineStr">
        <is>
          <t>黑</t>
        </is>
      </c>
      <c r="R409" s="48" t="n">
        <v>0.9</v>
      </c>
      <c r="S409" s="48" t="n">
        <v>-1</v>
      </c>
      <c r="T409" s="14" t="inlineStr">
        <is>
          <t>D:\codex\outputs\football_odds_trader\decision_versions\2026-10-06\RUN_20261006_084027\slate_raw.csv</t>
        </is>
      </c>
      <c r="U409" s="14" t="n"/>
      <c r="V409" s="48" t="n"/>
      <c r="W409" s="48" t="n"/>
      <c r="X409" s="14" t="inlineStr">
        <is>
          <t>3061580</t>
        </is>
      </c>
      <c r="Y409" s="14" t="inlineStr">
        <is>
          <t>V4</t>
        </is>
      </c>
      <c r="Z409" s="14" t="inlineStr">
        <is>
          <t>prior-2026-10-06-v1</t>
        </is>
      </c>
      <c r="AA409" s="14" t="inlineStr">
        <is>
          <t>C</t>
        </is>
      </c>
      <c r="AB409" s="14" t="n">
        <v>0.3702812004428939</v>
      </c>
      <c r="AC409" s="14" t="n">
        <v>0.6297187995571061</v>
      </c>
      <c r="AD409" s="14" t="n">
        <v>3.75</v>
      </c>
      <c r="AE409" s="14" t="n"/>
      <c r="AF409" s="14" t="n"/>
      <c r="AG409" s="14" t="n">
        <v>0.1964657191585015</v>
      </c>
      <c r="AH409" s="14" t="n"/>
      <c r="AI409" s="14" t="n"/>
      <c r="AJ409" s="14" t="n">
        <v>0.1964657191585015</v>
      </c>
      <c r="AK409" s="14" t="n"/>
      <c r="AL409" s="14" t="n"/>
      <c r="AM409" s="14" t="inlineStr">
        <is>
          <t>EVALUATED</t>
        </is>
      </c>
      <c r="AN409" s="14" t="inlineStr">
        <is>
          <t>RECEIVING_VALIDATED_EDGE;BUCKET_PRIOR_ONLY;INTENT_INTERPRETATION_ONLY;FFL_OPTIONAL;EXPERT_MARKET</t>
        </is>
      </c>
      <c r="AO409" s="14" t="inlineStr">
        <is>
          <t>d09ae95cd2ab03203d53</t>
        </is>
      </c>
      <c r="AP409" s="14" t="n">
        <v>3.5</v>
      </c>
      <c r="AQ409" s="14" t="n">
        <v>0.9</v>
      </c>
      <c r="AR409" s="14" t="n">
        <v>3.5</v>
      </c>
      <c r="AS409" s="14" t="n">
        <v>-3.5</v>
      </c>
      <c r="AT409" s="14" t="n">
        <v>0.9</v>
      </c>
      <c r="AU409" s="14" t="n">
        <v>0.9</v>
      </c>
      <c r="AV409" s="14" t="inlineStr">
        <is>
          <t>2026-10-06T08:45:29.718562+08:00</t>
        </is>
      </c>
      <c r="AW409" s="14" t="inlineStr">
        <is>
          <t>Titan007/V4</t>
        </is>
      </c>
      <c r="AX409" s="14" t="inlineStr">
        <is>
          <t>Daily append；市场输入缺失时不生成决策</t>
        </is>
      </c>
      <c r="AY409" s="14" t="n"/>
    </row>
    <row r="410" ht="22" customHeight="1" s="39">
      <c r="A410" s="14" t="inlineStr">
        <is>
          <t>2026-10-06</t>
        </is>
      </c>
      <c r="B410" s="14" t="inlineStr">
        <is>
          <t>2026-10-07T06:00:00+08:00</t>
        </is>
      </c>
      <c r="C410" s="14" t="inlineStr">
        <is>
          <t>CLUB_CUP</t>
        </is>
      </c>
      <c r="D410" s="14" t="n"/>
      <c r="E410" s="14" t="inlineStr">
        <is>
          <t>玻利杯</t>
        </is>
      </c>
      <c r="F410" s="14" t="inlineStr">
        <is>
          <t>皇家帕托斯 vs 圣安东尼奥布鲁布鲁</t>
        </is>
      </c>
      <c r="G410" s="26" t="n">
        <v>0.78</v>
      </c>
      <c r="H410" s="26" t="n">
        <v>1</v>
      </c>
      <c r="I410" s="26" t="n">
        <v>1.03</v>
      </c>
      <c r="J410" s="26" t="inlineStr">
        <is>
          <t>0.78/1.0/1.03</t>
        </is>
      </c>
      <c r="K410" s="14" t="inlineStr">
        <is>
          <t>V4-B</t>
        </is>
      </c>
      <c r="L410" s="14" t="inlineStr">
        <is>
          <t>皇家帕托斯</t>
        </is>
      </c>
      <c r="M410" s="47" t="n">
        <v>0.521589082285203</v>
      </c>
      <c r="N410" s="14" t="inlineStr">
        <is>
          <t>V4 Shadow Only；real_money=false</t>
        </is>
      </c>
      <c r="O410" s="14" t="inlineStr">
        <is>
          <t>4-2</t>
        </is>
      </c>
      <c r="P410" s="14" t="inlineStr">
        <is>
          <t>已结算</t>
        </is>
      </c>
      <c r="Q410" s="14" t="inlineStr">
        <is>
          <t>红</t>
        </is>
      </c>
      <c r="R410" s="48" t="n">
        <v>0.78</v>
      </c>
      <c r="S410" s="48" t="n">
        <v>0.78</v>
      </c>
      <c r="T410" s="14" t="inlineStr">
        <is>
          <t>D:\codex\outputs\football_odds_trader\decision_versions\2026-10-06\RUN_20261006_084027\slate_raw.csv</t>
        </is>
      </c>
      <c r="U410" s="14" t="n"/>
      <c r="V410" s="48" t="n"/>
      <c r="W410" s="48" t="n"/>
      <c r="X410" s="14" t="inlineStr">
        <is>
          <t>3061679</t>
        </is>
      </c>
      <c r="Y410" s="14" t="inlineStr">
        <is>
          <t>V4</t>
        </is>
      </c>
      <c r="Z410" s="14" t="inlineStr">
        <is>
          <t>prior-2026-10-06-v1</t>
        </is>
      </c>
      <c r="AA410" s="14" t="inlineStr">
        <is>
          <t>B</t>
        </is>
      </c>
      <c r="AB410" s="14" t="n">
        <v>0.521589082285203</v>
      </c>
      <c r="AC410" s="14" t="n">
        <v>0.230506057962043</v>
      </c>
      <c r="AD410" s="14" t="n">
        <v>1.75</v>
      </c>
      <c r="AE410" s="14" t="n"/>
      <c r="AF410" s="14" t="n"/>
      <c r="AG410" s="14" t="n">
        <v>0.1763334262204153</v>
      </c>
      <c r="AH410" s="14" t="n"/>
      <c r="AI410" s="14" t="n"/>
      <c r="AJ410" s="14" t="n">
        <v>0.1763334262204153</v>
      </c>
      <c r="AK410" s="14" t="n"/>
      <c r="AL410" s="14" t="n"/>
      <c r="AM410" s="14" t="inlineStr">
        <is>
          <t>EVALUATED</t>
        </is>
      </c>
      <c r="AN410" s="14" t="inlineStr">
        <is>
          <t>GIVING_VALIDATED_EDGE;BUCKET_PRIOR_ONLY;INTENT_INTERPRETATION_ONLY;FFL_OPTIONAL;EXPERT_MARKET</t>
        </is>
      </c>
      <c r="AO410" s="14" t="inlineStr">
        <is>
          <t>4f2880364da50da84f89</t>
        </is>
      </c>
      <c r="AP410" s="14" t="n">
        <v>-1</v>
      </c>
      <c r="AQ410" s="14" t="n">
        <v>0.78</v>
      </c>
      <c r="AR410" s="14" t="n">
        <v>1</v>
      </c>
      <c r="AS410" s="14" t="n">
        <v>-1</v>
      </c>
      <c r="AT410" s="14" t="n">
        <v>0.78</v>
      </c>
      <c r="AU410" s="14" t="n">
        <v>1.03</v>
      </c>
      <c r="AV410" s="14" t="inlineStr">
        <is>
          <t>2026-10-06T08:45:29.718562+08:00</t>
        </is>
      </c>
      <c r="AW410" s="14" t="inlineStr">
        <is>
          <t>Titan007/V4</t>
        </is>
      </c>
      <c r="AX410" s="14" t="inlineStr">
        <is>
          <t>Daily append；市场输入缺失时不生成决策</t>
        </is>
      </c>
      <c r="AY410" s="14" t="n"/>
    </row>
    <row r="411" ht="22" customHeight="1" s="39">
      <c r="A411" s="14" t="inlineStr">
        <is>
          <t>2026-10-06</t>
        </is>
      </c>
      <c r="B411" s="14" t="inlineStr">
        <is>
          <t>2026-10-07T08:00:00+08:00</t>
        </is>
      </c>
      <c r="C411" s="14" t="inlineStr">
        <is>
          <t>CLUB_CUP</t>
        </is>
      </c>
      <c r="D411" s="14" t="n"/>
      <c r="E411" s="14" t="inlineStr">
        <is>
          <t>玻利杯</t>
        </is>
      </c>
      <c r="F411" s="14" t="inlineStr">
        <is>
          <t>欧若拉 vs 学术DB</t>
        </is>
      </c>
      <c r="G411" s="26" t="n">
        <v>0.85</v>
      </c>
      <c r="H411" s="26" t="n">
        <v>1.75</v>
      </c>
      <c r="I411" s="26" t="n">
        <v>0.95</v>
      </c>
      <c r="J411" s="26" t="inlineStr">
        <is>
          <t>0.85/1.75/0.95</t>
        </is>
      </c>
      <c r="K411" s="14" t="inlineStr">
        <is>
          <t>V4-B</t>
        </is>
      </c>
      <c r="L411" s="14" t="inlineStr">
        <is>
          <t>欧若拉</t>
        </is>
      </c>
      <c r="M411" s="47" t="n">
        <v>0.5192742009994993</v>
      </c>
      <c r="N411" s="14" t="inlineStr">
        <is>
          <t>V4 Shadow Only；real_money=false</t>
        </is>
      </c>
      <c r="O411" s="14" t="inlineStr">
        <is>
          <t>0-0</t>
        </is>
      </c>
      <c r="P411" s="14" t="inlineStr">
        <is>
          <t>EVALUATED</t>
        </is>
      </c>
      <c r="Q411" s="14" t="inlineStr">
        <is>
          <t>B</t>
        </is>
      </c>
      <c r="R411" s="48" t="n">
        <v>0.85</v>
      </c>
      <c r="S411" s="48" t="n"/>
      <c r="T411" s="14" t="inlineStr">
        <is>
          <t>D:\codex\outputs\football_odds_trader\decision_versions\2026-10-06\RUN_20261006_084027\slate_raw.csv</t>
        </is>
      </c>
      <c r="U411" s="14" t="n"/>
      <c r="V411" s="48" t="n"/>
      <c r="W411" s="48" t="n"/>
      <c r="X411" s="14" t="inlineStr">
        <is>
          <t>3061680</t>
        </is>
      </c>
      <c r="Y411" s="14" t="inlineStr">
        <is>
          <t>V4</t>
        </is>
      </c>
      <c r="Z411" s="14" t="inlineStr">
        <is>
          <t>prior-2026-10-06-v1</t>
        </is>
      </c>
      <c r="AA411" s="14" t="inlineStr">
        <is>
          <t>B</t>
        </is>
      </c>
      <c r="AB411" s="14" t="n">
        <v>0.5192742009994993</v>
      </c>
      <c r="AC411" s="14" t="n">
        <v>0.357044374921003</v>
      </c>
      <c r="AD411" s="14" t="n">
        <v>2.25</v>
      </c>
      <c r="AE411" s="14" t="n"/>
      <c r="AF411" s="14" t="n"/>
      <c r="AG411" s="14" t="n">
        <v>0.08433869592857135</v>
      </c>
      <c r="AH411" s="14" t="n"/>
      <c r="AI411" s="14" t="n"/>
      <c r="AJ411" s="14" t="n">
        <v>0.08433869592857135</v>
      </c>
      <c r="AK411" s="14" t="n"/>
      <c r="AL411" s="14" t="n"/>
      <c r="AM411" s="14" t="inlineStr">
        <is>
          <t>EVALUATED</t>
        </is>
      </c>
      <c r="AN411" s="14" t="inlineStr">
        <is>
          <t>GIVING_VALIDATED_EDGE;BUCKET_PRIOR_ONLY;INTENT_INTERPRETATION_ONLY;FFL_OPTIONAL;EXPERT_MARKET</t>
        </is>
      </c>
      <c r="AO411" s="14" t="inlineStr">
        <is>
          <t>d556b41a91e103fc3261</t>
        </is>
      </c>
      <c r="AP411" s="14" t="n">
        <v>-1.75</v>
      </c>
      <c r="AQ411" s="14" t="n">
        <v>0.85</v>
      </c>
      <c r="AR411" s="14" t="n">
        <v>1.75</v>
      </c>
      <c r="AS411" s="14" t="n">
        <v>-1.75</v>
      </c>
      <c r="AT411" s="14" t="n">
        <v>0.85</v>
      </c>
      <c r="AU411" s="14" t="n">
        <v>0.95</v>
      </c>
      <c r="AV411" s="14" t="inlineStr">
        <is>
          <t>2026-10-06T08:45:29.718562+08:00</t>
        </is>
      </c>
      <c r="AW411" s="14" t="inlineStr">
        <is>
          <t>Titan007/V4</t>
        </is>
      </c>
      <c r="AX411" s="14" t="inlineStr">
        <is>
          <t>Daily append；市场输入缺失时不生成决策</t>
        </is>
      </c>
      <c r="AY411" s="14" t="n"/>
    </row>
    <row r="412" ht="22" customHeight="1" s="39">
      <c r="A412" s="14" t="inlineStr">
        <is>
          <t>2026-10-06</t>
        </is>
      </c>
      <c r="B412" s="14" t="inlineStr">
        <is>
          <t>2026-10-07T06:15:00+08:00</t>
        </is>
      </c>
      <c r="C412" s="14" t="inlineStr">
        <is>
          <t>CLUB_LEAGUE</t>
        </is>
      </c>
      <c r="D412" s="14" t="n"/>
      <c r="E412" s="14" t="inlineStr">
        <is>
          <t>巴拉甲秋</t>
        </is>
      </c>
      <c r="F412" s="14" t="inlineStr">
        <is>
          <t>亚松森奥林匹亚 vs 巴拉圭国民</t>
        </is>
      </c>
      <c r="G412" s="26" t="n">
        <v>1</v>
      </c>
      <c r="H412" s="26" t="n">
        <v>0.5</v>
      </c>
      <c r="I412" s="26" t="n">
        <v>0.76</v>
      </c>
      <c r="J412" s="26" t="inlineStr">
        <is>
          <t>1.0/0.5/0.76</t>
        </is>
      </c>
      <c r="K412" s="14" t="inlineStr">
        <is>
          <t>V4-B</t>
        </is>
      </c>
      <c r="L412" s="14" t="inlineStr">
        <is>
          <t>亚松森奥林匹亚</t>
        </is>
      </c>
      <c r="M412" s="47" t="n">
        <v>0.573916363636691</v>
      </c>
      <c r="N412" s="14" t="inlineStr">
        <is>
          <t>V4 Shadow Only；real_money=false</t>
        </is>
      </c>
      <c r="O412" s="14" t="inlineStr">
        <is>
          <t>1-1</t>
        </is>
      </c>
      <c r="P412" s="14" t="inlineStr">
        <is>
          <t>已结算</t>
        </is>
      </c>
      <c r="Q412" s="14" t="inlineStr">
        <is>
          <t>黑</t>
        </is>
      </c>
      <c r="R412" s="48" t="n">
        <v>1</v>
      </c>
      <c r="S412" s="48" t="n">
        <v>-1</v>
      </c>
      <c r="T412" s="14" t="inlineStr">
        <is>
          <t>D:\codex\outputs\football_odds_trader\decision_versions\2026-10-06\RUN_20261006_084027\slate_raw.csv</t>
        </is>
      </c>
      <c r="U412" s="14" t="n"/>
      <c r="V412" s="48" t="n"/>
      <c r="W412" s="48" t="n"/>
      <c r="X412" s="14" t="inlineStr">
        <is>
          <t>3074196</t>
        </is>
      </c>
      <c r="Y412" s="14" t="inlineStr">
        <is>
          <t>V4</t>
        </is>
      </c>
      <c r="Z412" s="14" t="inlineStr">
        <is>
          <t>prior-2026-10-06-v1</t>
        </is>
      </c>
      <c r="AA412" s="14" t="inlineStr">
        <is>
          <t>B</t>
        </is>
      </c>
      <c r="AB412" s="14" t="n">
        <v>0.573916363636691</v>
      </c>
      <c r="AC412" s="14" t="n">
        <v>0.426083636363309</v>
      </c>
      <c r="AD412" s="14" t="n">
        <v>0.75</v>
      </c>
      <c r="AE412" s="14" t="n"/>
      <c r="AF412" s="14" t="n"/>
      <c r="AG412" s="14" t="n">
        <v>0.1478327272733819</v>
      </c>
      <c r="AH412" s="14" t="n"/>
      <c r="AI412" s="14" t="n"/>
      <c r="AJ412" s="14" t="n">
        <v>0.1478327272733819</v>
      </c>
      <c r="AK412" s="14" t="n"/>
      <c r="AL412" s="14" t="n"/>
      <c r="AM412" s="14" t="inlineStr">
        <is>
          <t>EVALUATED</t>
        </is>
      </c>
      <c r="AN412" s="14" t="inlineStr">
        <is>
          <t>GIVING_VALIDATED_EDGE;BUCKET_PRIOR_ONLY;INTENT_INTERPRETATION_ONLY;FFL_OPTIONAL;EXPERT_MARKET</t>
        </is>
      </c>
      <c r="AO412" s="14" t="inlineStr">
        <is>
          <t>304e233b4231de098f7b</t>
        </is>
      </c>
      <c r="AP412" s="14" t="n">
        <v>-0.5</v>
      </c>
      <c r="AQ412" s="14" t="n">
        <v>1</v>
      </c>
      <c r="AR412" s="14" t="n">
        <v>0.5</v>
      </c>
      <c r="AS412" s="14" t="n">
        <v>-0.5</v>
      </c>
      <c r="AT412" s="14" t="n">
        <v>1</v>
      </c>
      <c r="AU412" s="14" t="n">
        <v>0.76</v>
      </c>
      <c r="AV412" s="14" t="inlineStr">
        <is>
          <t>2026-10-06T08:45:29.718562+08:00</t>
        </is>
      </c>
      <c r="AW412" s="14" t="inlineStr">
        <is>
          <t>Titan007/V4</t>
        </is>
      </c>
      <c r="AX412" s="14" t="inlineStr">
        <is>
          <t>Daily append；市场输入缺失时不生成决策</t>
        </is>
      </c>
      <c r="AY412" s="14" t="n"/>
    </row>
    <row r="413" ht="22" customHeight="1" s="39">
      <c r="A413" s="14" t="inlineStr">
        <is>
          <t>2026-10-06</t>
        </is>
      </c>
      <c r="B413" s="14" t="inlineStr">
        <is>
          <t>2026-10-06T16:30:00+08:00</t>
        </is>
      </c>
      <c r="C413" s="14" t="inlineStr">
        <is>
          <t>CLUB_CUP</t>
        </is>
      </c>
      <c r="D413" s="14" t="n"/>
      <c r="E413" s="14" t="inlineStr">
        <is>
          <t>越南杯</t>
        </is>
      </c>
      <c r="F413" s="14" t="inlineStr">
        <is>
          <t>林同 vs 宋兰义安</t>
        </is>
      </c>
      <c r="G413" s="26" t="n">
        <v>0.89</v>
      </c>
      <c r="H413" s="26" t="n">
        <v>-0.75</v>
      </c>
      <c r="I413" s="26" t="n">
        <v>0.8100000000000001</v>
      </c>
      <c r="J413" s="26" t="inlineStr">
        <is>
          <t>0.89/-0.75/0.81</t>
        </is>
      </c>
      <c r="K413" s="14" t="inlineStr">
        <is>
          <t>V4-B</t>
        </is>
      </c>
      <c r="L413" s="14" t="inlineStr">
        <is>
          <t>林同</t>
        </is>
      </c>
      <c r="M413" s="47" t="n">
        <v>0.05847740783754733</v>
      </c>
      <c r="N413" s="14" t="inlineStr">
        <is>
          <t>V4 Shadow Only；real_money=false</t>
        </is>
      </c>
      <c r="O413" s="14" t="inlineStr">
        <is>
          <t>0-2</t>
        </is>
      </c>
      <c r="P413" s="14" t="inlineStr">
        <is>
          <t>已结算</t>
        </is>
      </c>
      <c r="Q413" s="14" t="inlineStr">
        <is>
          <t>黑</t>
        </is>
      </c>
      <c r="R413" s="48" t="n">
        <v>0.89</v>
      </c>
      <c r="S413" s="48" t="n">
        <v>-1</v>
      </c>
      <c r="T413" s="14" t="inlineStr">
        <is>
          <t>D:\codex\outputs\football_odds_trader\decision_versions\2026-10-06\RUN_20261006_084027\slate_raw.csv</t>
        </is>
      </c>
      <c r="U413" s="14" t="n"/>
      <c r="V413" s="48" t="n"/>
      <c r="W413" s="48" t="n"/>
      <c r="X413" s="14" t="inlineStr">
        <is>
          <t>3075384</t>
        </is>
      </c>
      <c r="Y413" s="14" t="inlineStr">
        <is>
          <t>V4</t>
        </is>
      </c>
      <c r="Z413" s="14" t="inlineStr">
        <is>
          <t>prior-2026-10-06-v1</t>
        </is>
      </c>
      <c r="AA413" s="14" t="inlineStr">
        <is>
          <t>B</t>
        </is>
      </c>
      <c r="AB413" s="14" t="n">
        <v>0.05847740783754733</v>
      </c>
      <c r="AC413" s="14" t="n">
        <v>0.9048297856909805</v>
      </c>
      <c r="AD413" s="14" t="n">
        <v>-1.5</v>
      </c>
      <c r="AE413" s="14" t="n">
        <v>0</v>
      </c>
      <c r="AF413" s="14" t="n">
        <v>0</v>
      </c>
      <c r="AG413" s="14" t="n">
        <v>0.7468211014274253</v>
      </c>
      <c r="AH413" s="14" t="n"/>
      <c r="AI413" s="14" t="n"/>
      <c r="AJ413" s="14" t="n">
        <v>0.7468211014274253</v>
      </c>
      <c r="AK413" s="14" t="n"/>
      <c r="AL413" s="14" t="n"/>
      <c r="AM413" s="14" t="inlineStr">
        <is>
          <t>EVALUATED</t>
        </is>
      </c>
      <c r="AN413" s="14" t="inlineStr">
        <is>
          <t>RECEIVING_VALIDATED_EDGE;BUCKET_PRIOR_ONLY;INTENT_INTERPRETATION_ONLY;FFL_OPTIONAL;EXPERT_MARKET</t>
        </is>
      </c>
      <c r="AO413" s="14" t="inlineStr">
        <is>
          <t>6357a66942b84127ce8a</t>
        </is>
      </c>
      <c r="AP413" s="14" t="n">
        <v>0.75</v>
      </c>
      <c r="AQ413" s="14" t="n">
        <v>0.89</v>
      </c>
      <c r="AR413" s="14" t="n">
        <v>-0.75</v>
      </c>
      <c r="AS413" s="14" t="n">
        <v>0.75</v>
      </c>
      <c r="AT413" s="14" t="n">
        <v>0.89</v>
      </c>
      <c r="AU413" s="14" t="n">
        <v>0.8100000000000001</v>
      </c>
      <c r="AV413" s="14" t="inlineStr">
        <is>
          <t>2026-10-06T08:45:29.718562+08:00</t>
        </is>
      </c>
      <c r="AW413" s="14" t="inlineStr">
        <is>
          <t>Titan007/V4</t>
        </is>
      </c>
      <c r="AX413" s="14" t="inlineStr">
        <is>
          <t>Daily append；市场输入缺失时不生成决策</t>
        </is>
      </c>
      <c r="AY413" s="14" t="n"/>
    </row>
    <row r="414" ht="22" customHeight="1" s="39">
      <c r="A414" s="14" t="inlineStr">
        <is>
          <t>2026-10-06</t>
        </is>
      </c>
      <c r="B414" s="14" t="inlineStr">
        <is>
          <t>2026-10-06T19:00:00+08:00</t>
        </is>
      </c>
      <c r="C414" s="14" t="inlineStr">
        <is>
          <t>CLUB_CUP</t>
        </is>
      </c>
      <c r="D414" s="14" t="n"/>
      <c r="E414" s="14" t="inlineStr">
        <is>
          <t>越南杯</t>
        </is>
      </c>
      <c r="F414" s="14" t="inlineStr">
        <is>
          <t>PVF人民公安 vs 顺化</t>
        </is>
      </c>
      <c r="G414" s="26" t="n">
        <v>0.85</v>
      </c>
      <c r="H414" s="26" t="n">
        <v>2.5</v>
      </c>
      <c r="I414" s="26" t="n">
        <v>0.95</v>
      </c>
      <c r="J414" s="26" t="inlineStr">
        <is>
          <t>0.85/2.5/0.95</t>
        </is>
      </c>
      <c r="K414" s="14" t="inlineStr">
        <is>
          <t>V4-B</t>
        </is>
      </c>
      <c r="L414" s="14" t="inlineStr">
        <is>
          <t>PVF人民公安</t>
        </is>
      </c>
      <c r="M414" s="47" t="n">
        <v>0.5877997159403979</v>
      </c>
      <c r="N414" s="14" t="inlineStr">
        <is>
          <t>V4 Shadow Only；real_money=false</t>
        </is>
      </c>
      <c r="O414" s="14" t="inlineStr">
        <is>
          <t>4-1</t>
        </is>
      </c>
      <c r="P414" s="14" t="inlineStr">
        <is>
          <t>已结算</t>
        </is>
      </c>
      <c r="Q414" s="14" t="inlineStr">
        <is>
          <t>红</t>
        </is>
      </c>
      <c r="R414" s="48" t="n">
        <v>0.85</v>
      </c>
      <c r="S414" s="48" t="n">
        <v>0.85</v>
      </c>
      <c r="T414" s="14" t="inlineStr">
        <is>
          <t>D:\codex\outputs\football_odds_trader\decision_versions\2026-10-06\RUN_20261006_084027\slate_raw.csv</t>
        </is>
      </c>
      <c r="U414" s="14" t="n"/>
      <c r="V414" s="48" t="n"/>
      <c r="W414" s="48" t="n"/>
      <c r="X414" s="14" t="inlineStr">
        <is>
          <t>3075385</t>
        </is>
      </c>
      <c r="Y414" s="14" t="inlineStr">
        <is>
          <t>V4</t>
        </is>
      </c>
      <c r="Z414" s="14" t="inlineStr">
        <is>
          <t>prior-2026-10-06-v1</t>
        </is>
      </c>
      <c r="AA414" s="14" t="inlineStr">
        <is>
          <t>B</t>
        </is>
      </c>
      <c r="AB414" s="14" t="n">
        <v>0.5877997159403979</v>
      </c>
      <c r="AC414" s="14" t="n">
        <v>0.4122002840596021</v>
      </c>
      <c r="AD414" s="14" t="n">
        <v>3.75</v>
      </c>
      <c r="AE414" s="14" t="n"/>
      <c r="AF414" s="14" t="n"/>
      <c r="AG414" s="14" t="n">
        <v>0.08742947448973615</v>
      </c>
      <c r="AH414" s="14" t="n"/>
      <c r="AI414" s="14" t="n"/>
      <c r="AJ414" s="14" t="n">
        <v>0.08742947448973615</v>
      </c>
      <c r="AK414" s="14" t="n"/>
      <c r="AL414" s="14" t="n"/>
      <c r="AM414" s="14" t="inlineStr">
        <is>
          <t>EVALUATED</t>
        </is>
      </c>
      <c r="AN414" s="14" t="inlineStr">
        <is>
          <t>GIVING_VALIDATED_EDGE;BUCKET_PRIOR_ONLY;INTENT_INTERPRETATION_ONLY;FFL_OPTIONAL;EXPERT_MARKET</t>
        </is>
      </c>
      <c r="AO414" s="14" t="inlineStr">
        <is>
          <t>578c65e2b408d2c7392e</t>
        </is>
      </c>
      <c r="AP414" s="14" t="n">
        <v>-2.5</v>
      </c>
      <c r="AQ414" s="14" t="n">
        <v>0.85</v>
      </c>
      <c r="AR414" s="14" t="n">
        <v>2.5</v>
      </c>
      <c r="AS414" s="14" t="n">
        <v>-2.5</v>
      </c>
      <c r="AT414" s="14" t="n">
        <v>0.85</v>
      </c>
      <c r="AU414" s="14" t="n">
        <v>0.95</v>
      </c>
      <c r="AV414" s="14" t="inlineStr">
        <is>
          <t>2026-10-06T08:45:29.718562+08:00</t>
        </is>
      </c>
      <c r="AW414" s="14" t="inlineStr">
        <is>
          <t>Titan007/V4</t>
        </is>
      </c>
      <c r="AX414" s="14" t="inlineStr">
        <is>
          <t>Daily append；市场输入缺失时不生成决策</t>
        </is>
      </c>
      <c r="AY414" s="14" t="n"/>
    </row>
    <row r="415" ht="22" customHeight="1" s="39">
      <c r="A415" s="14" t="inlineStr">
        <is>
          <t>2026-10-06</t>
        </is>
      </c>
      <c r="B415" s="14" t="inlineStr">
        <is>
          <t>2026-10-07T02:00:00+08:00</t>
        </is>
      </c>
      <c r="C415" s="14" t="n"/>
      <c r="D415" s="14" t="n"/>
      <c r="E415" s="14" t="inlineStr">
        <is>
          <t>英锦赛</t>
        </is>
      </c>
      <c r="F415" s="14" t="inlineStr">
        <is>
          <t>阿克灵顿 vs 索尔福德市</t>
        </is>
      </c>
      <c r="G415" s="26" t="n">
        <v>0.9</v>
      </c>
      <c r="H415" s="26" t="n">
        <v>-0.5</v>
      </c>
      <c r="I415" s="26" t="n">
        <v>0.92</v>
      </c>
      <c r="J415" s="26" t="inlineStr">
        <is>
          <t>0.9/-0.5/0.92</t>
        </is>
      </c>
      <c r="K415" s="14" t="inlineStr">
        <is>
          <t>V4-C</t>
        </is>
      </c>
      <c r="L415" s="14" t="inlineStr">
        <is>
          <t>阿克灵顿</t>
        </is>
      </c>
      <c r="M415" s="47" t="n">
        <v>0.2252772980446985</v>
      </c>
      <c r="N415" s="14" t="inlineStr">
        <is>
          <t>V4 Shadow Only；real_money=false</t>
        </is>
      </c>
      <c r="O415" s="14" t="inlineStr">
        <is>
          <t>1-1</t>
        </is>
      </c>
      <c r="P415" s="14" t="inlineStr">
        <is>
          <t>已结算</t>
        </is>
      </c>
      <c r="Q415" s="14" t="inlineStr">
        <is>
          <t>红</t>
        </is>
      </c>
      <c r="R415" s="48" t="n">
        <v>0.9</v>
      </c>
      <c r="S415" s="48" t="n">
        <v>0.9</v>
      </c>
      <c r="T415" s="14" t="inlineStr">
        <is>
          <t>D:\codex\outputs\football_odds_trader\decision_versions\2026-10-06\RUN_20261006_084027\slate_raw.csv</t>
        </is>
      </c>
      <c r="U415" s="14" t="n"/>
      <c r="V415" s="48" t="n"/>
      <c r="W415" s="48" t="n"/>
      <c r="X415" s="14" t="inlineStr">
        <is>
          <t>3083965</t>
        </is>
      </c>
      <c r="Y415" s="14" t="inlineStr">
        <is>
          <t>V4</t>
        </is>
      </c>
      <c r="Z415" s="14" t="inlineStr">
        <is>
          <t>prior-2026-10-06-v1</t>
        </is>
      </c>
      <c r="AA415" s="14" t="inlineStr">
        <is>
          <t>C</t>
        </is>
      </c>
      <c r="AB415" s="14" t="n">
        <v>0.2252772980446985</v>
      </c>
      <c r="AC415" s="14" t="n">
        <v>0.7747227019553016</v>
      </c>
      <c r="AD415" s="14" t="n">
        <v>-0.75</v>
      </c>
      <c r="AE415" s="14" t="n">
        <v>0</v>
      </c>
      <c r="AF415" s="14" t="n">
        <v>0</v>
      </c>
      <c r="AG415" s="14" t="n">
        <v>0.4719731337150729</v>
      </c>
      <c r="AH415" s="14" t="n"/>
      <c r="AI415" s="14" t="n"/>
      <c r="AJ415" s="14" t="n">
        <v>0.4719731337150729</v>
      </c>
      <c r="AK415" s="14" t="n"/>
      <c r="AL415" s="14" t="n"/>
      <c r="AM415" s="14" t="inlineStr">
        <is>
          <t>EVALUATED</t>
        </is>
      </c>
      <c r="AN415" s="14" t="inlineStr">
        <is>
          <t>RECEIVING_VALIDATED_EDGE;BUCKET_PRIOR_ONLY;INTENT_INTERPRETATION_ONLY;FFL_OPTIONAL;EXPERT_MARKET</t>
        </is>
      </c>
      <c r="AO415" s="14" t="inlineStr">
        <is>
          <t>fb388b02c94bb7638298</t>
        </is>
      </c>
      <c r="AP415" s="14" t="n">
        <v>0.5</v>
      </c>
      <c r="AQ415" s="14" t="n">
        <v>0.9</v>
      </c>
      <c r="AR415" s="14" t="n">
        <v>-0.5</v>
      </c>
      <c r="AS415" s="14" t="n">
        <v>0.5</v>
      </c>
      <c r="AT415" s="14" t="n">
        <v>0.9</v>
      </c>
      <c r="AU415" s="14" t="n">
        <v>0.92</v>
      </c>
      <c r="AV415" s="14" t="inlineStr">
        <is>
          <t>2026-10-06T08:45:29.718562+08:00</t>
        </is>
      </c>
      <c r="AW415" s="14" t="inlineStr">
        <is>
          <t>Titan007/V4</t>
        </is>
      </c>
      <c r="AX415" s="14" t="inlineStr">
        <is>
          <t>Daily append；市场输入缺失时不生成决策</t>
        </is>
      </c>
      <c r="AY415" s="14" t="n"/>
    </row>
    <row r="416" ht="22" customHeight="1" s="39">
      <c r="A416" s="14" t="inlineStr">
        <is>
          <t>2026-10-06</t>
        </is>
      </c>
      <c r="B416" s="14" t="inlineStr">
        <is>
          <t>2026-10-06T19:30:00+08:00</t>
        </is>
      </c>
      <c r="C416" s="14" t="inlineStr">
        <is>
          <t>CLUB_LEAGUE</t>
        </is>
      </c>
      <c r="D416" s="14" t="n"/>
      <c r="E416" s="14" t="inlineStr">
        <is>
          <t>中乙</t>
        </is>
      </c>
      <c r="F416" s="14" t="inlineStr">
        <is>
          <t>杭州临平吴越 vs 山西崇德荣海</t>
        </is>
      </c>
      <c r="G416" s="26" t="n">
        <v>0.9</v>
      </c>
      <c r="H416" s="26" t="n">
        <v>-0.25</v>
      </c>
      <c r="I416" s="26" t="n">
        <v>0.9</v>
      </c>
      <c r="J416" s="26" t="inlineStr">
        <is>
          <t>0.9/-0.25/0.9</t>
        </is>
      </c>
      <c r="K416" s="14" t="inlineStr">
        <is>
          <t>V4-B</t>
        </is>
      </c>
      <c r="L416" s="14" t="inlineStr">
        <is>
          <t>杭州临平吴越</t>
        </is>
      </c>
      <c r="M416" s="47" t="n">
        <v>0.1882401019557683</v>
      </c>
      <c r="N416" s="14" t="inlineStr">
        <is>
          <t>V4 Shadow Only；real_money=false</t>
        </is>
      </c>
      <c r="O416" s="14" t="inlineStr">
        <is>
          <t>0-0</t>
        </is>
      </c>
      <c r="P416" s="14" t="inlineStr">
        <is>
          <t>已结算</t>
        </is>
      </c>
      <c r="Q416" s="14" t="inlineStr">
        <is>
          <t>半红</t>
        </is>
      </c>
      <c r="R416" s="48" t="n">
        <v>0.9</v>
      </c>
      <c r="S416" s="48" t="n">
        <v>0.45</v>
      </c>
      <c r="T416" s="14" t="inlineStr">
        <is>
          <t>D:\codex\outputs\football_odds_trader\decision_versions\2026-10-06\RUN_20261006_084027\slate_raw.csv</t>
        </is>
      </c>
      <c r="U416" s="14" t="n"/>
      <c r="V416" s="48" t="n"/>
      <c r="W416" s="48" t="n"/>
      <c r="X416" s="14" t="inlineStr">
        <is>
          <t>3087143</t>
        </is>
      </c>
      <c r="Y416" s="14" t="inlineStr">
        <is>
          <t>V4</t>
        </is>
      </c>
      <c r="Z416" s="14" t="inlineStr">
        <is>
          <t>prior-2026-10-06-v1</t>
        </is>
      </c>
      <c r="AA416" s="14" t="inlineStr">
        <is>
          <t>B</t>
        </is>
      </c>
      <c r="AB416" s="14" t="n">
        <v>0.1882401019557683</v>
      </c>
      <c r="AC416" s="14" t="n">
        <v>0.6921562185474387</v>
      </c>
      <c r="AD416" s="14" t="n">
        <v>-0.75</v>
      </c>
      <c r="AE416" s="14" t="n">
        <v>0</v>
      </c>
      <c r="AF416" s="14" t="n">
        <v>0</v>
      </c>
      <c r="AG416" s="14" t="n">
        <v>0.4347004947369265</v>
      </c>
      <c r="AH416" s="14" t="n"/>
      <c r="AI416" s="14" t="n"/>
      <c r="AJ416" s="14" t="n">
        <v>0.4347004947369265</v>
      </c>
      <c r="AK416" s="14" t="n"/>
      <c r="AL416" s="14" t="n"/>
      <c r="AM416" s="14" t="inlineStr">
        <is>
          <t>EVALUATED</t>
        </is>
      </c>
      <c r="AN416" s="14" t="inlineStr">
        <is>
          <t>RECEIVING_VALIDATED_EDGE;BUCKET_PRIOR_ONLY;INTENT_INTERPRETATION_ONLY;FFL_OPTIONAL;EXPERT_MARKET</t>
        </is>
      </c>
      <c r="AO416" s="14" t="inlineStr">
        <is>
          <t>ab58cf2984e455a15af8</t>
        </is>
      </c>
      <c r="AP416" s="14" t="n">
        <v>0.25</v>
      </c>
      <c r="AQ416" s="14" t="n">
        <v>0.9</v>
      </c>
      <c r="AR416" s="14" t="n">
        <v>-0.25</v>
      </c>
      <c r="AS416" s="14" t="n">
        <v>0.25</v>
      </c>
      <c r="AT416" s="14" t="n">
        <v>0.9</v>
      </c>
      <c r="AU416" s="14" t="n">
        <v>0.9</v>
      </c>
      <c r="AV416" s="14" t="inlineStr">
        <is>
          <t>2026-10-06T08:45:29.718562+08:00</t>
        </is>
      </c>
      <c r="AW416" s="14" t="inlineStr">
        <is>
          <t>Titan007/V4</t>
        </is>
      </c>
      <c r="AX416" s="14" t="inlineStr">
        <is>
          <t>Daily append；市场输入缺失时不生成决策</t>
        </is>
      </c>
      <c r="AY416" s="14" t="n"/>
    </row>
    <row r="417" ht="22" customHeight="1" s="39">
      <c r="A417" s="14" t="inlineStr">
        <is>
          <t>2026-10-06</t>
        </is>
      </c>
      <c r="B417" s="14" t="inlineStr">
        <is>
          <t>2026-10-06T19:30:00+08:00</t>
        </is>
      </c>
      <c r="C417" s="14" t="inlineStr">
        <is>
          <t>CLUB_LEAGUE</t>
        </is>
      </c>
      <c r="D417" s="14" t="n"/>
      <c r="E417" s="14" t="inlineStr">
        <is>
          <t>中乙</t>
        </is>
      </c>
      <c r="F417" s="14" t="inlineStr">
        <is>
          <t>贵州贵阳竞技 vs 上海海港B队</t>
        </is>
      </c>
      <c r="G417" s="26" t="n">
        <v>0.85</v>
      </c>
      <c r="H417" s="26" t="n">
        <v>0.5</v>
      </c>
      <c r="I417" s="26" t="n">
        <v>0.95</v>
      </c>
      <c r="J417" s="26" t="inlineStr">
        <is>
          <t>0.85/0.5/0.95</t>
        </is>
      </c>
      <c r="K417" s="14" t="inlineStr">
        <is>
          <t>V4-B</t>
        </is>
      </c>
      <c r="L417" s="14" t="inlineStr">
        <is>
          <t>贵州贵阳竞技</t>
        </is>
      </c>
      <c r="M417" s="47" t="n">
        <v>0.5848814849886986</v>
      </c>
      <c r="N417" s="14" t="inlineStr">
        <is>
          <t>V4 Shadow Only；real_money=false</t>
        </is>
      </c>
      <c r="O417" s="14" t="inlineStr">
        <is>
          <t>2-1</t>
        </is>
      </c>
      <c r="P417" s="14" t="inlineStr">
        <is>
          <t>已结算</t>
        </is>
      </c>
      <c r="Q417" s="14" t="inlineStr">
        <is>
          <t>红</t>
        </is>
      </c>
      <c r="R417" s="48" t="n">
        <v>0.85</v>
      </c>
      <c r="S417" s="48" t="n">
        <v>0.85</v>
      </c>
      <c r="T417" s="14" t="inlineStr">
        <is>
          <t>D:\codex\outputs\football_odds_trader\decision_versions\2026-10-06\RUN_20261006_084027\slate_raw.csv</t>
        </is>
      </c>
      <c r="U417" s="14" t="n"/>
      <c r="V417" s="48" t="n"/>
      <c r="W417" s="48" t="n"/>
      <c r="X417" s="14" t="inlineStr">
        <is>
          <t>3087144</t>
        </is>
      </c>
      <c r="Y417" s="14" t="inlineStr">
        <is>
          <t>V4</t>
        </is>
      </c>
      <c r="Z417" s="14" t="inlineStr">
        <is>
          <t>prior-2026-10-06-v1</t>
        </is>
      </c>
      <c r="AA417" s="14" t="inlineStr">
        <is>
          <t>B</t>
        </is>
      </c>
      <c r="AB417" s="14" t="n">
        <v>0.5848814849886986</v>
      </c>
      <c r="AC417" s="14" t="n">
        <v>0.4151185150113014</v>
      </c>
      <c r="AD417" s="14" t="n">
        <v>1</v>
      </c>
      <c r="AE417" s="14" t="n"/>
      <c r="AF417" s="14" t="n"/>
      <c r="AG417" s="14" t="n">
        <v>0.08203074722909243</v>
      </c>
      <c r="AH417" s="14" t="n"/>
      <c r="AI417" s="14" t="n"/>
      <c r="AJ417" s="14" t="n">
        <v>0.08203074722909243</v>
      </c>
      <c r="AK417" s="14" t="n"/>
      <c r="AL417" s="14" t="n"/>
      <c r="AM417" s="14" t="inlineStr">
        <is>
          <t>EVALUATED</t>
        </is>
      </c>
      <c r="AN417" s="14" t="inlineStr">
        <is>
          <t>GIVING_VALIDATED_EDGE;BUCKET_PRIOR_ONLY;INTENT_INTERPRETATION_ONLY;FFL_OPTIONAL;EXPERT_MARKET</t>
        </is>
      </c>
      <c r="AO417" s="14" t="inlineStr">
        <is>
          <t>d056c7e6c14442633d3c</t>
        </is>
      </c>
      <c r="AP417" s="14" t="n">
        <v>-0.5</v>
      </c>
      <c r="AQ417" s="14" t="n">
        <v>0.85</v>
      </c>
      <c r="AR417" s="14" t="n">
        <v>0.5</v>
      </c>
      <c r="AS417" s="14" t="n">
        <v>-0.5</v>
      </c>
      <c r="AT417" s="14" t="n">
        <v>0.85</v>
      </c>
      <c r="AU417" s="14" t="n">
        <v>0.95</v>
      </c>
      <c r="AV417" s="14" t="inlineStr">
        <is>
          <t>2026-10-06T08:45:29.718562+08:00</t>
        </is>
      </c>
      <c r="AW417" s="14" t="inlineStr">
        <is>
          <t>Titan007/V4</t>
        </is>
      </c>
      <c r="AX417" s="14" t="inlineStr">
        <is>
          <t>Daily append；市场输入缺失时不生成决策</t>
        </is>
      </c>
      <c r="AY417" s="14" t="n"/>
    </row>
    <row r="418" ht="22" customHeight="1" s="39">
      <c r="A418" s="14" t="inlineStr">
        <is>
          <t>2026-10-06</t>
        </is>
      </c>
      <c r="B418" s="14" t="inlineStr">
        <is>
          <t>2026-10-06T17:00:00+08:00</t>
        </is>
      </c>
      <c r="C418" s="14" t="n"/>
      <c r="D418" s="14" t="n"/>
      <c r="E418" s="14" t="inlineStr">
        <is>
          <t>中乙降A</t>
        </is>
      </c>
      <c r="F418" s="14" t="inlineStr">
        <is>
          <t>湖北青年星 vs 兰州陇原竞技</t>
        </is>
      </c>
      <c r="G418" s="26" t="n">
        <v>0.75</v>
      </c>
      <c r="H418" s="26" t="n">
        <v>-0.25</v>
      </c>
      <c r="I418" s="26" t="n">
        <v>1.05</v>
      </c>
      <c r="J418" s="26" t="inlineStr">
        <is>
          <t>0.75/-0.25/1.05</t>
        </is>
      </c>
      <c r="K418" s="14" t="inlineStr">
        <is>
          <t>V4-B</t>
        </is>
      </c>
      <c r="L418" s="14" t="inlineStr">
        <is>
          <t>湖北青年星</t>
        </is>
      </c>
      <c r="M418" s="47" t="n">
        <v>0.3109616156786966</v>
      </c>
      <c r="N418" s="14" t="inlineStr">
        <is>
          <t>V4 Shadow Only；real_money=false</t>
        </is>
      </c>
      <c r="O418" s="14" t="inlineStr">
        <is>
          <t>2-0</t>
        </is>
      </c>
      <c r="P418" s="14" t="inlineStr">
        <is>
          <t>已结算</t>
        </is>
      </c>
      <c r="Q418" s="14" t="inlineStr">
        <is>
          <t>红</t>
        </is>
      </c>
      <c r="R418" s="48" t="n">
        <v>0.75</v>
      </c>
      <c r="S418" s="48" t="n">
        <v>0.75</v>
      </c>
      <c r="T418" s="14" t="inlineStr">
        <is>
          <t>D:\codex\outputs\football_odds_trader\decision_versions\2026-10-06\RUN_20261006_084027\slate_raw.csv</t>
        </is>
      </c>
      <c r="U418" s="14" t="n"/>
      <c r="V418" s="48" t="n"/>
      <c r="W418" s="48" t="n"/>
      <c r="X418" s="14" t="inlineStr">
        <is>
          <t>3087674</t>
        </is>
      </c>
      <c r="Y418" s="14" t="inlineStr">
        <is>
          <t>V4</t>
        </is>
      </c>
      <c r="Z418" s="14" t="inlineStr">
        <is>
          <t>prior-2026-10-06-v1</t>
        </is>
      </c>
      <c r="AA418" s="14" t="inlineStr">
        <is>
          <t>B</t>
        </is>
      </c>
      <c r="AB418" s="14" t="n">
        <v>0.3109616156786966</v>
      </c>
      <c r="AC418" s="14" t="n">
        <v>0.5564188071138707</v>
      </c>
      <c r="AD418" s="14" t="n">
        <v>-0.25</v>
      </c>
      <c r="AE418" s="14" t="n">
        <v>0</v>
      </c>
      <c r="AF418" s="14" t="n">
        <v>0</v>
      </c>
      <c r="AG418" s="14" t="n">
        <v>0.1063524896567064</v>
      </c>
      <c r="AH418" s="14" t="n"/>
      <c r="AI418" s="14" t="n"/>
      <c r="AJ418" s="14" t="n">
        <v>0.1063524896567064</v>
      </c>
      <c r="AK418" s="14" t="n"/>
      <c r="AL418" s="14" t="n"/>
      <c r="AM418" s="14" t="inlineStr">
        <is>
          <t>EVALUATED</t>
        </is>
      </c>
      <c r="AN418" s="14" t="inlineStr">
        <is>
          <t>RECEIVING_VALIDATED_EDGE;BUCKET_PRIOR_ONLY;INTENT_INTERPRETATION_ONLY;FFL_OPTIONAL;EXPERT_MARKET</t>
        </is>
      </c>
      <c r="AO418" s="14" t="inlineStr">
        <is>
          <t>3137f9e35c15ba41ff7d</t>
        </is>
      </c>
      <c r="AP418" s="14" t="n">
        <v>0.25</v>
      </c>
      <c r="AQ418" s="14" t="n">
        <v>0.75</v>
      </c>
      <c r="AR418" s="14" t="n">
        <v>-0.25</v>
      </c>
      <c r="AS418" s="14" t="n">
        <v>0.25</v>
      </c>
      <c r="AT418" s="14" t="n">
        <v>0.75</v>
      </c>
      <c r="AU418" s="14" t="n">
        <v>1.05</v>
      </c>
      <c r="AV418" s="14" t="inlineStr">
        <is>
          <t>2026-10-06T08:45:29.718562+08:00</t>
        </is>
      </c>
      <c r="AW418" s="14" t="inlineStr">
        <is>
          <t>Titan007/V4</t>
        </is>
      </c>
      <c r="AX418" s="14" t="inlineStr">
        <is>
          <t>Daily append；市场输入缺失时不生成决策</t>
        </is>
      </c>
      <c r="AY418" s="14" t="n"/>
    </row>
    <row r="419" ht="22" customHeight="1" s="39">
      <c r="A419" s="14" t="inlineStr">
        <is>
          <t>2026-10-06</t>
        </is>
      </c>
      <c r="B419" s="14" t="inlineStr">
        <is>
          <t>2026-10-06T15:30:00+08:00</t>
        </is>
      </c>
      <c r="C419" s="14" t="n"/>
      <c r="D419" s="14" t="n"/>
      <c r="E419" s="14" t="inlineStr">
        <is>
          <t>中乙降B</t>
        </is>
      </c>
      <c r="F419" s="14" t="inlineStr">
        <is>
          <t>北京理工 vs 成都蓉城B队</t>
        </is>
      </c>
      <c r="G419" s="26" t="n">
        <v>1</v>
      </c>
      <c r="H419" s="26" t="n">
        <v>-0.5</v>
      </c>
      <c r="I419" s="26" t="n">
        <v>0.8</v>
      </c>
      <c r="J419" s="26" t="inlineStr">
        <is>
          <t>1.0/-0.5/0.8</t>
        </is>
      </c>
      <c r="K419" s="14" t="inlineStr">
        <is>
          <t>V4-B</t>
        </is>
      </c>
      <c r="L419" s="14" t="inlineStr">
        <is>
          <t>北京理工</t>
        </is>
      </c>
      <c r="M419" s="47" t="n">
        <v>0.1126851648944733</v>
      </c>
      <c r="N419" s="14" t="inlineStr">
        <is>
          <t>V4 Shadow Only；real_money=false</t>
        </is>
      </c>
      <c r="O419" s="14" t="inlineStr">
        <is>
          <t>2-0</t>
        </is>
      </c>
      <c r="P419" s="14" t="inlineStr">
        <is>
          <t>已结算</t>
        </is>
      </c>
      <c r="Q419" s="14" t="inlineStr">
        <is>
          <t>红</t>
        </is>
      </c>
      <c r="R419" s="48" t="n">
        <v>1</v>
      </c>
      <c r="S419" s="48" t="n">
        <v>1</v>
      </c>
      <c r="T419" s="14" t="inlineStr">
        <is>
          <t>D:\codex\outputs\football_odds_trader\decision_versions\2026-10-06\RUN_20261006_084027\slate_raw.csv</t>
        </is>
      </c>
      <c r="U419" s="14" t="n"/>
      <c r="V419" s="48" t="n"/>
      <c r="W419" s="48" t="n"/>
      <c r="X419" s="14" t="inlineStr">
        <is>
          <t>3087704</t>
        </is>
      </c>
      <c r="Y419" s="14" t="inlineStr">
        <is>
          <t>V4</t>
        </is>
      </c>
      <c r="Z419" s="14" t="inlineStr">
        <is>
          <t>prior-2026-10-06-v1</t>
        </is>
      </c>
      <c r="AA419" s="14" t="inlineStr">
        <is>
          <t>B</t>
        </is>
      </c>
      <c r="AB419" s="14" t="n">
        <v>0.1126851648944733</v>
      </c>
      <c r="AC419" s="14" t="n">
        <v>0.8873148351055267</v>
      </c>
      <c r="AD419" s="14" t="n">
        <v>-1.25</v>
      </c>
      <c r="AE419" s="14" t="n">
        <v>0</v>
      </c>
      <c r="AF419" s="14" t="n">
        <v>0</v>
      </c>
      <c r="AG419" s="14" t="n">
        <v>0.7746296702110533</v>
      </c>
      <c r="AH419" s="14" t="n"/>
      <c r="AI419" s="14" t="n"/>
      <c r="AJ419" s="14" t="n">
        <v>0.7746296702110533</v>
      </c>
      <c r="AK419" s="14" t="n"/>
      <c r="AL419" s="14" t="n"/>
      <c r="AM419" s="14" t="inlineStr">
        <is>
          <t>EVALUATED</t>
        </is>
      </c>
      <c r="AN419" s="14" t="inlineStr">
        <is>
          <t>RECEIVING_VALIDATED_EDGE;BUCKET_PRIOR_ONLY;INTENT_INTERPRETATION_ONLY;FFL_OPTIONAL;EXPERT_MARKET</t>
        </is>
      </c>
      <c r="AO419" s="14" t="inlineStr">
        <is>
          <t>5a13f7720dbf64c847d7</t>
        </is>
      </c>
      <c r="AP419" s="14" t="n">
        <v>0.5</v>
      </c>
      <c r="AQ419" s="14" t="n">
        <v>1</v>
      </c>
      <c r="AR419" s="14" t="n">
        <v>-0.5</v>
      </c>
      <c r="AS419" s="14" t="n">
        <v>0.5</v>
      </c>
      <c r="AT419" s="14" t="n">
        <v>1</v>
      </c>
      <c r="AU419" s="14" t="n">
        <v>0.8</v>
      </c>
      <c r="AV419" s="14" t="inlineStr">
        <is>
          <t>2026-10-06T08:45:29.718562+08:00</t>
        </is>
      </c>
      <c r="AW419" s="14" t="inlineStr">
        <is>
          <t>Titan007/V4</t>
        </is>
      </c>
      <c r="AX419" s="14" t="inlineStr">
        <is>
          <t>Daily append；市场输入缺失时不生成决策</t>
        </is>
      </c>
      <c r="AY419" s="14" t="n"/>
    </row>
    <row r="420" ht="22" customHeight="1" s="39">
      <c r="A420" s="14" t="inlineStr">
        <is>
          <t>2026-10-06</t>
        </is>
      </c>
      <c r="B420" s="14" t="inlineStr">
        <is>
          <t>2026-10-06T21:30:00+08:00</t>
        </is>
      </c>
      <c r="C420" s="14" t="n"/>
      <c r="D420" s="14" t="n"/>
      <c r="E420" s="14" t="inlineStr">
        <is>
          <t>非青杯外</t>
        </is>
      </c>
      <c r="F420" s="14" t="inlineStr">
        <is>
          <t>利比亚U20 vs 摩洛哥U20</t>
        </is>
      </c>
      <c r="G420" s="26" t="n">
        <v>1.08</v>
      </c>
      <c r="H420" s="26" t="n">
        <v>-1.5</v>
      </c>
      <c r="I420" s="26" t="n">
        <v>0.64</v>
      </c>
      <c r="J420" s="26" t="inlineStr">
        <is>
          <t>1.08/-1.5/0.64</t>
        </is>
      </c>
      <c r="K420" s="14" t="inlineStr">
        <is>
          <t>V4-B</t>
        </is>
      </c>
      <c r="L420" s="14" t="inlineStr">
        <is>
          <t>利比亚U20</t>
        </is>
      </c>
      <c r="M420" s="47" t="n">
        <v>0.0002057424512398283</v>
      </c>
      <c r="N420" s="14" t="inlineStr">
        <is>
          <t>V4 Shadow Only；real_money=false</t>
        </is>
      </c>
      <c r="O420" s="14" t="inlineStr">
        <is>
          <t>3-2</t>
        </is>
      </c>
      <c r="P420" s="14" t="inlineStr">
        <is>
          <t>已结算</t>
        </is>
      </c>
      <c r="Q420" s="14" t="inlineStr">
        <is>
          <t>红</t>
        </is>
      </c>
      <c r="R420" s="48" t="n">
        <v>1.08</v>
      </c>
      <c r="S420" s="48" t="n">
        <v>1.08</v>
      </c>
      <c r="T420" s="14" t="inlineStr">
        <is>
          <t>D:\codex\outputs\football_odds_trader\decision_versions\2026-10-06\RUN_20261006_084027\slate_raw.csv</t>
        </is>
      </c>
      <c r="U420" s="14" t="n"/>
      <c r="V420" s="48" t="n"/>
      <c r="W420" s="48" t="n"/>
      <c r="X420" s="14" t="inlineStr">
        <is>
          <t>3089675</t>
        </is>
      </c>
      <c r="Y420" s="14" t="inlineStr">
        <is>
          <t>V4</t>
        </is>
      </c>
      <c r="Z420" s="14" t="inlineStr">
        <is>
          <t>prior-2026-10-06-v1</t>
        </is>
      </c>
      <c r="AA420" s="14" t="inlineStr">
        <is>
          <t>B</t>
        </is>
      </c>
      <c r="AB420" s="14" t="n">
        <v>0.0002057424512398283</v>
      </c>
      <c r="AC420" s="14" t="n">
        <v>0.9997942575487603</v>
      </c>
      <c r="AD420" s="14" t="n">
        <v>-2.75</v>
      </c>
      <c r="AE420" s="14" t="n">
        <v>0</v>
      </c>
      <c r="AF420" s="14" t="n">
        <v>0</v>
      </c>
      <c r="AG420" s="14" t="n">
        <v>1.079572055701421</v>
      </c>
      <c r="AH420" s="14" t="n"/>
      <c r="AI420" s="14" t="n"/>
      <c r="AJ420" s="14" t="n">
        <v>1.079572055701421</v>
      </c>
      <c r="AK420" s="14" t="n"/>
      <c r="AL420" s="14" t="n"/>
      <c r="AM420" s="14" t="inlineStr">
        <is>
          <t>EVALUATED</t>
        </is>
      </c>
      <c r="AN420" s="14" t="inlineStr">
        <is>
          <t>RECEIVING_VALIDATED_EDGE;BUCKET_PRIOR_ONLY;INTENT_INTERPRETATION_ONLY;FFL_OPTIONAL;EXPERT_MARKET</t>
        </is>
      </c>
      <c r="AO420" s="14" t="inlineStr">
        <is>
          <t>b2cba708fa9aa682bb98</t>
        </is>
      </c>
      <c r="AP420" s="14" t="n">
        <v>1.5</v>
      </c>
      <c r="AQ420" s="14" t="n">
        <v>1.08</v>
      </c>
      <c r="AR420" s="14" t="n">
        <v>-1.5</v>
      </c>
      <c r="AS420" s="14" t="n">
        <v>1.5</v>
      </c>
      <c r="AT420" s="14" t="n">
        <v>1.08</v>
      </c>
      <c r="AU420" s="14" t="n">
        <v>0.64</v>
      </c>
      <c r="AV420" s="14" t="inlineStr">
        <is>
          <t>2026-10-06T08:45:29.718562+08:00</t>
        </is>
      </c>
      <c r="AW420" s="14" t="inlineStr">
        <is>
          <t>Titan007/V4</t>
        </is>
      </c>
      <c r="AX420" s="14" t="inlineStr">
        <is>
          <t>Daily append；市场输入缺失时不生成决策</t>
        </is>
      </c>
      <c r="AY420" s="14" t="n"/>
    </row>
    <row r="421" ht="22" customHeight="1" s="39">
      <c r="A421" s="14" t="inlineStr">
        <is>
          <t>2026-10-06</t>
        </is>
      </c>
      <c r="B421" s="14" t="inlineStr">
        <is>
          <t>2026-10-07T08:00:00+08:00</t>
        </is>
      </c>
      <c r="C421" s="14" t="n"/>
      <c r="D421" s="14" t="n"/>
      <c r="E421" s="14" t="inlineStr">
        <is>
          <t>尼拉甲春</t>
        </is>
      </c>
      <c r="F421" s="14" t="inlineStr">
        <is>
          <t>圣马科斯 vs 迪利安格恩</t>
        </is>
      </c>
      <c r="G421" s="26" t="n">
        <v>0.77</v>
      </c>
      <c r="H421" s="26" t="n">
        <v>-1.5</v>
      </c>
      <c r="I421" s="26" t="n">
        <v>0.96</v>
      </c>
      <c r="J421" s="26" t="inlineStr">
        <is>
          <t>0.77/-1.5/0.96</t>
        </is>
      </c>
      <c r="K421" s="14" t="inlineStr">
        <is>
          <t>V4-B</t>
        </is>
      </c>
      <c r="L421" s="14" t="inlineStr">
        <is>
          <t>圣马科斯</t>
        </is>
      </c>
      <c r="M421" s="47" t="n">
        <v>0.005470185570295762</v>
      </c>
      <c r="N421" s="14" t="inlineStr">
        <is>
          <t>V4 Shadow Only；real_money=false</t>
        </is>
      </c>
      <c r="O421" s="14" t="inlineStr">
        <is>
          <t>0-0</t>
        </is>
      </c>
      <c r="P421" s="14" t="inlineStr">
        <is>
          <t>EVALUATED</t>
        </is>
      </c>
      <c r="Q421" s="14" t="inlineStr">
        <is>
          <t>B</t>
        </is>
      </c>
      <c r="R421" s="48" t="n">
        <v>0.77</v>
      </c>
      <c r="S421" s="48" t="n"/>
      <c r="T421" s="14" t="inlineStr">
        <is>
          <t>D:\codex\outputs\football_odds_trader\decision_versions\2026-10-06\RUN_20261006_084027\slate_raw.csv</t>
        </is>
      </c>
      <c r="U421" s="14" t="n"/>
      <c r="V421" s="48" t="n"/>
      <c r="W421" s="48" t="n"/>
      <c r="X421" s="14" t="inlineStr">
        <is>
          <t>3090469</t>
        </is>
      </c>
      <c r="Y421" s="14" t="inlineStr">
        <is>
          <t>V4</t>
        </is>
      </c>
      <c r="Z421" s="14" t="inlineStr">
        <is>
          <t>prior-2026-10-06-v1</t>
        </is>
      </c>
      <c r="AA421" s="14" t="inlineStr">
        <is>
          <t>B</t>
        </is>
      </c>
      <c r="AB421" s="14" t="n">
        <v>0.005470185570295762</v>
      </c>
      <c r="AC421" s="14" t="n">
        <v>0.9945298144297042</v>
      </c>
      <c r="AD421" s="14" t="n">
        <v>-2</v>
      </c>
      <c r="AE421" s="14" t="n">
        <v>0</v>
      </c>
      <c r="AF421" s="14" t="n">
        <v>0</v>
      </c>
      <c r="AG421" s="14" t="n">
        <v>0.7603177715405764</v>
      </c>
      <c r="AH421" s="14" t="n"/>
      <c r="AI421" s="14" t="n"/>
      <c r="AJ421" s="14" t="n">
        <v>0.7603177715405764</v>
      </c>
      <c r="AK421" s="14" t="n"/>
      <c r="AL421" s="14" t="n"/>
      <c r="AM421" s="14" t="inlineStr">
        <is>
          <t>EVALUATED</t>
        </is>
      </c>
      <c r="AN421" s="14" t="inlineStr">
        <is>
          <t>RECEIVING_VALIDATED_EDGE;BUCKET_PRIOR_ONLY;INTENT_INTERPRETATION_ONLY;FFL_OPTIONAL;EXPERT_MARKET</t>
        </is>
      </c>
      <c r="AO421" s="14" t="inlineStr">
        <is>
          <t>25b869c8907bdd84c146</t>
        </is>
      </c>
      <c r="AP421" s="14" t="n">
        <v>1.5</v>
      </c>
      <c r="AQ421" s="14" t="n">
        <v>0.77</v>
      </c>
      <c r="AR421" s="14" t="n">
        <v>-1.5</v>
      </c>
      <c r="AS421" s="14" t="n">
        <v>1.5</v>
      </c>
      <c r="AT421" s="14" t="n">
        <v>0.77</v>
      </c>
      <c r="AU421" s="14" t="n">
        <v>0.96</v>
      </c>
      <c r="AV421" s="14" t="inlineStr">
        <is>
          <t>2026-10-06T08:45:29.718562+08:00</t>
        </is>
      </c>
      <c r="AW421" s="14" t="inlineStr">
        <is>
          <t>Titan007/V4</t>
        </is>
      </c>
      <c r="AX421" s="14" t="inlineStr">
        <is>
          <t>Daily append；市场输入缺失时不生成决策</t>
        </is>
      </c>
      <c r="AY421" s="14" t="n"/>
    </row>
    <row r="422" ht="22" customHeight="1" s="39">
      <c r="A422" s="14" t="inlineStr">
        <is>
          <t>2026-10-06</t>
        </is>
      </c>
      <c r="B422" s="14" t="inlineStr">
        <is>
          <t>2026-10-06T19:35:00+08:00</t>
        </is>
      </c>
      <c r="C422" s="14" t="n"/>
      <c r="D422" s="14" t="n"/>
      <c r="E422" s="14" t="inlineStr">
        <is>
          <t>国际友谊</t>
        </is>
      </c>
      <c r="F422" s="14" t="inlineStr">
        <is>
          <t>中国 vs 塔吉克斯坦</t>
        </is>
      </c>
      <c r="G422" s="26" t="n">
        <v>1</v>
      </c>
      <c r="H422" s="26" t="n">
        <v>0.75</v>
      </c>
      <c r="I422" s="26" t="n">
        <v>0.82</v>
      </c>
      <c r="J422" s="26" t="inlineStr">
        <is>
          <t>1.0/0.75/0.82</t>
        </is>
      </c>
      <c r="K422" s="14" t="inlineStr">
        <is>
          <t>V4-C</t>
        </is>
      </c>
      <c r="L422" s="14" t="inlineStr">
        <is>
          <t>中国</t>
        </is>
      </c>
      <c r="M422" s="47" t="n">
        <v>0.5438270200534815</v>
      </c>
      <c r="N422" s="14" t="inlineStr">
        <is>
          <t>V4 Shadow Only；real_money=false</t>
        </is>
      </c>
      <c r="O422" s="14" t="inlineStr">
        <is>
          <t>0-1</t>
        </is>
      </c>
      <c r="P422" s="14" t="inlineStr">
        <is>
          <t>已结算</t>
        </is>
      </c>
      <c r="Q422" s="14" t="inlineStr">
        <is>
          <t>黑</t>
        </is>
      </c>
      <c r="R422" s="48" t="n">
        <v>1</v>
      </c>
      <c r="S422" s="48" t="n">
        <v>-1</v>
      </c>
      <c r="T422" s="14" t="inlineStr">
        <is>
          <t>D:\codex\outputs\football_odds_trader\decision_versions\2026-10-06\RUN_20261006_084027\slate_raw.csv</t>
        </is>
      </c>
      <c r="U422" s="14" t="n"/>
      <c r="V422" s="48" t="n"/>
      <c r="W422" s="48" t="n"/>
      <c r="X422" s="14" t="inlineStr">
        <is>
          <t>3091499</t>
        </is>
      </c>
      <c r="Y422" s="14" t="inlineStr">
        <is>
          <t>V4</t>
        </is>
      </c>
      <c r="Z422" s="14" t="inlineStr">
        <is>
          <t>prior-2026-10-06-v1</t>
        </is>
      </c>
      <c r="AA422" s="14" t="inlineStr">
        <is>
          <t>C</t>
        </is>
      </c>
      <c r="AB422" s="14" t="n">
        <v>0.5438270200534815</v>
      </c>
      <c r="AC422" s="14" t="n">
        <v>0.3274737542156277</v>
      </c>
      <c r="AD422" s="14" t="n">
        <v>1.25</v>
      </c>
      <c r="AE422" s="14" t="n"/>
      <c r="AF422" s="14" t="n"/>
      <c r="AG422" s="14" t="n">
        <v>0.2163532658378537</v>
      </c>
      <c r="AH422" s="14" t="n"/>
      <c r="AI422" s="14" t="n"/>
      <c r="AJ422" s="14" t="n">
        <v>0.2163532658378537</v>
      </c>
      <c r="AK422" s="14" t="n"/>
      <c r="AL422" s="14" t="n"/>
      <c r="AM422" s="14" t="inlineStr">
        <is>
          <t>EVALUATED</t>
        </is>
      </c>
      <c r="AN422" s="14" t="inlineStr">
        <is>
          <t>GIVING_VALIDATED_EDGE;BUCKET_PRIOR_ONLY;INTENT_INTERPRETATION_ONLY;FFL_OPTIONAL;EXPERT_MARKET</t>
        </is>
      </c>
      <c r="AO422" s="14" t="inlineStr">
        <is>
          <t>de8201496ad5c9494881</t>
        </is>
      </c>
      <c r="AP422" s="14" t="n">
        <v>-0.75</v>
      </c>
      <c r="AQ422" s="14" t="n">
        <v>1</v>
      </c>
      <c r="AR422" s="14" t="n">
        <v>0.75</v>
      </c>
      <c r="AS422" s="14" t="n">
        <v>-0.75</v>
      </c>
      <c r="AT422" s="14" t="n">
        <v>1</v>
      </c>
      <c r="AU422" s="14" t="n">
        <v>0.82</v>
      </c>
      <c r="AV422" s="14" t="inlineStr">
        <is>
          <t>2026-10-06T08:45:29.718562+08:00</t>
        </is>
      </c>
      <c r="AW422" s="14" t="inlineStr">
        <is>
          <t>Titan007/V4</t>
        </is>
      </c>
      <c r="AX422" s="14" t="inlineStr">
        <is>
          <t>Daily append；市场输入缺失时不生成决策</t>
        </is>
      </c>
      <c r="AY422" s="14" t="n"/>
    </row>
    <row r="423" ht="22" customHeight="1" s="39">
      <c r="A423" s="14" t="inlineStr">
        <is>
          <t>2026-10-06</t>
        </is>
      </c>
      <c r="B423" s="14" t="inlineStr">
        <is>
          <t>2026-10-07T04:00:00+08:00</t>
        </is>
      </c>
      <c r="C423" s="14" t="inlineStr">
        <is>
          <t>NATIONAL_OFFICIAL</t>
        </is>
      </c>
      <c r="D423" s="14" t="n"/>
      <c r="E423" s="14" t="inlineStr">
        <is>
          <t>中北美国联</t>
        </is>
      </c>
      <c r="F423" s="14" t="inlineStr">
        <is>
          <t>蒙特塞拉特 vs 特克斯和凯科斯群岛</t>
        </is>
      </c>
      <c r="G423" s="26" t="n">
        <v>0.97</v>
      </c>
      <c r="H423" s="26" t="n">
        <v>2</v>
      </c>
      <c r="I423" s="26" t="n">
        <v>0.73</v>
      </c>
      <c r="J423" s="26" t="inlineStr">
        <is>
          <t>0.97/2.0/0.73</t>
        </is>
      </c>
      <c r="K423" s="14" t="inlineStr">
        <is>
          <t>V4-B</t>
        </is>
      </c>
      <c r="L423" s="14" t="inlineStr">
        <is>
          <t>蒙特塞拉特</t>
        </is>
      </c>
      <c r="M423" s="47" t="n">
        <v>0.5304363714275546</v>
      </c>
      <c r="N423" s="14" t="inlineStr">
        <is>
          <t>V4 Shadow Only；real_money=false</t>
        </is>
      </c>
      <c r="O423" s="14" t="inlineStr">
        <is>
          <t>4-1</t>
        </is>
      </c>
      <c r="P423" s="14" t="inlineStr">
        <is>
          <t>已结算</t>
        </is>
      </c>
      <c r="Q423" s="14" t="inlineStr">
        <is>
          <t>红</t>
        </is>
      </c>
      <c r="R423" s="48" t="n">
        <v>0.97</v>
      </c>
      <c r="S423" s="48" t="n">
        <v>0.97</v>
      </c>
      <c r="T423" s="14" t="inlineStr">
        <is>
          <t>D:\codex\outputs\football_odds_trader\decision_versions\2026-10-06\RUN_20261006_084027\slate_raw.csv</t>
        </is>
      </c>
      <c r="U423" s="14" t="n"/>
      <c r="V423" s="48" t="n"/>
      <c r="W423" s="48" t="n"/>
      <c r="X423" s="14" t="inlineStr">
        <is>
          <t>3092501</t>
        </is>
      </c>
      <c r="Y423" s="14" t="inlineStr">
        <is>
          <t>V4</t>
        </is>
      </c>
      <c r="Z423" s="14" t="inlineStr">
        <is>
          <t>prior-2026-10-06-v1</t>
        </is>
      </c>
      <c r="AA423" s="14" t="inlineStr">
        <is>
          <t>B</t>
        </is>
      </c>
      <c r="AB423" s="14" t="n">
        <v>0.5304363714275546</v>
      </c>
      <c r="AC423" s="14" t="n">
        <v>0.2372388584070055</v>
      </c>
      <c r="AD423" s="14" t="n">
        <v>3</v>
      </c>
      <c r="AE423" s="14" t="n"/>
      <c r="AF423" s="14" t="n"/>
      <c r="AG423" s="14" t="n">
        <v>0.2772844218777224</v>
      </c>
      <c r="AH423" s="14" t="n"/>
      <c r="AI423" s="14" t="n"/>
      <c r="AJ423" s="14" t="n">
        <v>0.2772844218777224</v>
      </c>
      <c r="AK423" s="14" t="n"/>
      <c r="AL423" s="14" t="n"/>
      <c r="AM423" s="14" t="inlineStr">
        <is>
          <t>EVALUATED</t>
        </is>
      </c>
      <c r="AN423" s="14" t="inlineStr">
        <is>
          <t>GIVING_VALIDATED_EDGE;BUCKET_PRIOR_ONLY;INTENT_INTERPRETATION_ONLY;FFL_OPTIONAL;EXPERT_MARKET</t>
        </is>
      </c>
      <c r="AO423" s="14" t="inlineStr">
        <is>
          <t>a095bd1c89dcdc7575fc</t>
        </is>
      </c>
      <c r="AP423" s="14" t="n">
        <v>-2</v>
      </c>
      <c r="AQ423" s="14" t="n">
        <v>0.97</v>
      </c>
      <c r="AR423" s="14" t="n">
        <v>2</v>
      </c>
      <c r="AS423" s="14" t="n">
        <v>-2</v>
      </c>
      <c r="AT423" s="14" t="n">
        <v>0.97</v>
      </c>
      <c r="AU423" s="14" t="n">
        <v>0.73</v>
      </c>
      <c r="AV423" s="14" t="inlineStr">
        <is>
          <t>2026-10-06T08:45:29.718562+08:00</t>
        </is>
      </c>
      <c r="AW423" s="14" t="inlineStr">
        <is>
          <t>Titan007/V4</t>
        </is>
      </c>
      <c r="AX423" s="14" t="inlineStr">
        <is>
          <t>Daily append；市场输入缺失时不生成决策</t>
        </is>
      </c>
      <c r="AY423" s="14" t="n"/>
    </row>
    <row r="424" ht="22" customHeight="1" s="39">
      <c r="A424" s="14" t="inlineStr">
        <is>
          <t>2026-10-06</t>
        </is>
      </c>
      <c r="B424" s="14" t="inlineStr">
        <is>
          <t>2026-10-07T04:00:00+08:00</t>
        </is>
      </c>
      <c r="C424" s="14" t="inlineStr">
        <is>
          <t>NATIONAL_OFFICIAL</t>
        </is>
      </c>
      <c r="D424" s="14" t="n"/>
      <c r="E424" s="14" t="inlineStr">
        <is>
          <t>中北美国联</t>
        </is>
      </c>
      <c r="F424" s="14" t="inlineStr">
        <is>
          <t>法属圣马丁岛 vs 巴哈马</t>
        </is>
      </c>
      <c r="G424" s="26" t="n">
        <v>0.85</v>
      </c>
      <c r="H424" s="26" t="n">
        <v>4.25</v>
      </c>
      <c r="I424" s="26" t="n">
        <v>0.85</v>
      </c>
      <c r="J424" s="26" t="inlineStr">
        <is>
          <t>0.85/4.25/0.85</t>
        </is>
      </c>
      <c r="K424" s="14" t="inlineStr">
        <is>
          <t>V4-B</t>
        </is>
      </c>
      <c r="L424" s="14" t="inlineStr">
        <is>
          <t>巴哈马</t>
        </is>
      </c>
      <c r="M424" s="47" t="n">
        <v>0.202077200820744</v>
      </c>
      <c r="N424" s="14" t="inlineStr">
        <is>
          <t>V4 Shadow Only；real_money=false</t>
        </is>
      </c>
      <c r="O424" s="14" t="inlineStr">
        <is>
          <t>6-0</t>
        </is>
      </c>
      <c r="P424" s="14" t="inlineStr">
        <is>
          <t>已结算</t>
        </is>
      </c>
      <c r="Q424" s="14" t="inlineStr">
        <is>
          <t>黑</t>
        </is>
      </c>
      <c r="R424" s="48" t="n">
        <v>0.85</v>
      </c>
      <c r="S424" s="48" t="n">
        <v>-1</v>
      </c>
      <c r="T424" s="14" t="inlineStr">
        <is>
          <t>D:\codex\outputs\football_odds_trader\decision_versions\2026-10-06\RUN_20261006_084027\slate_raw.csv</t>
        </is>
      </c>
      <c r="U424" s="14" t="n"/>
      <c r="V424" s="48" t="n"/>
      <c r="W424" s="48" t="n"/>
      <c r="X424" s="14" t="inlineStr">
        <is>
          <t>3092513</t>
        </is>
      </c>
      <c r="Y424" s="14" t="inlineStr">
        <is>
          <t>V4</t>
        </is>
      </c>
      <c r="Z424" s="14" t="inlineStr">
        <is>
          <t>prior-2026-10-06-v1</t>
        </is>
      </c>
      <c r="AA424" s="14" t="inlineStr">
        <is>
          <t>B</t>
        </is>
      </c>
      <c r="AB424" s="14" t="n">
        <v>0.202077200820744</v>
      </c>
      <c r="AC424" s="14" t="n">
        <v>0.7122734964145206</v>
      </c>
      <c r="AD424" s="14" t="n">
        <v>4.25</v>
      </c>
      <c r="AE424" s="14" t="n"/>
      <c r="AF424" s="14" t="n"/>
      <c r="AG424" s="14" t="n">
        <v>0.4033552711315985</v>
      </c>
      <c r="AH424" s="14" t="n"/>
      <c r="AI424" s="14" t="n"/>
      <c r="AJ424" s="14" t="n">
        <v>0.4033552711315985</v>
      </c>
      <c r="AK424" s="14" t="n"/>
      <c r="AL424" s="14" t="n"/>
      <c r="AM424" s="14" t="inlineStr">
        <is>
          <t>EVALUATED</t>
        </is>
      </c>
      <c r="AN424" s="14" t="inlineStr">
        <is>
          <t>RECEIVING_VALIDATED_EDGE;BUCKET_PRIOR_ONLY;INTENT_INTERPRETATION_ONLY;FFL_OPTIONAL;EXPERT_MARKET</t>
        </is>
      </c>
      <c r="AO424" s="14" t="inlineStr">
        <is>
          <t>f99fd014c5663a777e1c</t>
        </is>
      </c>
      <c r="AP424" s="14" t="n">
        <v>4.25</v>
      </c>
      <c r="AQ424" s="14" t="n">
        <v>0.85</v>
      </c>
      <c r="AR424" s="14" t="n">
        <v>4.25</v>
      </c>
      <c r="AS424" s="14" t="n">
        <v>-4.25</v>
      </c>
      <c r="AT424" s="14" t="n">
        <v>0.85</v>
      </c>
      <c r="AU424" s="14" t="n">
        <v>0.85</v>
      </c>
      <c r="AV424" s="14" t="inlineStr">
        <is>
          <t>2026-10-06T08:45:29.718562+08:00</t>
        </is>
      </c>
      <c r="AW424" s="14" t="inlineStr">
        <is>
          <t>Titan007/V4</t>
        </is>
      </c>
      <c r="AX424" s="14" t="inlineStr">
        <is>
          <t>Daily append；市场输入缺失时不生成决策</t>
        </is>
      </c>
      <c r="AY424" s="14" t="n"/>
    </row>
    <row r="425" ht="22" customHeight="1" s="39">
      <c r="A425" s="14" t="inlineStr">
        <is>
          <t>2026-10-06</t>
        </is>
      </c>
      <c r="B425" s="14" t="inlineStr">
        <is>
          <t>2026-10-07T06:30:00+08:00</t>
        </is>
      </c>
      <c r="C425" s="14" t="n"/>
      <c r="D425" s="14" t="n"/>
      <c r="E425" s="14" t="inlineStr">
        <is>
          <t>巴拉乙</t>
        </is>
      </c>
      <c r="F425" s="14" t="inlineStr">
        <is>
          <t>桑坦尼体育会 vs 瓜伊利纳</t>
        </is>
      </c>
      <c r="G425" s="26" t="n">
        <v>0.75</v>
      </c>
      <c r="H425" s="26" t="n">
        <v>1.25</v>
      </c>
      <c r="I425" s="26" t="n">
        <v>0.95</v>
      </c>
      <c r="J425" s="26" t="inlineStr">
        <is>
          <t>0.75/1.25/0.95</t>
        </is>
      </c>
      <c r="K425" s="14" t="inlineStr">
        <is>
          <t>V4-B</t>
        </is>
      </c>
      <c r="L425" s="14" t="inlineStr">
        <is>
          <t>桑坦尼体育会</t>
        </is>
      </c>
      <c r="M425" s="47" t="n">
        <v>0.600233941846808</v>
      </c>
      <c r="N425" s="14" t="inlineStr">
        <is>
          <t>V4 Shadow Only；real_money=false</t>
        </is>
      </c>
      <c r="O425" s="14" t="inlineStr">
        <is>
          <t>1-0</t>
        </is>
      </c>
      <c r="P425" s="14" t="inlineStr">
        <is>
          <t>已结算</t>
        </is>
      </c>
      <c r="Q425" s="14" t="inlineStr">
        <is>
          <t>半黑</t>
        </is>
      </c>
      <c r="R425" s="48" t="n">
        <v>0.75</v>
      </c>
      <c r="S425" s="48" t="n">
        <v>-0.5</v>
      </c>
      <c r="T425" s="14" t="inlineStr">
        <is>
          <t>D:\codex\outputs\football_odds_trader\decision_versions\2026-10-06\RUN_20261006_084027\slate_raw.csv</t>
        </is>
      </c>
      <c r="U425" s="14" t="n"/>
      <c r="V425" s="48" t="n"/>
      <c r="W425" s="48" t="n"/>
      <c r="X425" s="14" t="inlineStr">
        <is>
          <t>3094124</t>
        </is>
      </c>
      <c r="Y425" s="14" t="inlineStr">
        <is>
          <t>V4</t>
        </is>
      </c>
      <c r="Z425" s="14" t="inlineStr">
        <is>
          <t>prior-2026-10-06-v1</t>
        </is>
      </c>
      <c r="AA425" s="14" t="inlineStr">
        <is>
          <t>B</t>
        </is>
      </c>
      <c r="AB425" s="14" t="n">
        <v>0.600233941846808</v>
      </c>
      <c r="AC425" s="14" t="n">
        <v>0.2836359515161984</v>
      </c>
      <c r="AD425" s="14" t="n">
        <v>2</v>
      </c>
      <c r="AE425" s="14" t="n"/>
      <c r="AF425" s="14" t="n"/>
      <c r="AG425" s="14" t="n">
        <v>0.1665395048689077</v>
      </c>
      <c r="AH425" s="14" t="n"/>
      <c r="AI425" s="14" t="n"/>
      <c r="AJ425" s="14" t="n">
        <v>0.1665395048689077</v>
      </c>
      <c r="AK425" s="14" t="n"/>
      <c r="AL425" s="14" t="n"/>
      <c r="AM425" s="14" t="inlineStr">
        <is>
          <t>EVALUATED</t>
        </is>
      </c>
      <c r="AN425" s="14" t="inlineStr">
        <is>
          <t>GIVING_VALIDATED_EDGE;BUCKET_PRIOR_ONLY;INTENT_INTERPRETATION_ONLY;FFL_OPTIONAL;EXPERT_MARKET</t>
        </is>
      </c>
      <c r="AO425" s="14" t="inlineStr">
        <is>
          <t>453bd1503b64b071fa6b</t>
        </is>
      </c>
      <c r="AP425" s="14" t="n">
        <v>-1.25</v>
      </c>
      <c r="AQ425" s="14" t="n">
        <v>0.75</v>
      </c>
      <c r="AR425" s="14" t="n">
        <v>1.25</v>
      </c>
      <c r="AS425" s="14" t="n">
        <v>-1.25</v>
      </c>
      <c r="AT425" s="14" t="n">
        <v>0.75</v>
      </c>
      <c r="AU425" s="14" t="n">
        <v>0.95</v>
      </c>
      <c r="AV425" s="14" t="inlineStr">
        <is>
          <t>2026-10-06T08:45:29.718562+08:00</t>
        </is>
      </c>
      <c r="AW425" s="14" t="inlineStr">
        <is>
          <t>Titan007/V4</t>
        </is>
      </c>
      <c r="AX425" s="14" t="inlineStr">
        <is>
          <t>Daily append；市场输入缺失时不生成决策</t>
        </is>
      </c>
      <c r="AY425" s="14" t="n"/>
    </row>
    <row r="426" ht="22" customHeight="1" s="39">
      <c r="A426" s="14" t="inlineStr">
        <is>
          <t>2026-10-06</t>
        </is>
      </c>
      <c r="B426" s="14" t="inlineStr">
        <is>
          <t>2026-10-06T19:30:00+08:00</t>
        </is>
      </c>
      <c r="C426" s="14" t="inlineStr">
        <is>
          <t>CLUB_CUP</t>
        </is>
      </c>
      <c r="D426" s="14" t="n"/>
      <c r="E426" s="14" t="inlineStr">
        <is>
          <t>阿尔巴杯</t>
        </is>
      </c>
      <c r="F426" s="14" t="inlineStr">
        <is>
          <t>比斯利达加 vs 利布拉什德</t>
        </is>
      </c>
      <c r="G426" s="26" t="n">
        <v>1.05</v>
      </c>
      <c r="H426" s="26" t="n">
        <v>0.5</v>
      </c>
      <c r="I426" s="26" t="n">
        <v>0.75</v>
      </c>
      <c r="J426" s="26" t="inlineStr">
        <is>
          <t>1.05/0.5/0.75</t>
        </is>
      </c>
      <c r="K426" s="14" t="inlineStr">
        <is>
          <t>V4-B</t>
        </is>
      </c>
      <c r="L426" s="14" t="inlineStr">
        <is>
          <t>比斯利达加</t>
        </is>
      </c>
      <c r="M426" s="47" t="n">
        <v>0.5673659982029386</v>
      </c>
      <c r="N426" s="14" t="inlineStr">
        <is>
          <t>V4 Shadow Only；real_money=false</t>
        </is>
      </c>
      <c r="O426" s="14" t="inlineStr">
        <is>
          <t>1-1</t>
        </is>
      </c>
      <c r="P426" s="14" t="inlineStr">
        <is>
          <t>已结算</t>
        </is>
      </c>
      <c r="Q426" s="14" t="inlineStr">
        <is>
          <t>黑</t>
        </is>
      </c>
      <c r="R426" s="48" t="n">
        <v>1.05</v>
      </c>
      <c r="S426" s="48" t="n">
        <v>-1</v>
      </c>
      <c r="T426" s="14" t="inlineStr">
        <is>
          <t>D:\codex\outputs\football_odds_trader\decision_versions\2026-10-06\RUN_20261006_084027\slate_raw.csv</t>
        </is>
      </c>
      <c r="U426" s="14" t="n"/>
      <c r="V426" s="48" t="n"/>
      <c r="W426" s="48" t="n"/>
      <c r="X426" s="14" t="inlineStr">
        <is>
          <t>3095320</t>
        </is>
      </c>
      <c r="Y426" s="14" t="inlineStr">
        <is>
          <t>V4</t>
        </is>
      </c>
      <c r="Z426" s="14" t="inlineStr">
        <is>
          <t>prior-2026-10-06-v1</t>
        </is>
      </c>
      <c r="AA426" s="14" t="inlineStr">
        <is>
          <t>B</t>
        </is>
      </c>
      <c r="AB426" s="14" t="n">
        <v>0.5673659982029386</v>
      </c>
      <c r="AC426" s="14" t="n">
        <v>0.4326340017970613</v>
      </c>
      <c r="AD426" s="14" t="n">
        <v>0.75</v>
      </c>
      <c r="AE426" s="14" t="n"/>
      <c r="AF426" s="14" t="n"/>
      <c r="AG426" s="14" t="n">
        <v>0.1631002963160244</v>
      </c>
      <c r="AH426" s="14" t="n"/>
      <c r="AI426" s="14" t="n"/>
      <c r="AJ426" s="14" t="n">
        <v>0.1631002963160244</v>
      </c>
      <c r="AK426" s="14" t="n"/>
      <c r="AL426" s="14" t="n"/>
      <c r="AM426" s="14" t="inlineStr">
        <is>
          <t>EVALUATED</t>
        </is>
      </c>
      <c r="AN426" s="14" t="inlineStr">
        <is>
          <t>GIVING_VALIDATED_EDGE;BUCKET_PRIOR_ONLY;INTENT_INTERPRETATION_ONLY;FFL_OPTIONAL;EXPERT_MARKET</t>
        </is>
      </c>
      <c r="AO426" s="14" t="inlineStr">
        <is>
          <t>976cf13e165fbcbd3022</t>
        </is>
      </c>
      <c r="AP426" s="14" t="n">
        <v>-0.5</v>
      </c>
      <c r="AQ426" s="14" t="n">
        <v>1.05</v>
      </c>
      <c r="AR426" s="14" t="n">
        <v>0.5</v>
      </c>
      <c r="AS426" s="14" t="n">
        <v>-0.5</v>
      </c>
      <c r="AT426" s="14" t="n">
        <v>1.05</v>
      </c>
      <c r="AU426" s="14" t="n">
        <v>0.75</v>
      </c>
      <c r="AV426" s="14" t="inlineStr">
        <is>
          <t>2026-10-06T08:45:29.718562+08:00</t>
        </is>
      </c>
      <c r="AW426" s="14" t="inlineStr">
        <is>
          <t>Titan007/V4</t>
        </is>
      </c>
      <c r="AX426" s="14" t="inlineStr">
        <is>
          <t>Daily append；市场输入缺失时不生成决策</t>
        </is>
      </c>
      <c r="AY426" s="14" t="n"/>
    </row>
    <row r="427" ht="22" customHeight="1" s="39">
      <c r="A427" s="14" t="inlineStr">
        <is>
          <t>2026-10-06</t>
        </is>
      </c>
      <c r="B427" s="14" t="inlineStr">
        <is>
          <t>2026-10-06T20:00:00+08:00</t>
        </is>
      </c>
      <c r="C427" s="14" t="n"/>
      <c r="D427" s="14" t="n"/>
      <c r="E427" s="14" t="inlineStr">
        <is>
          <t>肯尼超降</t>
        </is>
      </c>
      <c r="F427" s="14" t="inlineStr">
        <is>
          <t>卡里班吉鲨鱼 vs 蒙巴萨联</t>
        </is>
      </c>
      <c r="G427" s="26" t="n">
        <v>0.98</v>
      </c>
      <c r="H427" s="26" t="n">
        <v>0.5</v>
      </c>
      <c r="I427" s="26" t="n">
        <v>0.83</v>
      </c>
      <c r="J427" s="26" t="inlineStr">
        <is>
          <t>0.98/0.5/0.83</t>
        </is>
      </c>
      <c r="K427" s="14" t="inlineStr">
        <is>
          <t>V4-B</t>
        </is>
      </c>
      <c r="L427" s="14" t="inlineStr">
        <is>
          <t>卡里班吉鲨鱼</t>
        </is>
      </c>
      <c r="M427" s="47" t="n">
        <v>0.5958796744734171</v>
      </c>
      <c r="N427" s="14" t="inlineStr">
        <is>
          <t>V4 Shadow Only；real_money=false</t>
        </is>
      </c>
      <c r="O427" s="14" t="inlineStr">
        <is>
          <t>2-1</t>
        </is>
      </c>
      <c r="P427" s="14" t="inlineStr">
        <is>
          <t>已结算</t>
        </is>
      </c>
      <c r="Q427" s="14" t="inlineStr">
        <is>
          <t>红</t>
        </is>
      </c>
      <c r="R427" s="48" t="n">
        <v>0.98</v>
      </c>
      <c r="S427" s="48" t="n">
        <v>0.98</v>
      </c>
      <c r="T427" s="14" t="inlineStr">
        <is>
          <t>D:\codex\outputs\football_odds_trader\decision_versions\2026-10-06\RUN_20261006_084027\slate_raw.csv</t>
        </is>
      </c>
      <c r="U427" s="14" t="n"/>
      <c r="V427" s="48" t="n"/>
      <c r="W427" s="48" t="n"/>
      <c r="X427" s="14" t="inlineStr">
        <is>
          <t>3095444</t>
        </is>
      </c>
      <c r="Y427" s="14" t="inlineStr">
        <is>
          <t>V4</t>
        </is>
      </c>
      <c r="Z427" s="14" t="inlineStr">
        <is>
          <t>prior-2026-10-06-v1</t>
        </is>
      </c>
      <c r="AA427" s="14" t="inlineStr">
        <is>
          <t>B</t>
        </is>
      </c>
      <c r="AB427" s="14" t="n">
        <v>0.5958796744734171</v>
      </c>
      <c r="AC427" s="14" t="n">
        <v>0.404120325526583</v>
      </c>
      <c r="AD427" s="14" t="n">
        <v>1</v>
      </c>
      <c r="AE427" s="14" t="n"/>
      <c r="AF427" s="14" t="n"/>
      <c r="AG427" s="14" t="n">
        <v>0.1798417554573657</v>
      </c>
      <c r="AH427" s="14" t="n"/>
      <c r="AI427" s="14" t="n"/>
      <c r="AJ427" s="14" t="n">
        <v>0.1798417554573657</v>
      </c>
      <c r="AK427" s="14" t="n"/>
      <c r="AL427" s="14" t="n"/>
      <c r="AM427" s="14" t="inlineStr">
        <is>
          <t>EVALUATED</t>
        </is>
      </c>
      <c r="AN427" s="14" t="inlineStr">
        <is>
          <t>GIVING_VALIDATED_EDGE;BUCKET_PRIOR_ONLY;INTENT_INTERPRETATION_ONLY;FFL_OPTIONAL;EXPERT_MARKET</t>
        </is>
      </c>
      <c r="AO427" s="14" t="inlineStr">
        <is>
          <t>22a7615e8d5fcabd39d2</t>
        </is>
      </c>
      <c r="AP427" s="14" t="n">
        <v>-0.5</v>
      </c>
      <c r="AQ427" s="14" t="n">
        <v>0.98</v>
      </c>
      <c r="AR427" s="14" t="n">
        <v>0.5</v>
      </c>
      <c r="AS427" s="14" t="n">
        <v>-0.5</v>
      </c>
      <c r="AT427" s="14" t="n">
        <v>0.98</v>
      </c>
      <c r="AU427" s="14" t="n">
        <v>0.83</v>
      </c>
      <c r="AV427" s="14" t="inlineStr">
        <is>
          <t>2026-10-06T08:45:29.718562+08:00</t>
        </is>
      </c>
      <c r="AW427" s="14" t="inlineStr">
        <is>
          <t>Titan007/V4</t>
        </is>
      </c>
      <c r="AX427" s="14" t="inlineStr">
        <is>
          <t>Daily append；市场输入缺失时不生成决策</t>
        </is>
      </c>
      <c r="AY427" s="14" t="n"/>
    </row>
    <row r="428" ht="22" customHeight="1" s="39">
      <c r="A428" s="14" t="inlineStr">
        <is>
          <t>2026-10-06</t>
        </is>
      </c>
      <c r="B428" s="14" t="inlineStr">
        <is>
          <t>2026-10-07T07:30:00+08:00</t>
        </is>
      </c>
      <c r="C428" s="14" t="inlineStr">
        <is>
          <t>CLUB_CUP</t>
        </is>
      </c>
      <c r="D428" s="14" t="n"/>
      <c r="E428" s="14" t="inlineStr">
        <is>
          <t>智利杯</t>
        </is>
      </c>
      <c r="F428" s="14" t="inlineStr">
        <is>
          <t>科洛科洛 vs 蒙特港</t>
        </is>
      </c>
      <c r="G428" s="26" t="n">
        <v>0.88</v>
      </c>
      <c r="H428" s="26" t="n">
        <v>1.75</v>
      </c>
      <c r="I428" s="26" t="n">
        <v>0.9399999999999999</v>
      </c>
      <c r="J428" s="26" t="inlineStr">
        <is>
          <t>0.88/1.75/0.94</t>
        </is>
      </c>
      <c r="K428" s="14" t="inlineStr">
        <is>
          <t>V4-B</t>
        </is>
      </c>
      <c r="L428" s="14" t="inlineStr">
        <is>
          <t>科洛科洛</t>
        </is>
      </c>
      <c r="M428" s="47" t="n">
        <v>0.6036345399636474</v>
      </c>
      <c r="N428" s="14" t="inlineStr">
        <is>
          <t>V4 Shadow Only；real_money=false</t>
        </is>
      </c>
      <c r="O428" s="14" t="inlineStr">
        <is>
          <t>0-0</t>
        </is>
      </c>
      <c r="P428" s="14" t="inlineStr">
        <is>
          <t>EVALUATED</t>
        </is>
      </c>
      <c r="Q428" s="14" t="inlineStr">
        <is>
          <t>B</t>
        </is>
      </c>
      <c r="R428" s="48" t="n">
        <v>0.88</v>
      </c>
      <c r="S428" s="48" t="n"/>
      <c r="T428" s="14" t="inlineStr">
        <is>
          <t>D:\codex\outputs\football_odds_trader\decision_versions\2026-10-06\RUN_20261006_084027\slate_raw.csv</t>
        </is>
      </c>
      <c r="U428" s="14" t="n"/>
      <c r="V428" s="48" t="n"/>
      <c r="W428" s="48" t="n"/>
      <c r="X428" s="14" t="inlineStr">
        <is>
          <t>3096516</t>
        </is>
      </c>
      <c r="Y428" s="14" t="inlineStr">
        <is>
          <t>V4</t>
        </is>
      </c>
      <c r="Z428" s="14" t="inlineStr">
        <is>
          <t>prior-2026-10-06-v1</t>
        </is>
      </c>
      <c r="AA428" s="14" t="inlineStr">
        <is>
          <t>B</t>
        </is>
      </c>
      <c r="AB428" s="14" t="n">
        <v>0.6036345399636474</v>
      </c>
      <c r="AC428" s="14" t="n">
        <v>0.2740322737794962</v>
      </c>
      <c r="AD428" s="14" t="n">
        <v>2.75</v>
      </c>
      <c r="AE428" s="14" t="n"/>
      <c r="AF428" s="14" t="n"/>
      <c r="AG428" s="14" t="n">
        <v>0.2571661213885135</v>
      </c>
      <c r="AH428" s="14" t="n"/>
      <c r="AI428" s="14" t="n"/>
      <c r="AJ428" s="14" t="n">
        <v>0.2571661213885135</v>
      </c>
      <c r="AK428" s="14" t="n"/>
      <c r="AL428" s="14" t="n"/>
      <c r="AM428" s="14" t="inlineStr">
        <is>
          <t>EVALUATED</t>
        </is>
      </c>
      <c r="AN428" s="14" t="inlineStr">
        <is>
          <t>GIVING_VALIDATED_EDGE;BUCKET_PRIOR_ONLY;INTENT_INTERPRETATION_ONLY;FFL_OPTIONAL;EXPERT_MARKET</t>
        </is>
      </c>
      <c r="AO428" s="14" t="inlineStr">
        <is>
          <t>4bdbcf25df6abd6e9144</t>
        </is>
      </c>
      <c r="AP428" s="14" t="n">
        <v>-1.75</v>
      </c>
      <c r="AQ428" s="14" t="n">
        <v>0.88</v>
      </c>
      <c r="AR428" s="14" t="n">
        <v>1.75</v>
      </c>
      <c r="AS428" s="14" t="n">
        <v>-1.75</v>
      </c>
      <c r="AT428" s="14" t="n">
        <v>0.88</v>
      </c>
      <c r="AU428" s="14" t="n">
        <v>0.9399999999999999</v>
      </c>
      <c r="AV428" s="14" t="inlineStr">
        <is>
          <t>2026-10-06T08:45:29.718562+08:00</t>
        </is>
      </c>
      <c r="AW428" s="14" t="inlineStr">
        <is>
          <t>Titan007/V4</t>
        </is>
      </c>
      <c r="AX428" s="14" t="inlineStr">
        <is>
          <t>Daily append；市场输入缺失时不生成决策</t>
        </is>
      </c>
      <c r="AY428" s="14" t="n"/>
    </row>
    <row r="429" ht="22" customHeight="1" s="39">
      <c r="A429" s="14" t="inlineStr">
        <is>
          <t>2026-10-06</t>
        </is>
      </c>
      <c r="B429" s="14" t="inlineStr">
        <is>
          <t>2026-10-06T23:00:00+08:00</t>
        </is>
      </c>
      <c r="C429" s="14" t="inlineStr">
        <is>
          <t>CLUB_CUP</t>
        </is>
      </c>
      <c r="D429" s="14" t="n"/>
      <c r="E429" s="14" t="inlineStr">
        <is>
          <t>挪威杯</t>
        </is>
      </c>
      <c r="F429" s="14" t="inlineStr">
        <is>
          <t>诺霍斯 vs 斯达</t>
        </is>
      </c>
      <c r="G429" s="26" t="n">
        <v>0.91</v>
      </c>
      <c r="H429" s="26" t="n">
        <v>-1</v>
      </c>
      <c r="I429" s="26" t="n">
        <v>0.85</v>
      </c>
      <c r="J429" s="26" t="inlineStr">
        <is>
          <t>0.91/-1.0/0.85</t>
        </is>
      </c>
      <c r="K429" s="14" t="inlineStr">
        <is>
          <t>V4-B</t>
        </is>
      </c>
      <c r="L429" s="14" t="inlineStr">
        <is>
          <t>诺霍斯</t>
        </is>
      </c>
      <c r="M429" s="47" t="n">
        <v>0.02267302266490222</v>
      </c>
      <c r="N429" s="14" t="inlineStr">
        <is>
          <t>V4 Shadow Only；real_money=false</t>
        </is>
      </c>
      <c r="O429" s="14" t="inlineStr">
        <is>
          <t>1-5</t>
        </is>
      </c>
      <c r="P429" s="14" t="inlineStr">
        <is>
          <t>已结算</t>
        </is>
      </c>
      <c r="Q429" s="14" t="inlineStr">
        <is>
          <t>黑</t>
        </is>
      </c>
      <c r="R429" s="48" t="n">
        <v>0.91</v>
      </c>
      <c r="S429" s="48" t="n">
        <v>-1</v>
      </c>
      <c r="T429" s="14" t="inlineStr">
        <is>
          <t>D:\codex\outputs\football_odds_trader\decision_versions\2026-10-06\RUN_20261006_084027\slate_raw.csv</t>
        </is>
      </c>
      <c r="U429" s="14" t="n"/>
      <c r="V429" s="48" t="n"/>
      <c r="W429" s="48" t="n"/>
      <c r="X429" s="14" t="inlineStr">
        <is>
          <t>3097338</t>
        </is>
      </c>
      <c r="Y429" s="14" t="inlineStr">
        <is>
          <t>V4</t>
        </is>
      </c>
      <c r="Z429" s="14" t="inlineStr">
        <is>
          <t>prior-2026-10-06-v1</t>
        </is>
      </c>
      <c r="AA429" s="14" t="inlineStr">
        <is>
          <t>B</t>
        </is>
      </c>
      <c r="AB429" s="14" t="n">
        <v>0.02267302266490222</v>
      </c>
      <c r="AC429" s="14" t="n">
        <v>0.9032096655282998</v>
      </c>
      <c r="AD429" s="14" t="n">
        <v>-1.5</v>
      </c>
      <c r="AE429" s="14" t="n">
        <v>0</v>
      </c>
      <c r="AF429" s="14" t="n">
        <v>0</v>
      </c>
      <c r="AG429" s="14" t="n">
        <v>0.7992477729658507</v>
      </c>
      <c r="AH429" s="14" t="n"/>
      <c r="AI429" s="14" t="n"/>
      <c r="AJ429" s="14" t="n">
        <v>0.7992477729658507</v>
      </c>
      <c r="AK429" s="14" t="n"/>
      <c r="AL429" s="14" t="n"/>
      <c r="AM429" s="14" t="inlineStr">
        <is>
          <t>EVALUATED</t>
        </is>
      </c>
      <c r="AN429" s="14" t="inlineStr">
        <is>
          <t>RECEIVING_VALIDATED_EDGE;BUCKET_PRIOR_ONLY;INTENT_INTERPRETATION_ONLY;FFL_OPTIONAL;EXPERT_MARKET</t>
        </is>
      </c>
      <c r="AO429" s="14" t="inlineStr">
        <is>
          <t>71d60557433efef221eb</t>
        </is>
      </c>
      <c r="AP429" s="14" t="n">
        <v>1</v>
      </c>
      <c r="AQ429" s="14" t="n">
        <v>0.91</v>
      </c>
      <c r="AR429" s="14" t="n">
        <v>-1</v>
      </c>
      <c r="AS429" s="14" t="n">
        <v>1</v>
      </c>
      <c r="AT429" s="14" t="n">
        <v>0.91</v>
      </c>
      <c r="AU429" s="14" t="n">
        <v>0.85</v>
      </c>
      <c r="AV429" s="14" t="inlineStr">
        <is>
          <t>2026-10-06T08:45:29.718562+08:00</t>
        </is>
      </c>
      <c r="AW429" s="14" t="inlineStr">
        <is>
          <t>Titan007/V4</t>
        </is>
      </c>
      <c r="AX429" s="14" t="inlineStr">
        <is>
          <t>Daily append；市场输入缺失时不生成决策</t>
        </is>
      </c>
      <c r="AY429" s="14" t="n"/>
    </row>
    <row r="430" ht="22" customHeight="1" s="39">
      <c r="A430" s="14" t="inlineStr">
        <is>
          <t>2026-10-06</t>
        </is>
      </c>
      <c r="B430" s="14" t="inlineStr">
        <is>
          <t>2026-10-07T02:00:00+08:00</t>
        </is>
      </c>
      <c r="C430" s="14" t="n"/>
      <c r="D430" s="14" t="n"/>
      <c r="E430" s="14" t="inlineStr">
        <is>
          <t>阿后备</t>
        </is>
      </c>
      <c r="F430" s="14" t="inlineStr">
        <is>
          <t>飓风后备队 vs 拉斐拉竞技后备队</t>
        </is>
      </c>
      <c r="G430" s="26" t="n">
        <v>0.76</v>
      </c>
      <c r="H430" s="26" t="n">
        <v>0.75</v>
      </c>
      <c r="I430" s="26" t="n">
        <v>0.9399999999999999</v>
      </c>
      <c r="J430" s="26" t="inlineStr">
        <is>
          <t>0.76/0.75/0.94</t>
        </is>
      </c>
      <c r="K430" s="14" t="inlineStr">
        <is>
          <t>V4-C</t>
        </is>
      </c>
      <c r="L430" s="14" t="inlineStr">
        <is>
          <t>飓风后备队</t>
        </is>
      </c>
      <c r="M430" s="47" t="n">
        <v>0.5611223467219908</v>
      </c>
      <c r="N430" s="14" t="inlineStr">
        <is>
          <t>V4 Shadow Only；real_money=false</t>
        </is>
      </c>
      <c r="O430" s="14" t="inlineStr">
        <is>
          <t>1-0</t>
        </is>
      </c>
      <c r="P430" s="14" t="inlineStr">
        <is>
          <t>已结算</t>
        </is>
      </c>
      <c r="Q430" s="14" t="inlineStr">
        <is>
          <t>半红</t>
        </is>
      </c>
      <c r="R430" s="48" t="n">
        <v>0.76</v>
      </c>
      <c r="S430" s="48" t="n">
        <v>0.38</v>
      </c>
      <c r="T430" s="14" t="inlineStr">
        <is>
          <t>D:\codex\outputs\football_odds_trader\decision_versions\2026-10-06\RUN_20261006_084027\slate_raw.csv</t>
        </is>
      </c>
      <c r="U430" s="14" t="n"/>
      <c r="V430" s="48" t="n"/>
      <c r="W430" s="48" t="n"/>
      <c r="X430" s="14" t="inlineStr">
        <is>
          <t>3097362</t>
        </is>
      </c>
      <c r="Y430" s="14" t="inlineStr">
        <is>
          <t>V4</t>
        </is>
      </c>
      <c r="Z430" s="14" t="inlineStr">
        <is>
          <t>prior-2026-10-06-v1</t>
        </is>
      </c>
      <c r="AA430" s="14" t="inlineStr">
        <is>
          <t>C</t>
        </is>
      </c>
      <c r="AB430" s="14" t="n">
        <v>0.5611223467219908</v>
      </c>
      <c r="AC430" s="14" t="n">
        <v>0.3102388854470621</v>
      </c>
      <c r="AD430" s="14" t="n">
        <v>1.25</v>
      </c>
      <c r="AE430" s="14" t="n"/>
      <c r="AF430" s="14" t="n"/>
      <c r="AG430" s="14" t="n">
        <v>0.1162140980616509</v>
      </c>
      <c r="AH430" s="14" t="n"/>
      <c r="AI430" s="14" t="n"/>
      <c r="AJ430" s="14" t="n">
        <v>0.1162140980616509</v>
      </c>
      <c r="AK430" s="14" t="n"/>
      <c r="AL430" s="14" t="n"/>
      <c r="AM430" s="14" t="inlineStr">
        <is>
          <t>EVALUATED</t>
        </is>
      </c>
      <c r="AN430" s="14" t="inlineStr">
        <is>
          <t>GIVING_VALIDATED_EDGE;BUCKET_PRIOR_ONLY;INTENT_INTERPRETATION_ONLY;FFL_OPTIONAL;EXPERT_MARKET</t>
        </is>
      </c>
      <c r="AO430" s="14" t="inlineStr">
        <is>
          <t>e50b69757cb28b357e5e</t>
        </is>
      </c>
      <c r="AP430" s="14" t="n">
        <v>-0.75</v>
      </c>
      <c r="AQ430" s="14" t="n">
        <v>0.76</v>
      </c>
      <c r="AR430" s="14" t="n">
        <v>0.75</v>
      </c>
      <c r="AS430" s="14" t="n">
        <v>-0.75</v>
      </c>
      <c r="AT430" s="14" t="n">
        <v>0.76</v>
      </c>
      <c r="AU430" s="14" t="n">
        <v>0.9399999999999999</v>
      </c>
      <c r="AV430" s="14" t="inlineStr">
        <is>
          <t>2026-10-06T08:45:29.718562+08:00</t>
        </is>
      </c>
      <c r="AW430" s="14" t="inlineStr">
        <is>
          <t>Titan007/V4</t>
        </is>
      </c>
      <c r="AX430" s="14" t="inlineStr">
        <is>
          <t>Daily append；市场输入缺失时不生成决策</t>
        </is>
      </c>
      <c r="AY430" s="14" t="n"/>
    </row>
    <row r="431" ht="22" customHeight="1" s="39">
      <c r="A431" s="14" t="inlineStr">
        <is>
          <t>2026-10-06</t>
        </is>
      </c>
      <c r="B431" s="14" t="inlineStr">
        <is>
          <t>2026-10-07T02:00:00+08:00</t>
        </is>
      </c>
      <c r="C431" s="14" t="n"/>
      <c r="D431" s="14" t="n"/>
      <c r="E431" s="14" t="inlineStr">
        <is>
          <t>阿后备</t>
        </is>
      </c>
      <c r="F431" s="14" t="inlineStr">
        <is>
          <t>竞技俱乐部后备队 vs 河床后备队</t>
        </is>
      </c>
      <c r="G431" s="26" t="n">
        <v>0.75</v>
      </c>
      <c r="H431" s="26" t="n">
        <v>-0.25</v>
      </c>
      <c r="I431" s="26" t="n">
        <v>0.95</v>
      </c>
      <c r="J431" s="26" t="inlineStr">
        <is>
          <t>0.75/-0.25/0.95</t>
        </is>
      </c>
      <c r="K431" s="14" t="inlineStr">
        <is>
          <t>V4-C</t>
        </is>
      </c>
      <c r="L431" s="14" t="inlineStr">
        <is>
          <t>竞技俱乐部后备队</t>
        </is>
      </c>
      <c r="M431" s="47" t="n">
        <v>0.3067990687846691</v>
      </c>
      <c r="N431" s="14" t="inlineStr">
        <is>
          <t>V4 Shadow Only；real_money=false</t>
        </is>
      </c>
      <c r="O431" s="14" t="inlineStr">
        <is>
          <t>2-2</t>
        </is>
      </c>
      <c r="P431" s="14" t="inlineStr">
        <is>
          <t>已结算</t>
        </is>
      </c>
      <c r="Q431" s="14" t="inlineStr">
        <is>
          <t>半红</t>
        </is>
      </c>
      <c r="R431" s="48" t="n">
        <v>0.75</v>
      </c>
      <c r="S431" s="48" t="n">
        <v>0.375</v>
      </c>
      <c r="T431" s="14" t="inlineStr">
        <is>
          <t>D:\codex\outputs\football_odds_trader\decision_versions\2026-10-06\RUN_20261006_084027\slate_raw.csv</t>
        </is>
      </c>
      <c r="U431" s="14" t="n"/>
      <c r="V431" s="48" t="n"/>
      <c r="W431" s="48" t="n"/>
      <c r="X431" s="14" t="inlineStr">
        <is>
          <t>3097364</t>
        </is>
      </c>
      <c r="Y431" s="14" t="inlineStr">
        <is>
          <t>V4</t>
        </is>
      </c>
      <c r="Z431" s="14" t="inlineStr">
        <is>
          <t>prior-2026-10-06-v1</t>
        </is>
      </c>
      <c r="AA431" s="14" t="inlineStr">
        <is>
          <t>C</t>
        </is>
      </c>
      <c r="AB431" s="14" t="n">
        <v>0.3067990687846691</v>
      </c>
      <c r="AC431" s="14" t="n">
        <v>0.5620572952739952</v>
      </c>
      <c r="AD431" s="14" t="n">
        <v>-0.25</v>
      </c>
      <c r="AE431" s="14" t="n">
        <v>0</v>
      </c>
      <c r="AF431" s="14" t="n">
        <v>0</v>
      </c>
      <c r="AG431" s="14" t="n">
        <v>0.1147439026708272</v>
      </c>
      <c r="AH431" s="14" t="n"/>
      <c r="AI431" s="14" t="n"/>
      <c r="AJ431" s="14" t="n">
        <v>0.1147439026708272</v>
      </c>
      <c r="AK431" s="14" t="n"/>
      <c r="AL431" s="14" t="n"/>
      <c r="AM431" s="14" t="inlineStr">
        <is>
          <t>EVALUATED</t>
        </is>
      </c>
      <c r="AN431" s="14" t="inlineStr">
        <is>
          <t>RECEIVING_VALIDATED_EDGE;BUCKET_PRIOR_ONLY;INTENT_INTERPRETATION_ONLY;FFL_OPTIONAL;EXPERT_MARKET</t>
        </is>
      </c>
      <c r="AO431" s="14" t="inlineStr">
        <is>
          <t>e7c98d4b5249cfad9317</t>
        </is>
      </c>
      <c r="AP431" s="14" t="n">
        <v>0.25</v>
      </c>
      <c r="AQ431" s="14" t="n">
        <v>0.75</v>
      </c>
      <c r="AR431" s="14" t="n">
        <v>-0.25</v>
      </c>
      <c r="AS431" s="14" t="n">
        <v>0.25</v>
      </c>
      <c r="AT431" s="14" t="n">
        <v>0.75</v>
      </c>
      <c r="AU431" s="14" t="n">
        <v>0.95</v>
      </c>
      <c r="AV431" s="14" t="inlineStr">
        <is>
          <t>2026-10-06T08:45:29.718562+08:00</t>
        </is>
      </c>
      <c r="AW431" s="14" t="inlineStr">
        <is>
          <t>Titan007/V4</t>
        </is>
      </c>
      <c r="AX431" s="14" t="inlineStr">
        <is>
          <t>Daily append；市场输入缺失时不生成决策</t>
        </is>
      </c>
      <c r="AY431" s="14" t="n"/>
    </row>
    <row r="432" ht="22" customHeight="1" s="39">
      <c r="A432" s="14" t="inlineStr">
        <is>
          <t>2026-10-06</t>
        </is>
      </c>
      <c r="B432" s="14" t="inlineStr">
        <is>
          <t>2026-10-07T02:15:00+08:00</t>
        </is>
      </c>
      <c r="C432" s="14" t="n"/>
      <c r="D432" s="14" t="n"/>
      <c r="E432" s="14" t="inlineStr">
        <is>
          <t>秘鲁乙</t>
        </is>
      </c>
      <c r="F432" s="14" t="inlineStr">
        <is>
          <t>联合矿业 vs 科莫西奥</t>
        </is>
      </c>
      <c r="G432" s="26" t="n">
        <v>0.93</v>
      </c>
      <c r="H432" s="26" t="n">
        <v>0.5</v>
      </c>
      <c r="I432" s="26" t="n">
        <v>0.88</v>
      </c>
      <c r="J432" s="26" t="inlineStr">
        <is>
          <t>0.93/0.5/0.88</t>
        </is>
      </c>
      <c r="K432" s="14" t="inlineStr">
        <is>
          <t>V4-B</t>
        </is>
      </c>
      <c r="L432" s="14" t="inlineStr">
        <is>
          <t>联合矿业</t>
        </is>
      </c>
      <c r="M432" s="47" t="n">
        <v>0.6418456296220537</v>
      </c>
      <c r="N432" s="14" t="inlineStr">
        <is>
          <t>V4 Shadow Only；real_money=false</t>
        </is>
      </c>
      <c r="O432" s="14" t="inlineStr">
        <is>
          <t>4-1</t>
        </is>
      </c>
      <c r="P432" s="14" t="inlineStr">
        <is>
          <t>已结算</t>
        </is>
      </c>
      <c r="Q432" s="14" t="inlineStr">
        <is>
          <t>红</t>
        </is>
      </c>
      <c r="R432" s="48" t="n">
        <v>0.93</v>
      </c>
      <c r="S432" s="48" t="n">
        <v>0.93</v>
      </c>
      <c r="T432" s="14" t="inlineStr">
        <is>
          <t>D:\codex\outputs\football_odds_trader\decision_versions\2026-10-06\RUN_20261006_084027\slate_raw.csv</t>
        </is>
      </c>
      <c r="U432" s="14" t="n"/>
      <c r="V432" s="48" t="n"/>
      <c r="W432" s="48" t="n"/>
      <c r="X432" s="14" t="inlineStr">
        <is>
          <t>3097367</t>
        </is>
      </c>
      <c r="Y432" s="14" t="inlineStr">
        <is>
          <t>V4</t>
        </is>
      </c>
      <c r="Z432" s="14" t="inlineStr">
        <is>
          <t>prior-2026-10-06-v1</t>
        </is>
      </c>
      <c r="AA432" s="14" t="inlineStr">
        <is>
          <t>B</t>
        </is>
      </c>
      <c r="AB432" s="14" t="n">
        <v>0.6418456296220537</v>
      </c>
      <c r="AC432" s="14" t="n">
        <v>0.3581543703779464</v>
      </c>
      <c r="AD432" s="14" t="n">
        <v>1.25</v>
      </c>
      <c r="AE432" s="14" t="n"/>
      <c r="AF432" s="14" t="n"/>
      <c r="AG432" s="14" t="n">
        <v>0.2387620651705636</v>
      </c>
      <c r="AH432" s="14" t="n"/>
      <c r="AI432" s="14" t="n"/>
      <c r="AJ432" s="14" t="n">
        <v>0.2387620651705636</v>
      </c>
      <c r="AK432" s="14" t="n"/>
      <c r="AL432" s="14" t="n"/>
      <c r="AM432" s="14" t="inlineStr">
        <is>
          <t>EVALUATED</t>
        </is>
      </c>
      <c r="AN432" s="14" t="inlineStr">
        <is>
          <t>GIVING_VALIDATED_EDGE;BUCKET_PRIOR_ONLY;INTENT_INTERPRETATION_ONLY;FFL_OPTIONAL;EXPERT_MARKET</t>
        </is>
      </c>
      <c r="AO432" s="14" t="inlineStr">
        <is>
          <t>d59f0887db834300d827</t>
        </is>
      </c>
      <c r="AP432" s="14" t="n">
        <v>-0.5</v>
      </c>
      <c r="AQ432" s="14" t="n">
        <v>0.93</v>
      </c>
      <c r="AR432" s="14" t="n">
        <v>0.5</v>
      </c>
      <c r="AS432" s="14" t="n">
        <v>-0.5</v>
      </c>
      <c r="AT432" s="14" t="n">
        <v>0.93</v>
      </c>
      <c r="AU432" s="14" t="n">
        <v>0.88</v>
      </c>
      <c r="AV432" s="14" t="inlineStr">
        <is>
          <t>2026-10-06T08:45:29.718562+08:00</t>
        </is>
      </c>
      <c r="AW432" s="14" t="inlineStr">
        <is>
          <t>Titan007/V4</t>
        </is>
      </c>
      <c r="AX432" s="14" t="inlineStr">
        <is>
          <t>Daily append；市场输入缺失时不生成决策</t>
        </is>
      </c>
      <c r="AY432" s="14" t="n"/>
    </row>
    <row r="433" ht="22" customHeight="1" s="39">
      <c r="A433" s="14" t="inlineStr">
        <is>
          <t>2026-10-06</t>
        </is>
      </c>
      <c r="B433" s="14" t="inlineStr">
        <is>
          <t>2026-10-06T17:00:00+08:00</t>
        </is>
      </c>
      <c r="C433" s="14" t="n"/>
      <c r="D433" s="14" t="n"/>
      <c r="E433" s="14" t="inlineStr">
        <is>
          <t>国际友谊</t>
        </is>
      </c>
      <c r="F433" s="14" t="inlineStr">
        <is>
          <t>沙特阿拉伯U20 vs 亚美尼亚U20</t>
        </is>
      </c>
      <c r="G433" s="26" t="n">
        <v>1</v>
      </c>
      <c r="H433" s="26" t="n">
        <v>1.25</v>
      </c>
      <c r="I433" s="26" t="n">
        <v>0.8</v>
      </c>
      <c r="J433" s="26" t="inlineStr">
        <is>
          <t>1.0/1.25/0.8</t>
        </is>
      </c>
      <c r="K433" s="14" t="inlineStr">
        <is>
          <t>V4-C</t>
        </is>
      </c>
      <c r="L433" s="14" t="inlineStr">
        <is>
          <t>沙特阿拉伯U20</t>
        </is>
      </c>
      <c r="M433" s="47" t="n">
        <v>0.5351231481040224</v>
      </c>
      <c r="N433" s="14" t="inlineStr">
        <is>
          <t>V4 Shadow Only；real_money=false</t>
        </is>
      </c>
      <c r="O433" s="14" t="inlineStr">
        <is>
          <t>0-0</t>
        </is>
      </c>
      <c r="P433" s="14" t="inlineStr">
        <is>
          <t>已结算</t>
        </is>
      </c>
      <c r="Q433" s="14" t="inlineStr">
        <is>
          <t>黑</t>
        </is>
      </c>
      <c r="R433" s="48" t="n">
        <v>1</v>
      </c>
      <c r="S433" s="48" t="n">
        <v>-1</v>
      </c>
      <c r="T433" s="14" t="inlineStr">
        <is>
          <t>D:\codex\outputs\football_odds_trader\decision_versions\2026-10-06\RUN_20261006_084027\slate_raw.csv</t>
        </is>
      </c>
      <c r="U433" s="14" t="n"/>
      <c r="V433" s="48" t="n"/>
      <c r="W433" s="48" t="n"/>
      <c r="X433" s="14" t="inlineStr">
        <is>
          <t>3097372</t>
        </is>
      </c>
      <c r="Y433" s="14" t="inlineStr">
        <is>
          <t>V4</t>
        </is>
      </c>
      <c r="Z433" s="14" t="inlineStr">
        <is>
          <t>prior-2026-10-06-v1</t>
        </is>
      </c>
      <c r="AA433" s="14" t="inlineStr">
        <is>
          <t>C</t>
        </is>
      </c>
      <c r="AB433" s="14" t="n">
        <v>0.5351231481040224</v>
      </c>
      <c r="AC433" s="14" t="n">
        <v>0.3421578600413102</v>
      </c>
      <c r="AD433" s="14" t="n">
        <v>1.75</v>
      </c>
      <c r="AE433" s="14" t="n"/>
      <c r="AF433" s="14" t="n"/>
      <c r="AG433" s="14" t="n">
        <v>0.1929652880627122</v>
      </c>
      <c r="AH433" s="14" t="n"/>
      <c r="AI433" s="14" t="n"/>
      <c r="AJ433" s="14" t="n">
        <v>0.1929652880627122</v>
      </c>
      <c r="AK433" s="14" t="n"/>
      <c r="AL433" s="14" t="n"/>
      <c r="AM433" s="14" t="inlineStr">
        <is>
          <t>EVALUATED</t>
        </is>
      </c>
      <c r="AN433" s="14" t="inlineStr">
        <is>
          <t>GIVING_VALIDATED_EDGE;BUCKET_PRIOR_ONLY;INTENT_INTERPRETATION_ONLY;FFL_OPTIONAL;EXPERT_MARKET</t>
        </is>
      </c>
      <c r="AO433" s="14" t="inlineStr">
        <is>
          <t>649430b5b080e982e686</t>
        </is>
      </c>
      <c r="AP433" s="14" t="n">
        <v>-1.25</v>
      </c>
      <c r="AQ433" s="14" t="n">
        <v>1</v>
      </c>
      <c r="AR433" s="14" t="n">
        <v>1.25</v>
      </c>
      <c r="AS433" s="14" t="n">
        <v>-1.25</v>
      </c>
      <c r="AT433" s="14" t="n">
        <v>1</v>
      </c>
      <c r="AU433" s="14" t="n">
        <v>0.8</v>
      </c>
      <c r="AV433" s="14" t="inlineStr">
        <is>
          <t>2026-10-06T08:45:29.718562+08:00</t>
        </is>
      </c>
      <c r="AW433" s="14" t="inlineStr">
        <is>
          <t>Titan007/V4</t>
        </is>
      </c>
      <c r="AX433" s="14" t="inlineStr">
        <is>
          <t>Daily append；市场输入缺失时不生成决策</t>
        </is>
      </c>
      <c r="AY433" s="14" t="n"/>
    </row>
    <row r="434" ht="22" customHeight="1" s="39">
      <c r="A434" s="14" t="inlineStr">
        <is>
          <t>2026-10-06</t>
        </is>
      </c>
      <c r="B434" s="14" t="inlineStr">
        <is>
          <t>2026-10-06T19:00:00+08:00</t>
        </is>
      </c>
      <c r="C434" s="14" t="n"/>
      <c r="D434" s="14" t="n"/>
      <c r="E434" s="14" t="inlineStr">
        <is>
          <t>国际友谊</t>
        </is>
      </c>
      <c r="F434" s="14" t="inlineStr">
        <is>
          <t>韩国 vs 乌兹别克斯坦</t>
        </is>
      </c>
      <c r="G434" s="26" t="n">
        <v>0.9399999999999999</v>
      </c>
      <c r="H434" s="26" t="n">
        <v>0.75</v>
      </c>
      <c r="I434" s="26" t="n">
        <v>0.88</v>
      </c>
      <c r="J434" s="26" t="inlineStr">
        <is>
          <t>0.94/0.75/0.88</t>
        </is>
      </c>
      <c r="K434" s="14" t="inlineStr">
        <is>
          <t>V4-C</t>
        </is>
      </c>
      <c r="L434" s="14" t="inlineStr">
        <is>
          <t>韩国</t>
        </is>
      </c>
      <c r="M434" s="47" t="n">
        <v>0.509255042197038</v>
      </c>
      <c r="N434" s="14" t="inlineStr">
        <is>
          <t>V4 Shadow Only；real_money=false</t>
        </is>
      </c>
      <c r="O434" s="14" t="inlineStr">
        <is>
          <t>2-0</t>
        </is>
      </c>
      <c r="P434" s="14" t="inlineStr">
        <is>
          <t>已结算</t>
        </is>
      </c>
      <c r="Q434" s="14" t="inlineStr">
        <is>
          <t>红</t>
        </is>
      </c>
      <c r="R434" s="48" t="n">
        <v>0.9399999999999999</v>
      </c>
      <c r="S434" s="48" t="n">
        <v>0.9399999999999999</v>
      </c>
      <c r="T434" s="14" t="inlineStr">
        <is>
          <t>D:\codex\outputs\football_odds_trader\decision_versions\2026-10-06\RUN_20261006_084027\slate_raw.csv</t>
        </is>
      </c>
      <c r="U434" s="14" t="n"/>
      <c r="V434" s="48" t="n"/>
      <c r="W434" s="48" t="n"/>
      <c r="X434" s="14" t="inlineStr">
        <is>
          <t>3097375</t>
        </is>
      </c>
      <c r="Y434" s="14" t="inlineStr">
        <is>
          <t>V4</t>
        </is>
      </c>
      <c r="Z434" s="14" t="inlineStr">
        <is>
          <t>prior-2026-10-06-v1</t>
        </is>
      </c>
      <c r="AA434" s="14" t="inlineStr">
        <is>
          <t>C</t>
        </is>
      </c>
      <c r="AB434" s="14" t="n">
        <v>0.509255042197038</v>
      </c>
      <c r="AC434" s="14" t="n">
        <v>0.3623811501679319</v>
      </c>
      <c r="AD434" s="14" t="n">
        <v>1</v>
      </c>
      <c r="AE434" s="14" t="n"/>
      <c r="AF434" s="14" t="n"/>
      <c r="AG434" s="14" t="n">
        <v>0.1163185894972838</v>
      </c>
      <c r="AH434" s="14" t="n"/>
      <c r="AI434" s="14" t="n"/>
      <c r="AJ434" s="14" t="n">
        <v>0.1163185894972838</v>
      </c>
      <c r="AK434" s="14" t="n"/>
      <c r="AL434" s="14" t="n"/>
      <c r="AM434" s="14" t="inlineStr">
        <is>
          <t>EVALUATED</t>
        </is>
      </c>
      <c r="AN434" s="14" t="inlineStr">
        <is>
          <t>GIVING_VALIDATED_EDGE;BUCKET_PRIOR_ONLY;INTENT_INTERPRETATION_ONLY;FFL_OPTIONAL;EXPERT_MARKET</t>
        </is>
      </c>
      <c r="AO434" s="14" t="inlineStr">
        <is>
          <t>94da920a26f72f8cce32</t>
        </is>
      </c>
      <c r="AP434" s="14" t="n">
        <v>-0.75</v>
      </c>
      <c r="AQ434" s="14" t="n">
        <v>0.9399999999999999</v>
      </c>
      <c r="AR434" s="14" t="n">
        <v>0.75</v>
      </c>
      <c r="AS434" s="14" t="n">
        <v>-0.75</v>
      </c>
      <c r="AT434" s="14" t="n">
        <v>0.9399999999999999</v>
      </c>
      <c r="AU434" s="14" t="n">
        <v>0.88</v>
      </c>
      <c r="AV434" s="14" t="inlineStr">
        <is>
          <t>2026-10-06T08:45:29.718562+08:00</t>
        </is>
      </c>
      <c r="AW434" s="14" t="inlineStr">
        <is>
          <t>Titan007/V4</t>
        </is>
      </c>
      <c r="AX434" s="14" t="inlineStr">
        <is>
          <t>Daily append；市场输入缺失时不生成决策</t>
        </is>
      </c>
      <c r="AY434" s="14" t="n"/>
    </row>
    <row r="435" ht="22" customHeight="1" s="39">
      <c r="A435" s="14" t="inlineStr">
        <is>
          <t>2026-10-06</t>
        </is>
      </c>
      <c r="B435" s="14" t="inlineStr">
        <is>
          <t>2026-10-06T22:00:00+08:00</t>
        </is>
      </c>
      <c r="C435" s="14" t="n"/>
      <c r="D435" s="14" t="n"/>
      <c r="E435" s="14" t="inlineStr">
        <is>
          <t>国际友谊</t>
        </is>
      </c>
      <c r="F435" s="14" t="inlineStr">
        <is>
          <t>葡萄牙U19 vs 奥地利U19</t>
        </is>
      </c>
      <c r="G435" s="26" t="n">
        <v>0.87</v>
      </c>
      <c r="H435" s="26" t="n">
        <v>0.5</v>
      </c>
      <c r="I435" s="26" t="n">
        <v>0.89</v>
      </c>
      <c r="J435" s="26" t="inlineStr">
        <is>
          <t>0.87/0.5/0.89</t>
        </is>
      </c>
      <c r="K435" s="14" t="inlineStr">
        <is>
          <t>V4-C</t>
        </is>
      </c>
      <c r="L435" s="14" t="inlineStr">
        <is>
          <t>葡萄牙U19</t>
        </is>
      </c>
      <c r="M435" s="47" t="n">
        <v>0.5760887327269456</v>
      </c>
      <c r="N435" s="14" t="inlineStr">
        <is>
          <t>V4 Shadow Only；real_money=false</t>
        </is>
      </c>
      <c r="O435" s="14" t="inlineStr">
        <is>
          <t>4-0</t>
        </is>
      </c>
      <c r="P435" s="14" t="inlineStr">
        <is>
          <t>已结算</t>
        </is>
      </c>
      <c r="Q435" s="14" t="inlineStr">
        <is>
          <t>红</t>
        </is>
      </c>
      <c r="R435" s="48" t="n">
        <v>0.87</v>
      </c>
      <c r="S435" s="48" t="n">
        <v>0.87</v>
      </c>
      <c r="T435" s="14" t="inlineStr">
        <is>
          <t>D:\codex\outputs\football_odds_trader\decision_versions\2026-10-06\RUN_20261006_084027\slate_raw.csv</t>
        </is>
      </c>
      <c r="U435" s="14" t="n"/>
      <c r="V435" s="48" t="n"/>
      <c r="W435" s="48" t="n"/>
      <c r="X435" s="14" t="inlineStr">
        <is>
          <t>3097381</t>
        </is>
      </c>
      <c r="Y435" s="14" t="inlineStr">
        <is>
          <t>V4</t>
        </is>
      </c>
      <c r="Z435" s="14" t="inlineStr">
        <is>
          <t>prior-2026-10-06-v1</t>
        </is>
      </c>
      <c r="AA435" s="14" t="inlineStr">
        <is>
          <t>C</t>
        </is>
      </c>
      <c r="AB435" s="14" t="n">
        <v>0.5760887327269456</v>
      </c>
      <c r="AC435" s="14" t="n">
        <v>0.4239112672730544</v>
      </c>
      <c r="AD435" s="14" t="n">
        <v>0.75</v>
      </c>
      <c r="AE435" s="14" t="n"/>
      <c r="AF435" s="14" t="n"/>
      <c r="AG435" s="14" t="n">
        <v>0.07728593019938823</v>
      </c>
      <c r="AH435" s="14" t="n"/>
      <c r="AI435" s="14" t="n"/>
      <c r="AJ435" s="14" t="n">
        <v>0.07728593019938823</v>
      </c>
      <c r="AK435" s="14" t="n"/>
      <c r="AL435" s="14" t="n"/>
      <c r="AM435" s="14" t="inlineStr">
        <is>
          <t>EVALUATED</t>
        </is>
      </c>
      <c r="AN435" s="14" t="inlineStr">
        <is>
          <t>GIVING_VALIDATED_EDGE;BUCKET_PRIOR_ONLY;INTENT_INTERPRETATION_ONLY;FFL_OPTIONAL;EXPERT_MARKET</t>
        </is>
      </c>
      <c r="AO435" s="14" t="inlineStr">
        <is>
          <t>bf325b1ff949233bbc07</t>
        </is>
      </c>
      <c r="AP435" s="14" t="n">
        <v>-0.5</v>
      </c>
      <c r="AQ435" s="14" t="n">
        <v>0.87</v>
      </c>
      <c r="AR435" s="14" t="n">
        <v>0.5</v>
      </c>
      <c r="AS435" s="14" t="n">
        <v>-0.5</v>
      </c>
      <c r="AT435" s="14" t="n">
        <v>0.87</v>
      </c>
      <c r="AU435" s="14" t="n">
        <v>0.89</v>
      </c>
      <c r="AV435" s="14" t="inlineStr">
        <is>
          <t>2026-10-06T08:45:29.718562+08:00</t>
        </is>
      </c>
      <c r="AW435" s="14" t="inlineStr">
        <is>
          <t>Titan007/V4</t>
        </is>
      </c>
      <c r="AX435" s="14" t="inlineStr">
        <is>
          <t>Daily append；市场输入缺失时不生成决策</t>
        </is>
      </c>
      <c r="AY435" s="14" t="n"/>
    </row>
    <row r="436" ht="22" customHeight="1" s="39">
      <c r="A436" s="14" t="inlineStr">
        <is>
          <t>2026-10-06</t>
        </is>
      </c>
      <c r="B436" s="14" t="inlineStr">
        <is>
          <t>2026-10-07T01:00:00+08:00</t>
        </is>
      </c>
      <c r="C436" s="14" t="n"/>
      <c r="D436" s="14" t="n"/>
      <c r="E436" s="14" t="inlineStr">
        <is>
          <t>国际友谊</t>
        </is>
      </c>
      <c r="F436" s="14" t="inlineStr">
        <is>
          <t>阿尔及利亚 vs 尼日尔</t>
        </is>
      </c>
      <c r="G436" s="26" t="n">
        <v>0.87</v>
      </c>
      <c r="H436" s="26" t="n">
        <v>1.75</v>
      </c>
      <c r="I436" s="26" t="n">
        <v>0.95</v>
      </c>
      <c r="J436" s="26" t="inlineStr">
        <is>
          <t>0.87/1.75/0.95</t>
        </is>
      </c>
      <c r="K436" s="14" t="inlineStr">
        <is>
          <t>V4-C</t>
        </is>
      </c>
      <c r="L436" s="14" t="inlineStr">
        <is>
          <t>阿尔及利亚</t>
        </is>
      </c>
      <c r="M436" s="47" t="n">
        <v>0.6149946774241004</v>
      </c>
      <c r="N436" s="14" t="inlineStr">
        <is>
          <t>V4 Shadow Only；real_money=false</t>
        </is>
      </c>
      <c r="O436" s="14" t="inlineStr">
        <is>
          <t>2-1</t>
        </is>
      </c>
      <c r="P436" s="14" t="inlineStr">
        <is>
          <t>已结算</t>
        </is>
      </c>
      <c r="Q436" s="14" t="inlineStr">
        <is>
          <t>黑</t>
        </is>
      </c>
      <c r="R436" s="48" t="n">
        <v>0.87</v>
      </c>
      <c r="S436" s="48" t="n">
        <v>-1</v>
      </c>
      <c r="T436" s="14" t="inlineStr">
        <is>
          <t>D:\codex\outputs\football_odds_trader\decision_versions\2026-10-06\RUN_20261006_084027\slate_raw.csv</t>
        </is>
      </c>
      <c r="U436" s="14" t="n"/>
      <c r="V436" s="48" t="n"/>
      <c r="W436" s="48" t="n"/>
      <c r="X436" s="14" t="inlineStr">
        <is>
          <t>3097385</t>
        </is>
      </c>
      <c r="Y436" s="14" t="inlineStr">
        <is>
          <t>V4</t>
        </is>
      </c>
      <c r="Z436" s="14" t="inlineStr">
        <is>
          <t>prior-2026-10-06-v1</t>
        </is>
      </c>
      <c r="AA436" s="14" t="inlineStr">
        <is>
          <t>C</t>
        </is>
      </c>
      <c r="AB436" s="14" t="n">
        <v>0.6149946774241004</v>
      </c>
      <c r="AC436" s="14" t="n">
        <v>0.2641572349546644</v>
      </c>
      <c r="AD436" s="14" t="n">
        <v>2.75</v>
      </c>
      <c r="AE436" s="14" t="n"/>
      <c r="AF436" s="14" t="n"/>
      <c r="AG436" s="14" t="n">
        <v>0.270888134404303</v>
      </c>
      <c r="AH436" s="14" t="n"/>
      <c r="AI436" s="14" t="n"/>
      <c r="AJ436" s="14" t="n">
        <v>0.270888134404303</v>
      </c>
      <c r="AK436" s="14" t="n"/>
      <c r="AL436" s="14" t="n"/>
      <c r="AM436" s="14" t="inlineStr">
        <is>
          <t>EVALUATED</t>
        </is>
      </c>
      <c r="AN436" s="14" t="inlineStr">
        <is>
          <t>GIVING_VALIDATED_EDGE;BUCKET_PRIOR_ONLY;INTENT_INTERPRETATION_ONLY;FFL_OPTIONAL;EXPERT_MARKET</t>
        </is>
      </c>
      <c r="AO436" s="14" t="inlineStr">
        <is>
          <t>9a3b5c9045a6774ac163</t>
        </is>
      </c>
      <c r="AP436" s="14" t="n">
        <v>-1.75</v>
      </c>
      <c r="AQ436" s="14" t="n">
        <v>0.87</v>
      </c>
      <c r="AR436" s="14" t="n">
        <v>1.75</v>
      </c>
      <c r="AS436" s="14" t="n">
        <v>-1.75</v>
      </c>
      <c r="AT436" s="14" t="n">
        <v>0.87</v>
      </c>
      <c r="AU436" s="14" t="n">
        <v>0.95</v>
      </c>
      <c r="AV436" s="14" t="inlineStr">
        <is>
          <t>2026-10-06T08:45:29.718562+08:00</t>
        </is>
      </c>
      <c r="AW436" s="14" t="inlineStr">
        <is>
          <t>Titan007/V4</t>
        </is>
      </c>
      <c r="AX436" s="14" t="inlineStr">
        <is>
          <t>Daily append；市场输入缺失时不生成决策</t>
        </is>
      </c>
      <c r="AY436" s="14" t="n"/>
    </row>
    <row r="437" ht="22" customHeight="1" s="39">
      <c r="A437" s="14" t="inlineStr">
        <is>
          <t>2026-10-06</t>
        </is>
      </c>
      <c r="B437" s="14" t="inlineStr">
        <is>
          <t>2026-10-07T07:45:00+08:00</t>
        </is>
      </c>
      <c r="C437" s="14" t="n"/>
      <c r="D437" s="14" t="n"/>
      <c r="E437" s="14" t="inlineStr">
        <is>
          <t>国际友谊</t>
        </is>
      </c>
      <c r="F437" s="14" t="inlineStr">
        <is>
          <t>哥伦比亚(中) vs 秘鲁</t>
        </is>
      </c>
      <c r="G437" s="26" t="n">
        <v>0.9</v>
      </c>
      <c r="H437" s="26" t="n">
        <v>1.25</v>
      </c>
      <c r="I437" s="26" t="n">
        <v>0.92</v>
      </c>
      <c r="J437" s="26" t="inlineStr">
        <is>
          <t>0.9/1.25/0.92</t>
        </is>
      </c>
      <c r="K437" s="14" t="inlineStr">
        <is>
          <t>V4-C</t>
        </is>
      </c>
      <c r="L437" s="14" t="inlineStr">
        <is>
          <t>哥伦比亚(中)</t>
        </is>
      </c>
      <c r="M437" s="47" t="n">
        <v>0.6098219575855612</v>
      </c>
      <c r="N437" s="14" t="inlineStr">
        <is>
          <t>V4 Shadow Only；real_money=false</t>
        </is>
      </c>
      <c r="O437" s="14" t="inlineStr">
        <is>
          <t>0-0</t>
        </is>
      </c>
      <c r="P437" s="14" t="inlineStr">
        <is>
          <t>EVALUATED</t>
        </is>
      </c>
      <c r="Q437" s="14" t="inlineStr">
        <is>
          <t>C</t>
        </is>
      </c>
      <c r="R437" s="48" t="n">
        <v>0.9</v>
      </c>
      <c r="S437" s="48" t="n"/>
      <c r="T437" s="14" t="inlineStr">
        <is>
          <t>D:\codex\outputs\football_odds_trader\decision_versions\2026-10-06\RUN_20261006_084027\slate_raw.csv</t>
        </is>
      </c>
      <c r="U437" s="14" t="n"/>
      <c r="V437" s="48" t="n"/>
      <c r="W437" s="48" t="n"/>
      <c r="X437" s="14" t="inlineStr">
        <is>
          <t>3097386</t>
        </is>
      </c>
      <c r="Y437" s="14" t="inlineStr">
        <is>
          <t>V4</t>
        </is>
      </c>
      <c r="Z437" s="14" t="inlineStr">
        <is>
          <t>prior-2026-10-06-v1</t>
        </is>
      </c>
      <c r="AA437" s="14" t="inlineStr">
        <is>
          <t>C</t>
        </is>
      </c>
      <c r="AB437" s="14" t="n">
        <v>0.6098219575855612</v>
      </c>
      <c r="AC437" s="14" t="n">
        <v>0.2751955378558459</v>
      </c>
      <c r="AD437" s="14" t="n">
        <v>2</v>
      </c>
      <c r="AE437" s="14" t="n"/>
      <c r="AF437" s="14" t="n"/>
      <c r="AG437" s="14" t="n">
        <v>0.2736442239711592</v>
      </c>
      <c r="AH437" s="14" t="n"/>
      <c r="AI437" s="14" t="n"/>
      <c r="AJ437" s="14" t="n">
        <v>0.2736442239711592</v>
      </c>
      <c r="AK437" s="14" t="n"/>
      <c r="AL437" s="14" t="n"/>
      <c r="AM437" s="14" t="inlineStr">
        <is>
          <t>EVALUATED</t>
        </is>
      </c>
      <c r="AN437" s="14" t="inlineStr">
        <is>
          <t>GIVING_VALIDATED_EDGE;BUCKET_PRIOR_ONLY;INTENT_INTERPRETATION_ONLY;FFL_OPTIONAL;EXPERT_MARKET</t>
        </is>
      </c>
      <c r="AO437" s="14" t="inlineStr">
        <is>
          <t>6c21c73e1bf24bad46e8</t>
        </is>
      </c>
      <c r="AP437" s="14" t="n">
        <v>-1.25</v>
      </c>
      <c r="AQ437" s="14" t="n">
        <v>0.9</v>
      </c>
      <c r="AR437" s="14" t="n">
        <v>1.25</v>
      </c>
      <c r="AS437" s="14" t="n">
        <v>-1.25</v>
      </c>
      <c r="AT437" s="14" t="n">
        <v>0.9</v>
      </c>
      <c r="AU437" s="14" t="n">
        <v>0.92</v>
      </c>
      <c r="AV437" s="14" t="inlineStr">
        <is>
          <t>2026-10-06T08:45:29.718562+08:00</t>
        </is>
      </c>
      <c r="AW437" s="14" t="inlineStr">
        <is>
          <t>Titan007/V4</t>
        </is>
      </c>
      <c r="AX437" s="14" t="inlineStr">
        <is>
          <t>Daily append；市场输入缺失时不生成决策</t>
        </is>
      </c>
      <c r="AY437" s="14" t="n"/>
    </row>
    <row r="438" ht="22" customHeight="1" s="39">
      <c r="A438" s="14" t="inlineStr">
        <is>
          <t>2026-10-06</t>
        </is>
      </c>
      <c r="B438" s="14" t="inlineStr">
        <is>
          <t>2026-10-07T07:00:00+08:00</t>
        </is>
      </c>
      <c r="C438" s="14" t="n"/>
      <c r="D438" s="14" t="n"/>
      <c r="E438" s="14" t="inlineStr">
        <is>
          <t>国际友谊</t>
        </is>
      </c>
      <c r="F438" s="14" t="inlineStr">
        <is>
          <t>阿根廷(中) vs 贝宁</t>
        </is>
      </c>
      <c r="G438" s="26" t="n">
        <v>0.89</v>
      </c>
      <c r="H438" s="26" t="n">
        <v>4.5</v>
      </c>
      <c r="I438" s="26" t="n">
        <v>0.87</v>
      </c>
      <c r="J438" s="26" t="inlineStr">
        <is>
          <t>0.89/4.5/0.87</t>
        </is>
      </c>
      <c r="K438" s="14" t="inlineStr">
        <is>
          <t>V4-C</t>
        </is>
      </c>
      <c r="L438" s="14" t="inlineStr">
        <is>
          <t>贝宁</t>
        </is>
      </c>
      <c r="M438" s="47" t="n">
        <v>0.203462246852138</v>
      </c>
      <c r="N438" s="14" t="inlineStr">
        <is>
          <t>V4 Shadow Only；real_money=false</t>
        </is>
      </c>
      <c r="O438" s="14" t="inlineStr">
        <is>
          <t>0-0</t>
        </is>
      </c>
      <c r="P438" s="14" t="inlineStr">
        <is>
          <t>EVALUATED</t>
        </is>
      </c>
      <c r="Q438" s="14" t="inlineStr">
        <is>
          <t>C</t>
        </is>
      </c>
      <c r="R438" s="48" t="n">
        <v>0.87</v>
      </c>
      <c r="S438" s="48" t="n"/>
      <c r="T438" s="14" t="inlineStr">
        <is>
          <t>D:\codex\outputs\football_odds_trader\decision_versions\2026-10-06\RUN_20261006_084027\slate_raw.csv</t>
        </is>
      </c>
      <c r="U438" s="14" t="n"/>
      <c r="V438" s="48" t="n"/>
      <c r="W438" s="48" t="n"/>
      <c r="X438" s="14" t="inlineStr">
        <is>
          <t>3097387</t>
        </is>
      </c>
      <c r="Y438" s="14" t="inlineStr">
        <is>
          <t>V4</t>
        </is>
      </c>
      <c r="Z438" s="14" t="inlineStr">
        <is>
          <t>prior-2026-10-06-v1</t>
        </is>
      </c>
      <c r="AA438" s="14" t="inlineStr">
        <is>
          <t>C</t>
        </is>
      </c>
      <c r="AB438" s="14" t="n">
        <v>0.203462246852138</v>
      </c>
      <c r="AC438" s="14" t="n">
        <v>0.796537753147862</v>
      </c>
      <c r="AD438" s="14" t="n">
        <v>4.5</v>
      </c>
      <c r="AE438" s="14" t="n"/>
      <c r="AF438" s="14" t="n"/>
      <c r="AG438" s="14" t="n">
        <v>0.489525598386502</v>
      </c>
      <c r="AH438" s="14" t="n"/>
      <c r="AI438" s="14" t="n"/>
      <c r="AJ438" s="14" t="n">
        <v>0.489525598386502</v>
      </c>
      <c r="AK438" s="14" t="n"/>
      <c r="AL438" s="14" t="n"/>
      <c r="AM438" s="14" t="inlineStr">
        <is>
          <t>EVALUATED</t>
        </is>
      </c>
      <c r="AN438" s="14" t="inlineStr">
        <is>
          <t>RECEIVING_VALIDATED_EDGE;BUCKET_PRIOR_ONLY;INTENT_INTERPRETATION_ONLY;FFL_OPTIONAL;EXPERT_MARKET</t>
        </is>
      </c>
      <c r="AO438" s="14" t="inlineStr">
        <is>
          <t>209191e0b5de00037b8e</t>
        </is>
      </c>
      <c r="AP438" s="14" t="n">
        <v>4.5</v>
      </c>
      <c r="AQ438" s="14" t="n">
        <v>0.87</v>
      </c>
      <c r="AR438" s="14" t="n">
        <v>4.5</v>
      </c>
      <c r="AS438" s="14" t="n">
        <v>-4.5</v>
      </c>
      <c r="AT438" s="14" t="n">
        <v>0.89</v>
      </c>
      <c r="AU438" s="14" t="n">
        <v>0.87</v>
      </c>
      <c r="AV438" s="14" t="inlineStr">
        <is>
          <t>2026-10-06T08:45:29.718562+08:00</t>
        </is>
      </c>
      <c r="AW438" s="14" t="inlineStr">
        <is>
          <t>Titan007/V4</t>
        </is>
      </c>
      <c r="AX438" s="14" t="inlineStr">
        <is>
          <t>Daily append；市场输入缺失时不生成决策</t>
        </is>
      </c>
      <c r="AY438" s="14" t="n"/>
    </row>
    <row r="439" ht="22" customHeight="1" s="39">
      <c r="A439" s="14" t="inlineStr">
        <is>
          <t>2026-10-06</t>
        </is>
      </c>
      <c r="B439" s="14" t="inlineStr">
        <is>
          <t>2026-10-06T22:00:00+08:00</t>
        </is>
      </c>
      <c r="C439" s="14" t="n"/>
      <c r="D439" s="14" t="n"/>
      <c r="E439" s="14" t="inlineStr">
        <is>
          <t>国际友谊</t>
        </is>
      </c>
      <c r="F439" s="14" t="inlineStr">
        <is>
          <t>印度(中) vs 乌拉圭</t>
        </is>
      </c>
      <c r="G439" s="26" t="n">
        <v>0.91</v>
      </c>
      <c r="H439" s="26" t="n">
        <v>-3.5</v>
      </c>
      <c r="I439" s="26" t="n">
        <v>0.91</v>
      </c>
      <c r="J439" s="26" t="inlineStr">
        <is>
          <t>0.91/-3.5/0.91</t>
        </is>
      </c>
      <c r="K439" s="14" t="inlineStr">
        <is>
          <t>V4-C</t>
        </is>
      </c>
      <c r="L439" s="14" t="inlineStr">
        <is>
          <t>印度(中)</t>
        </is>
      </c>
      <c r="M439" s="47" t="n">
        <v>7.14465216873765e-08</v>
      </c>
      <c r="N439" s="14" t="inlineStr">
        <is>
          <t>V4 Shadow Only；real_money=false</t>
        </is>
      </c>
      <c r="O439" s="14" t="inlineStr">
        <is>
          <t>1-6</t>
        </is>
      </c>
      <c r="P439" s="14" t="inlineStr">
        <is>
          <t>已结算</t>
        </is>
      </c>
      <c r="Q439" s="14" t="inlineStr">
        <is>
          <t>黑</t>
        </is>
      </c>
      <c r="R439" s="48" t="n">
        <v>0.91</v>
      </c>
      <c r="S439" s="48" t="n">
        <v>-1</v>
      </c>
      <c r="T439" s="14" t="inlineStr">
        <is>
          <t>D:\codex\outputs\football_odds_trader\decision_versions\2026-10-06\RUN_20261006_084027\slate_raw.csv</t>
        </is>
      </c>
      <c r="U439" s="14" t="n"/>
      <c r="V439" s="48" t="n"/>
      <c r="W439" s="48" t="n"/>
      <c r="X439" s="14" t="inlineStr">
        <is>
          <t>3097388</t>
        </is>
      </c>
      <c r="Y439" s="14" t="inlineStr">
        <is>
          <t>V4</t>
        </is>
      </c>
      <c r="Z439" s="14" t="inlineStr">
        <is>
          <t>prior-2026-10-06-v1</t>
        </is>
      </c>
      <c r="AA439" s="14" t="inlineStr">
        <is>
          <t>C</t>
        </is>
      </c>
      <c r="AB439" s="14" t="n">
        <v>7.14465216873765e-08</v>
      </c>
      <c r="AC439" s="14" t="n">
        <v>0.9999999285534783</v>
      </c>
      <c r="AD439" s="14" t="n">
        <v>-4.5</v>
      </c>
      <c r="AE439" s="14" t="n">
        <v>0</v>
      </c>
      <c r="AF439" s="14" t="n">
        <v>0</v>
      </c>
      <c r="AG439" s="14" t="n">
        <v>0.9099998635371436</v>
      </c>
      <c r="AH439" s="14" t="n"/>
      <c r="AI439" s="14" t="n"/>
      <c r="AJ439" s="14" t="n">
        <v>0.9099998635371436</v>
      </c>
      <c r="AK439" s="14" t="n"/>
      <c r="AL439" s="14" t="n"/>
      <c r="AM439" s="14" t="inlineStr">
        <is>
          <t>EVALUATED</t>
        </is>
      </c>
      <c r="AN439" s="14" t="inlineStr">
        <is>
          <t>RECEIVING_VALIDATED_EDGE;BUCKET_PRIOR_ONLY;INTENT_INTERPRETATION_ONLY;FFL_OPTIONAL;EXPERT_MARKET</t>
        </is>
      </c>
      <c r="AO439" s="14" t="inlineStr">
        <is>
          <t>b27beeac1d01985b759c</t>
        </is>
      </c>
      <c r="AP439" s="14" t="n">
        <v>3.5</v>
      </c>
      <c r="AQ439" s="14" t="n">
        <v>0.91</v>
      </c>
      <c r="AR439" s="14" t="n">
        <v>-3.5</v>
      </c>
      <c r="AS439" s="14" t="n">
        <v>3.5</v>
      </c>
      <c r="AT439" s="14" t="n">
        <v>0.91</v>
      </c>
      <c r="AU439" s="14" t="n">
        <v>0.91</v>
      </c>
      <c r="AV439" s="14" t="inlineStr">
        <is>
          <t>2026-10-06T08:45:29.718562+08:00</t>
        </is>
      </c>
      <c r="AW439" s="14" t="inlineStr">
        <is>
          <t>Titan007/V4</t>
        </is>
      </c>
      <c r="AX439" s="14" t="inlineStr">
        <is>
          <t>Daily append；市场输入缺失时不生成决策</t>
        </is>
      </c>
      <c r="AY439" s="14" t="n"/>
    </row>
    <row r="440" ht="22" customHeight="1" s="39">
      <c r="A440" s="14" t="inlineStr">
        <is>
          <t>2026-10-06</t>
        </is>
      </c>
      <c r="B440" s="14" t="inlineStr">
        <is>
          <t>2026-10-07T00:00:00+08:00</t>
        </is>
      </c>
      <c r="C440" s="14" t="n"/>
      <c r="D440" s="14" t="n"/>
      <c r="E440" s="14" t="inlineStr">
        <is>
          <t>国际友谊</t>
        </is>
      </c>
      <c r="F440" s="14" t="inlineStr">
        <is>
          <t>俄罗斯 vs 尼日利亚</t>
        </is>
      </c>
      <c r="G440" s="26" t="n">
        <v>0.91</v>
      </c>
      <c r="H440" s="26" t="n">
        <v>1</v>
      </c>
      <c r="I440" s="26" t="n">
        <v>0.91</v>
      </c>
      <c r="J440" s="26" t="inlineStr">
        <is>
          <t>0.91/1.0/0.91</t>
        </is>
      </c>
      <c r="K440" s="14" t="inlineStr">
        <is>
          <t>V4-C</t>
        </is>
      </c>
      <c r="L440" s="14" t="inlineStr">
        <is>
          <t>俄罗斯</t>
        </is>
      </c>
      <c r="M440" s="47" t="n">
        <v>0.4445520289006189</v>
      </c>
      <c r="N440" s="14" t="inlineStr">
        <is>
          <t>V4 Shadow Only；real_money=false</t>
        </is>
      </c>
      <c r="O440" s="14" t="inlineStr">
        <is>
          <t>3-3</t>
        </is>
      </c>
      <c r="P440" s="14" t="inlineStr">
        <is>
          <t>已结算</t>
        </is>
      </c>
      <c r="Q440" s="14" t="inlineStr">
        <is>
          <t>黑</t>
        </is>
      </c>
      <c r="R440" s="48" t="n">
        <v>0.91</v>
      </c>
      <c r="S440" s="48" t="n">
        <v>-1</v>
      </c>
      <c r="T440" s="14" t="inlineStr">
        <is>
          <t>D:\codex\outputs\football_odds_trader\decision_versions\2026-10-06\RUN_20261006_084027\slate_raw.csv</t>
        </is>
      </c>
      <c r="U440" s="14" t="n"/>
      <c r="V440" s="48" t="n"/>
      <c r="W440" s="48" t="n"/>
      <c r="X440" s="14" t="inlineStr">
        <is>
          <t>3097390</t>
        </is>
      </c>
      <c r="Y440" s="14" t="inlineStr">
        <is>
          <t>V4</t>
        </is>
      </c>
      <c r="Z440" s="14" t="inlineStr">
        <is>
          <t>prior-2026-10-06-v1</t>
        </is>
      </c>
      <c r="AA440" s="14" t="inlineStr">
        <is>
          <t>C</t>
        </is>
      </c>
      <c r="AB440" s="14" t="n">
        <v>0.4445520289006189</v>
      </c>
      <c r="AC440" s="14" t="n">
        <v>0.2989255030495668</v>
      </c>
      <c r="AD440" s="14" t="n">
        <v>1.5</v>
      </c>
      <c r="AE440" s="14" t="n"/>
      <c r="AF440" s="14" t="n"/>
      <c r="AG440" s="14" t="n">
        <v>0.1056168432499964</v>
      </c>
      <c r="AH440" s="14" t="n"/>
      <c r="AI440" s="14" t="n"/>
      <c r="AJ440" s="14" t="n">
        <v>0.1056168432499964</v>
      </c>
      <c r="AK440" s="14" t="n"/>
      <c r="AL440" s="14" t="n"/>
      <c r="AM440" s="14" t="inlineStr">
        <is>
          <t>EVALUATED</t>
        </is>
      </c>
      <c r="AN440" s="14" t="inlineStr">
        <is>
          <t>GIVING_VALIDATED_EDGE;BUCKET_PRIOR_ONLY;INTENT_INTERPRETATION_ONLY;FFL_OPTIONAL;EXPERT_MARKET</t>
        </is>
      </c>
      <c r="AO440" s="14" t="inlineStr">
        <is>
          <t>6fe96c50969098aef72d</t>
        </is>
      </c>
      <c r="AP440" s="14" t="n">
        <v>-1</v>
      </c>
      <c r="AQ440" s="14" t="n">
        <v>0.91</v>
      </c>
      <c r="AR440" s="14" t="n">
        <v>1</v>
      </c>
      <c r="AS440" s="14" t="n">
        <v>-1</v>
      </c>
      <c r="AT440" s="14" t="n">
        <v>0.91</v>
      </c>
      <c r="AU440" s="14" t="n">
        <v>0.91</v>
      </c>
      <c r="AV440" s="14" t="inlineStr">
        <is>
          <t>2026-10-06T08:45:29.718562+08:00</t>
        </is>
      </c>
      <c r="AW440" s="14" t="inlineStr">
        <is>
          <t>Titan007/V4</t>
        </is>
      </c>
      <c r="AX440" s="14" t="inlineStr">
        <is>
          <t>Daily append；市场输入缺失时不生成决策</t>
        </is>
      </c>
      <c r="AY440" s="14" t="n"/>
    </row>
    <row r="441" ht="22" customHeight="1" s="39">
      <c r="A441" s="14" t="inlineStr">
        <is>
          <t>2026-10-06</t>
        </is>
      </c>
      <c r="B441" s="14" t="inlineStr">
        <is>
          <t>2026-10-07T08:00:00+08:00</t>
        </is>
      </c>
      <c r="C441" s="14" t="n"/>
      <c r="D441" s="14" t="n"/>
      <c r="E441" s="14" t="inlineStr">
        <is>
          <t>国际友谊</t>
        </is>
      </c>
      <c r="F441" s="14" t="inlineStr">
        <is>
          <t>美国(中) vs 加拿大</t>
        </is>
      </c>
      <c r="G441" s="26" t="n">
        <v>0.8</v>
      </c>
      <c r="H441" s="26" t="n">
        <v>0.5</v>
      </c>
      <c r="I441" s="26" t="n">
        <v>1.02</v>
      </c>
      <c r="J441" s="26" t="inlineStr">
        <is>
          <t>0.8/0.5/1.02</t>
        </is>
      </c>
      <c r="K441" s="14" t="inlineStr">
        <is>
          <t>V4-C</t>
        </is>
      </c>
      <c r="L441" s="14" t="inlineStr">
        <is>
          <t>美国(中)</t>
        </is>
      </c>
      <c r="M441" s="47" t="n">
        <v>0.5950220002994739</v>
      </c>
      <c r="N441" s="14" t="inlineStr">
        <is>
          <t>V4 Shadow Only；real_money=false</t>
        </is>
      </c>
      <c r="O441" s="14" t="inlineStr">
        <is>
          <t>0-0</t>
        </is>
      </c>
      <c r="P441" s="14" t="inlineStr">
        <is>
          <t>EVALUATED</t>
        </is>
      </c>
      <c r="Q441" s="14" t="inlineStr">
        <is>
          <t>C</t>
        </is>
      </c>
      <c r="R441" s="48" t="n">
        <v>0.8</v>
      </c>
      <c r="S441" s="48" t="n"/>
      <c r="T441" s="14" t="inlineStr">
        <is>
          <t>D:\codex\outputs\football_odds_trader\decision_versions\2026-10-06\RUN_20261006_084027\slate_raw.csv</t>
        </is>
      </c>
      <c r="U441" s="14" t="n"/>
      <c r="V441" s="48" t="n"/>
      <c r="W441" s="48" t="n"/>
      <c r="X441" s="14" t="inlineStr">
        <is>
          <t>3097883</t>
        </is>
      </c>
      <c r="Y441" s="14" t="inlineStr">
        <is>
          <t>V4</t>
        </is>
      </c>
      <c r="Z441" s="14" t="inlineStr">
        <is>
          <t>prior-2026-10-06-v1</t>
        </is>
      </c>
      <c r="AA441" s="14" t="inlineStr">
        <is>
          <t>C</t>
        </is>
      </c>
      <c r="AB441" s="14" t="n">
        <v>0.5950220002994739</v>
      </c>
      <c r="AC441" s="14" t="n">
        <v>0.4049779997005261</v>
      </c>
      <c r="AD441" s="14" t="n">
        <v>1</v>
      </c>
      <c r="AE441" s="14" t="n"/>
      <c r="AF441" s="14" t="n"/>
      <c r="AG441" s="14" t="n">
        <v>0.07103960053905312</v>
      </c>
      <c r="AH441" s="14" t="n"/>
      <c r="AI441" s="14" t="n"/>
      <c r="AJ441" s="14" t="n">
        <v>0.07103960053905312</v>
      </c>
      <c r="AK441" s="14" t="n"/>
      <c r="AL441" s="14" t="n"/>
      <c r="AM441" s="14" t="inlineStr">
        <is>
          <t>EVALUATED</t>
        </is>
      </c>
      <c r="AN441" s="14" t="inlineStr">
        <is>
          <t>GIVING_VALIDATED_EDGE;BUCKET_PRIOR_ONLY;INTENT_INTERPRETATION_ONLY;FFL_OPTIONAL;EXPERT_MARKET</t>
        </is>
      </c>
      <c r="AO441" s="14" t="inlineStr">
        <is>
          <t>41c4dba1e38e153b637d</t>
        </is>
      </c>
      <c r="AP441" s="14" t="n">
        <v>-0.5</v>
      </c>
      <c r="AQ441" s="14" t="n">
        <v>0.8</v>
      </c>
      <c r="AR441" s="14" t="n">
        <v>0.5</v>
      </c>
      <c r="AS441" s="14" t="n">
        <v>-0.5</v>
      </c>
      <c r="AT441" s="14" t="n">
        <v>0.8</v>
      </c>
      <c r="AU441" s="14" t="n">
        <v>1.02</v>
      </c>
      <c r="AV441" s="14" t="inlineStr">
        <is>
          <t>2026-10-06T08:45:29.718562+08:00</t>
        </is>
      </c>
      <c r="AW441" s="14" t="inlineStr">
        <is>
          <t>Titan007/V4</t>
        </is>
      </c>
      <c r="AX441" s="14" t="inlineStr">
        <is>
          <t>Daily append；市场输入缺失时不生成决策</t>
        </is>
      </c>
      <c r="AY441" s="14" t="n"/>
    </row>
    <row r="442" ht="22" customHeight="1" s="39">
      <c r="A442" s="14" t="inlineStr">
        <is>
          <t>2026-10-06</t>
        </is>
      </c>
      <c r="B442" s="14" t="inlineStr">
        <is>
          <t>2026-10-06T17:00:00+08:00</t>
        </is>
      </c>
      <c r="C442" s="14" t="inlineStr">
        <is>
          <t>CLUB_CUP</t>
        </is>
      </c>
      <c r="D442" s="14" t="n"/>
      <c r="E442" s="14" t="inlineStr">
        <is>
          <t>孟加拉杯</t>
        </is>
      </c>
      <c r="F442" s="14" t="inlineStr">
        <is>
          <t>达卡流浪者 vs 巴斯顺达拉国王</t>
        </is>
      </c>
      <c r="G442" s="26" t="n">
        <v>0.85</v>
      </c>
      <c r="H442" s="26" t="n">
        <v>-2.75</v>
      </c>
      <c r="I442" s="26" t="n">
        <v>0.95</v>
      </c>
      <c r="J442" s="26" t="inlineStr">
        <is>
          <t>0.85/-2.75/0.95</t>
        </is>
      </c>
      <c r="K442" s="14" t="inlineStr">
        <is>
          <t>V4-B</t>
        </is>
      </c>
      <c r="L442" s="14" t="inlineStr">
        <is>
          <t>达卡流浪者</t>
        </is>
      </c>
      <c r="M442" s="47" t="n">
        <v>1.902529185627487e-06</v>
      </c>
      <c r="N442" s="14" t="inlineStr">
        <is>
          <t>V4 Shadow Only；real_money=false</t>
        </is>
      </c>
      <c r="O442" s="14" t="inlineStr">
        <is>
          <t>0-5</t>
        </is>
      </c>
      <c r="P442" s="14" t="inlineStr">
        <is>
          <t>已结算</t>
        </is>
      </c>
      <c r="Q442" s="14" t="inlineStr">
        <is>
          <t>黑</t>
        </is>
      </c>
      <c r="R442" s="48" t="n">
        <v>0.85</v>
      </c>
      <c r="S442" s="48" t="n">
        <v>-1</v>
      </c>
      <c r="T442" s="14" t="inlineStr">
        <is>
          <t>D:\codex\outputs\football_odds_trader\decision_versions\2026-10-06\RUN_20261006_084027\slate_raw.csv</t>
        </is>
      </c>
      <c r="U442" s="14" t="n"/>
      <c r="V442" s="48" t="n"/>
      <c r="W442" s="48" t="n"/>
      <c r="X442" s="14" t="inlineStr">
        <is>
          <t>3099028</t>
        </is>
      </c>
      <c r="Y442" s="14" t="inlineStr">
        <is>
          <t>V4</t>
        </is>
      </c>
      <c r="Z442" s="14" t="inlineStr">
        <is>
          <t>prior-2026-10-06-v1</t>
        </is>
      </c>
      <c r="AA442" s="14" t="inlineStr">
        <is>
          <t>B</t>
        </is>
      </c>
      <c r="AB442" s="14" t="n">
        <v>1.902529185627487e-06</v>
      </c>
      <c r="AC442" s="14" t="n">
        <v>0.9999962683695214</v>
      </c>
      <c r="AD442" s="14" t="n">
        <v>-3.75</v>
      </c>
      <c r="AE442" s="14" t="n">
        <v>0</v>
      </c>
      <c r="AF442" s="14" t="n">
        <v>0</v>
      </c>
      <c r="AG442" s="14" t="n">
        <v>0.8499949255849076</v>
      </c>
      <c r="AH442" s="14" t="n"/>
      <c r="AI442" s="14" t="n"/>
      <c r="AJ442" s="14" t="n">
        <v>0.8499949255849076</v>
      </c>
      <c r="AK442" s="14" t="n"/>
      <c r="AL442" s="14" t="n"/>
      <c r="AM442" s="14" t="inlineStr">
        <is>
          <t>EVALUATED</t>
        </is>
      </c>
      <c r="AN442" s="14" t="inlineStr">
        <is>
          <t>RECEIVING_VALIDATED_EDGE;BUCKET_PRIOR_ONLY;INTENT_INTERPRETATION_ONLY;FFL_OPTIONAL;EXPERT_MARKET</t>
        </is>
      </c>
      <c r="AO442" s="14" t="inlineStr">
        <is>
          <t>928b5285b650f6ecbfe5</t>
        </is>
      </c>
      <c r="AP442" s="14" t="n">
        <v>2.75</v>
      </c>
      <c r="AQ442" s="14" t="n">
        <v>0.85</v>
      </c>
      <c r="AR442" s="14" t="n">
        <v>-2.75</v>
      </c>
      <c r="AS442" s="14" t="n">
        <v>2.75</v>
      </c>
      <c r="AT442" s="14" t="n">
        <v>0.85</v>
      </c>
      <c r="AU442" s="14" t="n">
        <v>0.95</v>
      </c>
      <c r="AV442" s="14" t="inlineStr">
        <is>
          <t>2026-10-06T08:45:29.718562+08:00</t>
        </is>
      </c>
      <c r="AW442" s="14" t="inlineStr">
        <is>
          <t>Titan007/V4</t>
        </is>
      </c>
      <c r="AX442" s="14" t="inlineStr">
        <is>
          <t>Daily append；市场输入缺失时不生成决策</t>
        </is>
      </c>
      <c r="AY442" s="14" t="n"/>
    </row>
    <row r="443" ht="22" customHeight="1" s="39">
      <c r="A443" s="14" t="inlineStr">
        <is>
          <t>2026-10-06</t>
        </is>
      </c>
      <c r="B443" s="14" t="inlineStr">
        <is>
          <t>2026-10-06T17:00:00+08:00</t>
        </is>
      </c>
      <c r="C443" s="14" t="n"/>
      <c r="D443" s="14" t="n"/>
      <c r="E443" s="14" t="inlineStr">
        <is>
          <t>加尔联</t>
        </is>
      </c>
      <c r="F443" s="14" t="inlineStr">
        <is>
          <t>乌塔拉帕利 MS vs 航空娱乐俱乐部</t>
        </is>
      </c>
      <c r="G443" s="26" t="n">
        <v>0.85</v>
      </c>
      <c r="H443" s="26" t="n">
        <v>0.75</v>
      </c>
      <c r="I443" s="26" t="n">
        <v>0.95</v>
      </c>
      <c r="J443" s="26" t="inlineStr">
        <is>
          <t>0.85/0.75/0.95</t>
        </is>
      </c>
      <c r="K443" s="14" t="inlineStr">
        <is>
          <t>V4-C</t>
        </is>
      </c>
      <c r="L443" s="14" t="inlineStr">
        <is>
          <t>乌塔拉帕利 MS</t>
        </is>
      </c>
      <c r="M443" s="47" t="n">
        <v>0.5330792877706145</v>
      </c>
      <c r="N443" s="14" t="inlineStr">
        <is>
          <t>V4 Shadow Only；real_money=false</t>
        </is>
      </c>
      <c r="O443" s="14" t="inlineStr">
        <is>
          <t>0-0</t>
        </is>
      </c>
      <c r="P443" s="14" t="inlineStr">
        <is>
          <t>已结算</t>
        </is>
      </c>
      <c r="Q443" s="14" t="inlineStr">
        <is>
          <t>黑</t>
        </is>
      </c>
      <c r="R443" s="48" t="n">
        <v>0.85</v>
      </c>
      <c r="S443" s="48" t="n">
        <v>-1</v>
      </c>
      <c r="T443" s="14" t="inlineStr">
        <is>
          <t>D:\codex\outputs\football_odds_trader\decision_versions\2026-10-06\RUN_20261006_084027\slate_raw.csv</t>
        </is>
      </c>
      <c r="U443" s="14" t="n"/>
      <c r="V443" s="48" t="n"/>
      <c r="W443" s="48" t="n"/>
      <c r="X443" s="14" t="inlineStr">
        <is>
          <t>3099031</t>
        </is>
      </c>
      <c r="Y443" s="14" t="inlineStr">
        <is>
          <t>V4</t>
        </is>
      </c>
      <c r="Z443" s="14" t="inlineStr">
        <is>
          <t>prior-2026-10-06-v1</t>
        </is>
      </c>
      <c r="AA443" s="14" t="inlineStr">
        <is>
          <t>C</t>
        </is>
      </c>
      <c r="AB443" s="14" t="n">
        <v>0.5330792877706145</v>
      </c>
      <c r="AC443" s="14" t="n">
        <v>0.3381092485584855</v>
      </c>
      <c r="AD443" s="14" t="n">
        <v>1.25</v>
      </c>
      <c r="AE443" s="14" t="n"/>
      <c r="AF443" s="14" t="n"/>
      <c r="AG443" s="14" t="n">
        <v>0.1150081460465369</v>
      </c>
      <c r="AH443" s="14" t="n"/>
      <c r="AI443" s="14" t="n"/>
      <c r="AJ443" s="14" t="n">
        <v>0.1150081460465369</v>
      </c>
      <c r="AK443" s="14" t="n"/>
      <c r="AL443" s="14" t="n"/>
      <c r="AM443" s="14" t="inlineStr">
        <is>
          <t>EVALUATED</t>
        </is>
      </c>
      <c r="AN443" s="14" t="inlineStr">
        <is>
          <t>GIVING_VALIDATED_EDGE;BUCKET_PRIOR_ONLY;INTENT_INTERPRETATION_ONLY;FFL_OPTIONAL;EXPERT_MARKET</t>
        </is>
      </c>
      <c r="AO443" s="14" t="inlineStr">
        <is>
          <t>d8b5a0f220d4a20c079f</t>
        </is>
      </c>
      <c r="AP443" s="14" t="n">
        <v>-0.75</v>
      </c>
      <c r="AQ443" s="14" t="n">
        <v>0.85</v>
      </c>
      <c r="AR443" s="14" t="n">
        <v>0.75</v>
      </c>
      <c r="AS443" s="14" t="n">
        <v>-0.75</v>
      </c>
      <c r="AT443" s="14" t="n">
        <v>0.85</v>
      </c>
      <c r="AU443" s="14" t="n">
        <v>0.95</v>
      </c>
      <c r="AV443" s="14" t="inlineStr">
        <is>
          <t>2026-10-06T08:45:29.718562+08:00</t>
        </is>
      </c>
      <c r="AW443" s="14" t="inlineStr">
        <is>
          <t>Titan007/V4</t>
        </is>
      </c>
      <c r="AX443" s="14" t="inlineStr">
        <is>
          <t>Daily append；市场输入缺失时不生成决策</t>
        </is>
      </c>
      <c r="AY443" s="14" t="n"/>
    </row>
    <row r="444" ht="22" customHeight="1" s="39">
      <c r="A444" s="14" t="inlineStr">
        <is>
          <t>2026-10-06</t>
        </is>
      </c>
      <c r="B444" s="14" t="inlineStr">
        <is>
          <t>2026-10-06T17:00:00+08:00</t>
        </is>
      </c>
      <c r="C444" s="14" t="n"/>
      <c r="D444" s="14" t="n"/>
      <c r="E444" s="14" t="inlineStr">
        <is>
          <t>加尔联</t>
        </is>
      </c>
      <c r="F444" s="14" t="inlineStr">
        <is>
          <t>拉贾斯坦 vs 达尔豪斯</t>
        </is>
      </c>
      <c r="G444" s="26" t="n">
        <v>0.8</v>
      </c>
      <c r="H444" s="26" t="n">
        <v>-1</v>
      </c>
      <c r="I444" s="26" t="n">
        <v>1</v>
      </c>
      <c r="J444" s="26" t="inlineStr">
        <is>
          <t>0.8/-1.0/1.0</t>
        </is>
      </c>
      <c r="K444" s="14" t="inlineStr">
        <is>
          <t>V4-C</t>
        </is>
      </c>
      <c r="L444" s="14" t="inlineStr">
        <is>
          <t>拉贾斯坦</t>
        </is>
      </c>
      <c r="M444" s="47" t="n">
        <v>0.02789695356704353</v>
      </c>
      <c r="N444" s="14" t="inlineStr">
        <is>
          <t>V4 Shadow Only；real_money=false</t>
        </is>
      </c>
      <c r="O444" s="14" t="inlineStr">
        <is>
          <t>2-0</t>
        </is>
      </c>
      <c r="P444" s="14" t="inlineStr">
        <is>
          <t>已结算</t>
        </is>
      </c>
      <c r="Q444" s="14" t="inlineStr">
        <is>
          <t>红</t>
        </is>
      </c>
      <c r="R444" s="48" t="n">
        <v>0.8</v>
      </c>
      <c r="S444" s="48" t="n">
        <v>0.8</v>
      </c>
      <c r="T444" s="14" t="inlineStr">
        <is>
          <t>D:\codex\outputs\football_odds_trader\decision_versions\2026-10-06\RUN_20261006_084027\slate_raw.csv</t>
        </is>
      </c>
      <c r="U444" s="14" t="n"/>
      <c r="V444" s="48" t="n"/>
      <c r="W444" s="48" t="n"/>
      <c r="X444" s="14" t="inlineStr">
        <is>
          <t>3099032</t>
        </is>
      </c>
      <c r="Y444" s="14" t="inlineStr">
        <is>
          <t>V4</t>
        </is>
      </c>
      <c r="Z444" s="14" t="inlineStr">
        <is>
          <t>prior-2026-10-06-v1</t>
        </is>
      </c>
      <c r="AA444" s="14" t="inlineStr">
        <is>
          <t>C</t>
        </is>
      </c>
      <c r="AB444" s="14" t="n">
        <v>0.02789695356704353</v>
      </c>
      <c r="AC444" s="14" t="n">
        <v>0.8886575506955571</v>
      </c>
      <c r="AD444" s="14" t="n">
        <v>-1.25</v>
      </c>
      <c r="AE444" s="14" t="n">
        <v>0</v>
      </c>
      <c r="AF444" s="14" t="n">
        <v>0</v>
      </c>
      <c r="AG444" s="14" t="n">
        <v>0.6830290869894022</v>
      </c>
      <c r="AH444" s="14" t="n"/>
      <c r="AI444" s="14" t="n"/>
      <c r="AJ444" s="14" t="n">
        <v>0.6830290869894022</v>
      </c>
      <c r="AK444" s="14" t="n"/>
      <c r="AL444" s="14" t="n"/>
      <c r="AM444" s="14" t="inlineStr">
        <is>
          <t>EVALUATED</t>
        </is>
      </c>
      <c r="AN444" s="14" t="inlineStr">
        <is>
          <t>RECEIVING_VALIDATED_EDGE;BUCKET_PRIOR_ONLY;INTENT_INTERPRETATION_ONLY;FFL_OPTIONAL;EXPERT_MARKET</t>
        </is>
      </c>
      <c r="AO444" s="14" t="inlineStr">
        <is>
          <t>2bb2df390c1ac9a15971</t>
        </is>
      </c>
      <c r="AP444" s="14" t="n">
        <v>1</v>
      </c>
      <c r="AQ444" s="14" t="n">
        <v>0.8</v>
      </c>
      <c r="AR444" s="14" t="n">
        <v>-1</v>
      </c>
      <c r="AS444" s="14" t="n">
        <v>1</v>
      </c>
      <c r="AT444" s="14" t="n">
        <v>0.8</v>
      </c>
      <c r="AU444" s="14" t="n">
        <v>1</v>
      </c>
      <c r="AV444" s="14" t="inlineStr">
        <is>
          <t>2026-10-06T08:45:29.718562+08:00</t>
        </is>
      </c>
      <c r="AW444" s="14" t="inlineStr">
        <is>
          <t>Titan007/V4</t>
        </is>
      </c>
      <c r="AX444" s="14" t="inlineStr">
        <is>
          <t>Daily append；市场输入缺失时不生成决策</t>
        </is>
      </c>
      <c r="AY444" s="14" t="n"/>
    </row>
    <row r="445" ht="22" customHeight="1" s="39">
      <c r="A445" s="14" t="inlineStr">
        <is>
          <t>2026-10-06</t>
        </is>
      </c>
      <c r="B445" s="14" t="inlineStr">
        <is>
          <t>2026-10-06T17:00:00+08:00</t>
        </is>
      </c>
      <c r="C445" s="14" t="n"/>
      <c r="D445" s="14" t="n"/>
      <c r="E445" s="14" t="inlineStr">
        <is>
          <t>加尔联</t>
        </is>
      </c>
      <c r="F445" s="14" t="inlineStr">
        <is>
          <t>亚当斯联合SA队 vs 警察AC</t>
        </is>
      </c>
      <c r="G445" s="26" t="n">
        <v>0.98</v>
      </c>
      <c r="H445" s="26" t="n">
        <v>1.25</v>
      </c>
      <c r="I445" s="26" t="n">
        <v>0.83</v>
      </c>
      <c r="J445" s="26" t="inlineStr">
        <is>
          <t>0.98/1.25/0.83</t>
        </is>
      </c>
      <c r="K445" s="14" t="inlineStr">
        <is>
          <t>V4-C</t>
        </is>
      </c>
      <c r="L445" s="14" t="inlineStr">
        <is>
          <t>亚当斯联合SA队</t>
        </is>
      </c>
      <c r="M445" s="47" t="n">
        <v>0.5491600550177687</v>
      </c>
      <c r="N445" s="14" t="inlineStr">
        <is>
          <t>V4 Shadow Only；real_money=false</t>
        </is>
      </c>
      <c r="O445" s="14" t="inlineStr">
        <is>
          <t>1-1</t>
        </is>
      </c>
      <c r="P445" s="14" t="inlineStr">
        <is>
          <t>已结算</t>
        </is>
      </c>
      <c r="Q445" s="14" t="inlineStr">
        <is>
          <t>黑</t>
        </is>
      </c>
      <c r="R445" s="48" t="n">
        <v>0.98</v>
      </c>
      <c r="S445" s="48" t="n">
        <v>-1</v>
      </c>
      <c r="T445" s="14" t="inlineStr">
        <is>
          <t>D:\codex\outputs\football_odds_trader\decision_versions\2026-10-06\RUN_20261006_084027\slate_raw.csv</t>
        </is>
      </c>
      <c r="U445" s="14" t="n"/>
      <c r="V445" s="48" t="n"/>
      <c r="W445" s="48" t="n"/>
      <c r="X445" s="14" t="inlineStr">
        <is>
          <t>3099033</t>
        </is>
      </c>
      <c r="Y445" s="14" t="inlineStr">
        <is>
          <t>V4</t>
        </is>
      </c>
      <c r="Z445" s="14" t="inlineStr">
        <is>
          <t>prior-2026-10-06-v1</t>
        </is>
      </c>
      <c r="AA445" s="14" t="inlineStr">
        <is>
          <t>C</t>
        </is>
      </c>
      <c r="AB445" s="14" t="n">
        <v>0.5491600550177687</v>
      </c>
      <c r="AC445" s="14" t="n">
        <v>0.3291445897851089</v>
      </c>
      <c r="AD445" s="14" t="n">
        <v>1.75</v>
      </c>
      <c r="AE445" s="14" t="n"/>
      <c r="AF445" s="14" t="n"/>
      <c r="AG445" s="14" t="n">
        <v>0.2090322641323045</v>
      </c>
      <c r="AH445" s="14" t="n"/>
      <c r="AI445" s="14" t="n"/>
      <c r="AJ445" s="14" t="n">
        <v>0.2090322641323045</v>
      </c>
      <c r="AK445" s="14" t="n"/>
      <c r="AL445" s="14" t="n"/>
      <c r="AM445" s="14" t="inlineStr">
        <is>
          <t>EVALUATED</t>
        </is>
      </c>
      <c r="AN445" s="14" t="inlineStr">
        <is>
          <t>GIVING_VALIDATED_EDGE;BUCKET_PRIOR_ONLY;INTENT_INTERPRETATION_ONLY;FFL_OPTIONAL;EXPERT_MARKET</t>
        </is>
      </c>
      <c r="AO445" s="14" t="inlineStr">
        <is>
          <t>ca524003b13b6813e1c7</t>
        </is>
      </c>
      <c r="AP445" s="14" t="n">
        <v>-1.25</v>
      </c>
      <c r="AQ445" s="14" t="n">
        <v>0.98</v>
      </c>
      <c r="AR445" s="14" t="n">
        <v>1.25</v>
      </c>
      <c r="AS445" s="14" t="n">
        <v>-1.25</v>
      </c>
      <c r="AT445" s="14" t="n">
        <v>0.98</v>
      </c>
      <c r="AU445" s="14" t="n">
        <v>0.83</v>
      </c>
      <c r="AV445" s="14" t="inlineStr">
        <is>
          <t>2026-10-06T08:45:29.718562+08:00</t>
        </is>
      </c>
      <c r="AW445" s="14" t="inlineStr">
        <is>
          <t>Titan007/V4</t>
        </is>
      </c>
      <c r="AX445" s="14" t="inlineStr">
        <is>
          <t>Daily append；市场输入缺失时不生成决策</t>
        </is>
      </c>
      <c r="AY445" s="14" t="n"/>
    </row>
    <row r="446" ht="22" customHeight="1" s="39">
      <c r="A446" s="14" t="inlineStr">
        <is>
          <t>2026-10-06</t>
        </is>
      </c>
      <c r="B446" s="14" t="inlineStr">
        <is>
          <t>2026-10-06T15:30:00+08:00</t>
        </is>
      </c>
      <c r="C446" s="14" t="n"/>
      <c r="D446" s="14" t="n"/>
      <c r="E446" s="14" t="inlineStr">
        <is>
          <t>中冠</t>
        </is>
      </c>
      <c r="F446" s="14" t="inlineStr">
        <is>
          <t>辽宁盛京新锐 vs 邢台沙河万率</t>
        </is>
      </c>
      <c r="G446" s="26" t="n">
        <v>1.1</v>
      </c>
      <c r="H446" s="26" t="n">
        <v>-1.5</v>
      </c>
      <c r="I446" s="26" t="n">
        <v>0.62</v>
      </c>
      <c r="J446" s="26" t="inlineStr">
        <is>
          <t>1.1/-1.5/0.62</t>
        </is>
      </c>
      <c r="K446" s="14" t="inlineStr">
        <is>
          <t>V4-C</t>
        </is>
      </c>
      <c r="L446" s="14" t="inlineStr">
        <is>
          <t>辽宁盛京新锐</t>
        </is>
      </c>
      <c r="M446" s="47" t="n">
        <v>0.0002288889051449431</v>
      </c>
      <c r="N446" s="14" t="inlineStr">
        <is>
          <t>V4 Shadow Only；real_money=false</t>
        </is>
      </c>
      <c r="O446" s="14" t="inlineStr">
        <is>
          <t>1-2</t>
        </is>
      </c>
      <c r="P446" s="14" t="inlineStr">
        <is>
          <t>已结算</t>
        </is>
      </c>
      <c r="Q446" s="14" t="inlineStr">
        <is>
          <t>红</t>
        </is>
      </c>
      <c r="R446" s="48" t="n">
        <v>1.1</v>
      </c>
      <c r="S446" s="48" t="n">
        <v>1.1</v>
      </c>
      <c r="T446" s="14" t="inlineStr">
        <is>
          <t>D:\codex\outputs\football_odds_trader\decision_versions\2026-10-06\RUN_20261006_084027\slate_raw.csv</t>
        </is>
      </c>
      <c r="U446" s="14" t="n"/>
      <c r="V446" s="48" t="n"/>
      <c r="W446" s="48" t="n"/>
      <c r="X446" s="14" t="inlineStr">
        <is>
          <t>3099062</t>
        </is>
      </c>
      <c r="Y446" s="14" t="inlineStr">
        <is>
          <t>V4</t>
        </is>
      </c>
      <c r="Z446" s="14" t="inlineStr">
        <is>
          <t>prior-2026-10-06-v1</t>
        </is>
      </c>
      <c r="AA446" s="14" t="inlineStr">
        <is>
          <t>C</t>
        </is>
      </c>
      <c r="AB446" s="14" t="n">
        <v>0.0002288889051449431</v>
      </c>
      <c r="AC446" s="14" t="n">
        <v>0.9997711110948551</v>
      </c>
      <c r="AD446" s="14" t="n">
        <v>-2.5</v>
      </c>
      <c r="AE446" s="14" t="n">
        <v>0</v>
      </c>
      <c r="AF446" s="14" t="n">
        <v>0</v>
      </c>
      <c r="AG446" s="14" t="n">
        <v>1.099519333299196</v>
      </c>
      <c r="AH446" s="14" t="n"/>
      <c r="AI446" s="14" t="n"/>
      <c r="AJ446" s="14" t="n">
        <v>1.099519333299196</v>
      </c>
      <c r="AK446" s="14" t="n"/>
      <c r="AL446" s="14" t="n"/>
      <c r="AM446" s="14" t="inlineStr">
        <is>
          <t>EVALUATED</t>
        </is>
      </c>
      <c r="AN446" s="14" t="inlineStr">
        <is>
          <t>RECEIVING_VALIDATED_EDGE;BUCKET_PRIOR_ONLY;INTENT_INTERPRETATION_ONLY;FFL_OPTIONAL;EXPERT_MARKET</t>
        </is>
      </c>
      <c r="AO446" s="14" t="inlineStr">
        <is>
          <t>73ebfdae35e46f93f8a9</t>
        </is>
      </c>
      <c r="AP446" s="14" t="n">
        <v>1.5</v>
      </c>
      <c r="AQ446" s="14" t="n">
        <v>1.1</v>
      </c>
      <c r="AR446" s="14" t="n">
        <v>-1.5</v>
      </c>
      <c r="AS446" s="14" t="n">
        <v>1.5</v>
      </c>
      <c r="AT446" s="14" t="n">
        <v>1.1</v>
      </c>
      <c r="AU446" s="14" t="n">
        <v>0.62</v>
      </c>
      <c r="AV446" s="14" t="inlineStr">
        <is>
          <t>2026-10-06T08:45:29.718562+08:00</t>
        </is>
      </c>
      <c r="AW446" s="14" t="inlineStr">
        <is>
          <t>Titan007/V4</t>
        </is>
      </c>
      <c r="AX446" s="14" t="inlineStr">
        <is>
          <t>Daily append；市场输入缺失时不生成决策</t>
        </is>
      </c>
      <c r="AY446" s="14" t="n"/>
    </row>
    <row r="447" ht="22" customHeight="1" s="39">
      <c r="A447" s="14" t="inlineStr">
        <is>
          <t>2026-10-06</t>
        </is>
      </c>
      <c r="B447" s="14" t="inlineStr">
        <is>
          <t>2026-10-06T15:30:00+08:00</t>
        </is>
      </c>
      <c r="C447" s="14" t="n"/>
      <c r="D447" s="14" t="n"/>
      <c r="E447" s="14" t="inlineStr">
        <is>
          <t>中冠</t>
        </is>
      </c>
      <c r="F447" s="14" t="inlineStr">
        <is>
          <t>大连聚惺晟恒 vs 陕西宝鸡联腾</t>
        </is>
      </c>
      <c r="G447" s="26" t="n">
        <v>0.45</v>
      </c>
      <c r="H447" s="26" t="n">
        <v>-1.5</v>
      </c>
      <c r="I447" s="26" t="n">
        <v>1.47</v>
      </c>
      <c r="J447" s="26" t="inlineStr">
        <is>
          <t>0.45/-1.5/1.47</t>
        </is>
      </c>
      <c r="K447" s="14" t="inlineStr">
        <is>
          <t>V4-C</t>
        </is>
      </c>
      <c r="L447" s="14" t="inlineStr">
        <is>
          <t>大连聚惺晟恒</t>
        </is>
      </c>
      <c r="M447" s="47" t="n">
        <v>0.02554569536305826</v>
      </c>
      <c r="N447" s="14" t="inlineStr">
        <is>
          <t>V4 Shadow Only；real_money=false</t>
        </is>
      </c>
      <c r="O447" s="14" t="inlineStr">
        <is>
          <t>1-3</t>
        </is>
      </c>
      <c r="P447" s="14" t="inlineStr">
        <is>
          <t>已结算</t>
        </is>
      </c>
      <c r="Q447" s="14" t="inlineStr">
        <is>
          <t>黑</t>
        </is>
      </c>
      <c r="R447" s="48" t="n">
        <v>0.45</v>
      </c>
      <c r="S447" s="48" t="n">
        <v>-1</v>
      </c>
      <c r="T447" s="14" t="inlineStr">
        <is>
          <t>D:\codex\outputs\football_odds_trader\decision_versions\2026-10-06\RUN_20261006_084027\slate_raw.csv</t>
        </is>
      </c>
      <c r="U447" s="14" t="n"/>
      <c r="V447" s="48" t="n"/>
      <c r="W447" s="48" t="n"/>
      <c r="X447" s="14" t="inlineStr">
        <is>
          <t>3099063</t>
        </is>
      </c>
      <c r="Y447" s="14" t="inlineStr">
        <is>
          <t>V4</t>
        </is>
      </c>
      <c r="Z447" s="14" t="inlineStr">
        <is>
          <t>prior-2026-10-06-v1</t>
        </is>
      </c>
      <c r="AA447" s="14" t="inlineStr">
        <is>
          <t>C</t>
        </is>
      </c>
      <c r="AB447" s="14" t="n">
        <v>0.02554569536305826</v>
      </c>
      <c r="AC447" s="14" t="n">
        <v>0.9744543046369417</v>
      </c>
      <c r="AD447" s="14" t="n">
        <v>-1.5</v>
      </c>
      <c r="AE447" s="14" t="n">
        <v>0</v>
      </c>
      <c r="AF447" s="14" t="n">
        <v>0</v>
      </c>
      <c r="AG447" s="14" t="n">
        <v>0.4129587417235655</v>
      </c>
      <c r="AH447" s="14" t="n"/>
      <c r="AI447" s="14" t="n"/>
      <c r="AJ447" s="14" t="n">
        <v>0.4129587417235655</v>
      </c>
      <c r="AK447" s="14" t="n"/>
      <c r="AL447" s="14" t="n"/>
      <c r="AM447" s="14" t="inlineStr">
        <is>
          <t>EVALUATED</t>
        </is>
      </c>
      <c r="AN447" s="14" t="inlineStr">
        <is>
          <t>RECEIVING_VALIDATED_EDGE;BUCKET_PRIOR_ONLY;INTENT_INTERPRETATION_ONLY;FFL_OPTIONAL;EXPERT_MARKET</t>
        </is>
      </c>
      <c r="AO447" s="14" t="inlineStr">
        <is>
          <t>2902ea1586de9f23e3aa</t>
        </is>
      </c>
      <c r="AP447" s="14" t="n">
        <v>1.5</v>
      </c>
      <c r="AQ447" s="14" t="n">
        <v>0.45</v>
      </c>
      <c r="AR447" s="14" t="n">
        <v>-1.5</v>
      </c>
      <c r="AS447" s="14" t="n">
        <v>1.5</v>
      </c>
      <c r="AT447" s="14" t="n">
        <v>0.45</v>
      </c>
      <c r="AU447" s="14" t="n">
        <v>1.47</v>
      </c>
      <c r="AV447" s="14" t="inlineStr">
        <is>
          <t>2026-10-06T08:45:29.718562+08:00</t>
        </is>
      </c>
      <c r="AW447" s="14" t="inlineStr">
        <is>
          <t>Titan007/V4</t>
        </is>
      </c>
      <c r="AX447" s="14" t="inlineStr">
        <is>
          <t>Daily append；市场输入缺失时不生成决策</t>
        </is>
      </c>
      <c r="AY447" s="14" t="n"/>
    </row>
    <row r="448" ht="22" customHeight="1" s="39">
      <c r="A448" s="14" t="inlineStr">
        <is>
          <t>2026-10-06</t>
        </is>
      </c>
      <c r="B448" s="14" t="inlineStr">
        <is>
          <t>2026-10-06T15:30:00+08:00</t>
        </is>
      </c>
      <c r="C448" s="14" t="n"/>
      <c r="D448" s="14" t="n"/>
      <c r="E448" s="14" t="inlineStr">
        <is>
          <t>中冠</t>
        </is>
      </c>
      <c r="F448" s="14" t="inlineStr">
        <is>
          <t>新疆金盾 vs 榆林矿工旅投</t>
        </is>
      </c>
      <c r="G448" s="26" t="n">
        <v>0.59</v>
      </c>
      <c r="H448" s="26" t="n">
        <v>-1.5</v>
      </c>
      <c r="I448" s="26" t="n">
        <v>1.16</v>
      </c>
      <c r="J448" s="26" t="inlineStr">
        <is>
          <t>0.59/-1.5/1.16</t>
        </is>
      </c>
      <c r="K448" s="14" t="inlineStr">
        <is>
          <t>V4-C</t>
        </is>
      </c>
      <c r="L448" s="14" t="inlineStr">
        <is>
          <t>新疆金盾</t>
        </is>
      </c>
      <c r="M448" s="47" t="n">
        <v>0.004613223834342925</v>
      </c>
      <c r="N448" s="14" t="inlineStr">
        <is>
          <t>V4 Shadow Only；real_money=false</t>
        </is>
      </c>
      <c r="O448" s="14" t="inlineStr">
        <is>
          <t>0-3</t>
        </is>
      </c>
      <c r="P448" s="14" t="inlineStr">
        <is>
          <t>已结算</t>
        </is>
      </c>
      <c r="Q448" s="14" t="inlineStr">
        <is>
          <t>黑</t>
        </is>
      </c>
      <c r="R448" s="48" t="n">
        <v>0.59</v>
      </c>
      <c r="S448" s="48" t="n">
        <v>-1</v>
      </c>
      <c r="T448" s="14" t="inlineStr">
        <is>
          <t>D:\codex\outputs\football_odds_trader\decision_versions\2026-10-06\RUN_20261006_084027\slate_raw.csv</t>
        </is>
      </c>
      <c r="U448" s="14" t="n"/>
      <c r="V448" s="48" t="n"/>
      <c r="W448" s="48" t="n"/>
      <c r="X448" s="14" t="inlineStr">
        <is>
          <t>3099064</t>
        </is>
      </c>
      <c r="Y448" s="14" t="inlineStr">
        <is>
          <t>V4</t>
        </is>
      </c>
      <c r="Z448" s="14" t="inlineStr">
        <is>
          <t>prior-2026-10-06-v1</t>
        </is>
      </c>
      <c r="AA448" s="14" t="inlineStr">
        <is>
          <t>C</t>
        </is>
      </c>
      <c r="AB448" s="14" t="n">
        <v>0.004613223834342925</v>
      </c>
      <c r="AC448" s="14" t="n">
        <v>0.9953867761656571</v>
      </c>
      <c r="AD448" s="14" t="n">
        <v>-2</v>
      </c>
      <c r="AE448" s="14" t="n">
        <v>0</v>
      </c>
      <c r="AF448" s="14" t="n">
        <v>0</v>
      </c>
      <c r="AG448" s="14" t="n">
        <v>0.5826649741033947</v>
      </c>
      <c r="AH448" s="14" t="n"/>
      <c r="AI448" s="14" t="n"/>
      <c r="AJ448" s="14" t="n">
        <v>0.5826649741033947</v>
      </c>
      <c r="AK448" s="14" t="n"/>
      <c r="AL448" s="14" t="n"/>
      <c r="AM448" s="14" t="inlineStr">
        <is>
          <t>EVALUATED</t>
        </is>
      </c>
      <c r="AN448" s="14" t="inlineStr">
        <is>
          <t>RECEIVING_VALIDATED_EDGE;BUCKET_PRIOR_ONLY;INTENT_INTERPRETATION_ONLY;FFL_OPTIONAL;EXPERT_MARKET</t>
        </is>
      </c>
      <c r="AO448" s="14" t="inlineStr">
        <is>
          <t>4c3fab4ffc7fd8b5321e</t>
        </is>
      </c>
      <c r="AP448" s="14" t="n">
        <v>1.5</v>
      </c>
      <c r="AQ448" s="14" t="n">
        <v>0.59</v>
      </c>
      <c r="AR448" s="14" t="n">
        <v>-1.5</v>
      </c>
      <c r="AS448" s="14" t="n">
        <v>1.5</v>
      </c>
      <c r="AT448" s="14" t="n">
        <v>0.59</v>
      </c>
      <c r="AU448" s="14" t="n">
        <v>1.16</v>
      </c>
      <c r="AV448" s="14" t="inlineStr">
        <is>
          <t>2026-10-06T08:45:29.718562+08:00</t>
        </is>
      </c>
      <c r="AW448" s="14" t="inlineStr">
        <is>
          <t>Titan007/V4</t>
        </is>
      </c>
      <c r="AX448" s="14" t="inlineStr">
        <is>
          <t>Daily append；市场输入缺失时不生成决策</t>
        </is>
      </c>
      <c r="AY448" s="14" t="n"/>
    </row>
    <row r="449" ht="22" customHeight="1" s="39">
      <c r="A449" s="14" t="inlineStr">
        <is>
          <t>2026-10-06</t>
        </is>
      </c>
      <c r="B449" s="14" t="inlineStr">
        <is>
          <t>2026-10-06T15:30:00+08:00</t>
        </is>
      </c>
      <c r="C449" s="14" t="n"/>
      <c r="D449" s="14" t="n"/>
      <c r="E449" s="14" t="inlineStr">
        <is>
          <t>中冠</t>
        </is>
      </c>
      <c r="F449" s="14" t="inlineStr">
        <is>
          <t>重庆瀚达 vs 吴川青年</t>
        </is>
      </c>
      <c r="G449" s="26" t="n">
        <v>0.58</v>
      </c>
      <c r="H449" s="26" t="n">
        <v>-1.5</v>
      </c>
      <c r="I449" s="26" t="n">
        <v>1.18</v>
      </c>
      <c r="J449" s="26" t="inlineStr">
        <is>
          <t>0.58/-1.5/1.18</t>
        </is>
      </c>
      <c r="K449" s="14" t="inlineStr">
        <is>
          <t>V4-C</t>
        </is>
      </c>
      <c r="L449" s="14" t="inlineStr">
        <is>
          <t>重庆瀚达</t>
        </is>
      </c>
      <c r="M449" s="47" t="n">
        <v>0.01118156103220455</v>
      </c>
      <c r="N449" s="14" t="inlineStr">
        <is>
          <t>V4 Shadow Only；real_money=false</t>
        </is>
      </c>
      <c r="O449" s="14" t="inlineStr">
        <is>
          <t>0-2</t>
        </is>
      </c>
      <c r="P449" s="14" t="inlineStr">
        <is>
          <t>已结算</t>
        </is>
      </c>
      <c r="Q449" s="14" t="inlineStr">
        <is>
          <t>黑</t>
        </is>
      </c>
      <c r="R449" s="48" t="n">
        <v>0.58</v>
      </c>
      <c r="S449" s="48" t="n">
        <v>-1</v>
      </c>
      <c r="T449" s="14" t="inlineStr">
        <is>
          <t>D:\codex\outputs\football_odds_trader\decision_versions\2026-10-06\RUN_20261006_084027\slate_raw.csv</t>
        </is>
      </c>
      <c r="U449" s="14" t="n"/>
      <c r="V449" s="48" t="n"/>
      <c r="W449" s="48" t="n"/>
      <c r="X449" s="14" t="inlineStr">
        <is>
          <t>3099066</t>
        </is>
      </c>
      <c r="Y449" s="14" t="inlineStr">
        <is>
          <t>V4</t>
        </is>
      </c>
      <c r="Z449" s="14" t="inlineStr">
        <is>
          <t>prior-2026-10-06-v1</t>
        </is>
      </c>
      <c r="AA449" s="14" t="inlineStr">
        <is>
          <t>C</t>
        </is>
      </c>
      <c r="AB449" s="14" t="n">
        <v>0.01118156103220455</v>
      </c>
      <c r="AC449" s="14" t="n">
        <v>0.9888184389677955</v>
      </c>
      <c r="AD449" s="14" t="n">
        <v>-1.75</v>
      </c>
      <c r="AE449" s="14" t="n">
        <v>0</v>
      </c>
      <c r="AF449" s="14" t="n">
        <v>0</v>
      </c>
      <c r="AG449" s="14" t="n">
        <v>0.5623331335691167</v>
      </c>
      <c r="AH449" s="14" t="n"/>
      <c r="AI449" s="14" t="n"/>
      <c r="AJ449" s="14" t="n">
        <v>0.5623331335691167</v>
      </c>
      <c r="AK449" s="14" t="n"/>
      <c r="AL449" s="14" t="n"/>
      <c r="AM449" s="14" t="inlineStr">
        <is>
          <t>EVALUATED</t>
        </is>
      </c>
      <c r="AN449" s="14" t="inlineStr">
        <is>
          <t>RECEIVING_VALIDATED_EDGE;BUCKET_PRIOR_ONLY;INTENT_INTERPRETATION_ONLY;FFL_OPTIONAL;EXPERT_MARKET</t>
        </is>
      </c>
      <c r="AO449" s="14" t="inlineStr">
        <is>
          <t>4e4d3f4b02e0e7b72e4c</t>
        </is>
      </c>
      <c r="AP449" s="14" t="n">
        <v>1.5</v>
      </c>
      <c r="AQ449" s="14" t="n">
        <v>0.58</v>
      </c>
      <c r="AR449" s="14" t="n">
        <v>-1.5</v>
      </c>
      <c r="AS449" s="14" t="n">
        <v>1.5</v>
      </c>
      <c r="AT449" s="14" t="n">
        <v>0.58</v>
      </c>
      <c r="AU449" s="14" t="n">
        <v>1.18</v>
      </c>
      <c r="AV449" s="14" t="inlineStr">
        <is>
          <t>2026-10-06T08:45:29.718562+08:00</t>
        </is>
      </c>
      <c r="AW449" s="14" t="inlineStr">
        <is>
          <t>Titan007/V4</t>
        </is>
      </c>
      <c r="AX449" s="14" t="inlineStr">
        <is>
          <t>Daily append；市场输入缺失时不生成决策</t>
        </is>
      </c>
      <c r="AY449" s="14" t="n"/>
    </row>
    <row r="450" ht="22" customHeight="1" s="39">
      <c r="A450" s="14" t="inlineStr">
        <is>
          <t>2026-10-06</t>
        </is>
      </c>
      <c r="B450" s="14" t="inlineStr">
        <is>
          <t>2026-10-06T17:00:00+08:00</t>
        </is>
      </c>
      <c r="C450" s="14" t="n"/>
      <c r="D450" s="14" t="n"/>
      <c r="E450" s="14" t="inlineStr">
        <is>
          <t>加尔联</t>
        </is>
      </c>
      <c r="F450" s="14" t="inlineStr">
        <is>
          <t>维多利亚SC vs 英海军</t>
        </is>
      </c>
      <c r="G450" s="26" t="n">
        <v>0.9</v>
      </c>
      <c r="H450" s="26" t="n">
        <v>-1.75</v>
      </c>
      <c r="I450" s="26" t="n">
        <v>0.9</v>
      </c>
      <c r="J450" s="26" t="inlineStr">
        <is>
          <t>0.9/-1.75/0.9</t>
        </is>
      </c>
      <c r="K450" s="14" t="inlineStr">
        <is>
          <t>V4-C</t>
        </is>
      </c>
      <c r="L450" s="14" t="inlineStr">
        <is>
          <t>维多利亚SC</t>
        </is>
      </c>
      <c r="M450" s="47" t="n">
        <v>0.0005468388904618817</v>
      </c>
      <c r="N450" s="14" t="inlineStr">
        <is>
          <t>V4 Shadow Only；real_money=false</t>
        </is>
      </c>
      <c r="O450" s="14" t="inlineStr">
        <is>
          <t>0-1</t>
        </is>
      </c>
      <c r="P450" s="14" t="inlineStr">
        <is>
          <t>已结算</t>
        </is>
      </c>
      <c r="Q450" s="14" t="inlineStr">
        <is>
          <t>红</t>
        </is>
      </c>
      <c r="R450" s="48" t="n">
        <v>0.9</v>
      </c>
      <c r="S450" s="48" t="n">
        <v>0.9</v>
      </c>
      <c r="T450" s="14" t="inlineStr">
        <is>
          <t>D:\codex\outputs\football_odds_trader\decision_versions\2026-10-06\RUN_20261006_084027\slate_raw.csv</t>
        </is>
      </c>
      <c r="U450" s="14" t="n"/>
      <c r="V450" s="48" t="n"/>
      <c r="W450" s="48" t="n"/>
      <c r="X450" s="14" t="inlineStr">
        <is>
          <t>3099092</t>
        </is>
      </c>
      <c r="Y450" s="14" t="inlineStr">
        <is>
          <t>V4</t>
        </is>
      </c>
      <c r="Z450" s="14" t="inlineStr">
        <is>
          <t>prior-2026-10-06-v1</t>
        </is>
      </c>
      <c r="AA450" s="14" t="inlineStr">
        <is>
          <t>C</t>
        </is>
      </c>
      <c r="AB450" s="14" t="n">
        <v>0.0005468388904618817</v>
      </c>
      <c r="AC450" s="14" t="n">
        <v>0.9989593682602167</v>
      </c>
      <c r="AD450" s="14" t="n">
        <v>-2.5</v>
      </c>
      <c r="AE450" s="14" t="n">
        <v>0</v>
      </c>
      <c r="AF450" s="14" t="n">
        <v>0</v>
      </c>
      <c r="AG450" s="14" t="n">
        <v>0.8985165925437332</v>
      </c>
      <c r="AH450" s="14" t="n"/>
      <c r="AI450" s="14" t="n"/>
      <c r="AJ450" s="14" t="n">
        <v>0.8985165925437332</v>
      </c>
      <c r="AK450" s="14" t="n"/>
      <c r="AL450" s="14" t="n"/>
      <c r="AM450" s="14" t="inlineStr">
        <is>
          <t>EVALUATED</t>
        </is>
      </c>
      <c r="AN450" s="14" t="inlineStr">
        <is>
          <t>RECEIVING_VALIDATED_EDGE;BUCKET_PRIOR_ONLY;INTENT_INTERPRETATION_ONLY;FFL_OPTIONAL;EXPERT_MARKET</t>
        </is>
      </c>
      <c r="AO450" s="14" t="inlineStr">
        <is>
          <t>691b97f5391004f53916</t>
        </is>
      </c>
      <c r="AP450" s="14" t="n">
        <v>1.75</v>
      </c>
      <c r="AQ450" s="14" t="n">
        <v>0.9</v>
      </c>
      <c r="AR450" s="14" t="n">
        <v>-1.75</v>
      </c>
      <c r="AS450" s="14" t="n">
        <v>1.75</v>
      </c>
      <c r="AT450" s="14" t="n">
        <v>0.9</v>
      </c>
      <c r="AU450" s="14" t="n">
        <v>0.9</v>
      </c>
      <c r="AV450" s="14" t="inlineStr">
        <is>
          <t>2026-10-06T08:45:29.718562+08:00</t>
        </is>
      </c>
      <c r="AW450" s="14" t="inlineStr">
        <is>
          <t>Titan007/V4</t>
        </is>
      </c>
      <c r="AX450" s="14" t="inlineStr">
        <is>
          <t>Daily append；市场输入缺失时不生成决策</t>
        </is>
      </c>
      <c r="AY450" s="14" t="n"/>
    </row>
    <row r="451" ht="22" customHeight="1" s="39">
      <c r="A451" s="14" t="inlineStr">
        <is>
          <t>2026-10-06</t>
        </is>
      </c>
      <c r="B451" s="14" t="inlineStr">
        <is>
          <t>2026-10-07T02:45:00+08:00</t>
        </is>
      </c>
      <c r="C451" s="14" t="inlineStr">
        <is>
          <t>CLUB_CUP</t>
        </is>
      </c>
      <c r="D451" s="14" t="n"/>
      <c r="E451" s="14" t="inlineStr">
        <is>
          <t>英足总杯</t>
        </is>
      </c>
      <c r="F451" s="14" t="inlineStr">
        <is>
          <t>云吉特 vs 巴福特城</t>
        </is>
      </c>
      <c r="G451" s="26" t="n">
        <v>0.88</v>
      </c>
      <c r="H451" s="26" t="n">
        <v>-0.25</v>
      </c>
      <c r="I451" s="26" t="n">
        <v>0.93</v>
      </c>
      <c r="J451" s="26" t="inlineStr">
        <is>
          <t>0.88/-0.25/0.93</t>
        </is>
      </c>
      <c r="K451" s="14" t="inlineStr">
        <is>
          <t>V4-B</t>
        </is>
      </c>
      <c r="L451" s="14" t="inlineStr">
        <is>
          <t>云吉特</t>
        </is>
      </c>
      <c r="M451" s="47" t="n">
        <v>0.2929624594200204</v>
      </c>
      <c r="N451" s="14" t="inlineStr">
        <is>
          <t>V4 Shadow Only；real_money=false</t>
        </is>
      </c>
      <c r="O451" s="14" t="inlineStr">
        <is>
          <t>1-3</t>
        </is>
      </c>
      <c r="P451" s="14" t="inlineStr">
        <is>
          <t>已结算</t>
        </is>
      </c>
      <c r="Q451" s="14" t="inlineStr">
        <is>
          <t>黑</t>
        </is>
      </c>
      <c r="R451" s="48" t="n">
        <v>0.88</v>
      </c>
      <c r="S451" s="48" t="n">
        <v>-1</v>
      </c>
      <c r="T451" s="14" t="inlineStr">
        <is>
          <t>D:\codex\outputs\football_odds_trader\decision_versions\2026-10-06\RUN_20261006_084027\slate_raw.csv</t>
        </is>
      </c>
      <c r="U451" s="14" t="n"/>
      <c r="V451" s="48" t="n"/>
      <c r="W451" s="48" t="n"/>
      <c r="X451" s="14" t="inlineStr">
        <is>
          <t>3099101</t>
        </is>
      </c>
      <c r="Y451" s="14" t="inlineStr">
        <is>
          <t>V4</t>
        </is>
      </c>
      <c r="Z451" s="14" t="inlineStr">
        <is>
          <t>prior-2026-10-06-v1</t>
        </is>
      </c>
      <c r="AA451" s="14" t="inlineStr">
        <is>
          <t>B</t>
        </is>
      </c>
      <c r="AB451" s="14" t="n">
        <v>0.2929624594200204</v>
      </c>
      <c r="AC451" s="14" t="n">
        <v>0.5776823068358863</v>
      </c>
      <c r="AD451" s="14" t="n">
        <v>-0.25</v>
      </c>
      <c r="AE451" s="14" t="n">
        <v>0</v>
      </c>
      <c r="AF451" s="14" t="n">
        <v>0</v>
      </c>
      <c r="AG451" s="14" t="n">
        <v>0.2153979705955595</v>
      </c>
      <c r="AH451" s="14" t="n"/>
      <c r="AI451" s="14" t="n"/>
      <c r="AJ451" s="14" t="n">
        <v>0.2153979705955595</v>
      </c>
      <c r="AK451" s="14" t="n"/>
      <c r="AL451" s="14" t="n"/>
      <c r="AM451" s="14" t="inlineStr">
        <is>
          <t>EVALUATED</t>
        </is>
      </c>
      <c r="AN451" s="14" t="inlineStr">
        <is>
          <t>RECEIVING_VALIDATED_EDGE;BUCKET_PRIOR_ONLY;INTENT_INTERPRETATION_ONLY;FFL_OPTIONAL;EXPERT_MARKET</t>
        </is>
      </c>
      <c r="AO451" s="14" t="inlineStr">
        <is>
          <t>4fd483270d8c4035d4cf</t>
        </is>
      </c>
      <c r="AP451" s="14" t="n">
        <v>0.25</v>
      </c>
      <c r="AQ451" s="14" t="n">
        <v>0.88</v>
      </c>
      <c r="AR451" s="14" t="n">
        <v>-0.25</v>
      </c>
      <c r="AS451" s="14" t="n">
        <v>0.25</v>
      </c>
      <c r="AT451" s="14" t="n">
        <v>0.88</v>
      </c>
      <c r="AU451" s="14" t="n">
        <v>0.93</v>
      </c>
      <c r="AV451" s="14" t="inlineStr">
        <is>
          <t>2026-10-06T08:45:29.718562+08:00</t>
        </is>
      </c>
      <c r="AW451" s="14" t="inlineStr">
        <is>
          <t>Titan007/V4</t>
        </is>
      </c>
      <c r="AX451" s="14" t="inlineStr">
        <is>
          <t>Daily append；市场输入缺失时不生成决策</t>
        </is>
      </c>
      <c r="AY451" s="14" t="n"/>
    </row>
    <row r="452" ht="22" customHeight="1" s="39">
      <c r="A452" s="14" t="inlineStr">
        <is>
          <t>2026-10-06</t>
        </is>
      </c>
      <c r="B452" s="14" t="inlineStr">
        <is>
          <t>2026-10-07T02:45:00+08:00</t>
        </is>
      </c>
      <c r="C452" s="14" t="inlineStr">
        <is>
          <t>CLUB_CUP</t>
        </is>
      </c>
      <c r="D452" s="14" t="n"/>
      <c r="E452" s="14" t="inlineStr">
        <is>
          <t>英足总杯</t>
        </is>
      </c>
      <c r="F452" s="14" t="inlineStr">
        <is>
          <t>史卡保罗夫 vs 马科斯菲尔德</t>
        </is>
      </c>
      <c r="G452" s="26" t="n">
        <v>0.78</v>
      </c>
      <c r="H452" s="26" t="n">
        <v>-0.25</v>
      </c>
      <c r="I452" s="26" t="n">
        <v>1.03</v>
      </c>
      <c r="J452" s="26" t="inlineStr">
        <is>
          <t>0.78/-0.25/1.03</t>
        </is>
      </c>
      <c r="K452" s="14" t="inlineStr">
        <is>
          <t>V4-B</t>
        </is>
      </c>
      <c r="L452" s="14" t="inlineStr">
        <is>
          <t>史卡保罗夫</t>
        </is>
      </c>
      <c r="M452" s="47" t="n">
        <v>0.3261126752687646</v>
      </c>
      <c r="N452" s="14" t="inlineStr">
        <is>
          <t>V4 Shadow Only；real_money=false</t>
        </is>
      </c>
      <c r="O452" s="14" t="inlineStr">
        <is>
          <t>1-1</t>
        </is>
      </c>
      <c r="P452" s="14" t="inlineStr">
        <is>
          <t>已结算</t>
        </is>
      </c>
      <c r="Q452" s="14" t="inlineStr">
        <is>
          <t>半红</t>
        </is>
      </c>
      <c r="R452" s="48" t="n">
        <v>0.78</v>
      </c>
      <c r="S452" s="48" t="n">
        <v>0.39</v>
      </c>
      <c r="T452" s="14" t="inlineStr">
        <is>
          <t>D:\codex\outputs\football_odds_trader\decision_versions\2026-10-06\RUN_20261006_084027\slate_raw.csv</t>
        </is>
      </c>
      <c r="U452" s="14" t="n"/>
      <c r="V452" s="48" t="n"/>
      <c r="W452" s="48" t="n"/>
      <c r="X452" s="14" t="inlineStr">
        <is>
          <t>3099103</t>
        </is>
      </c>
      <c r="Y452" s="14" t="inlineStr">
        <is>
          <t>V4</t>
        </is>
      </c>
      <c r="Z452" s="14" t="inlineStr">
        <is>
          <t>prior-2026-10-06-v1</t>
        </is>
      </c>
      <c r="AA452" s="14" t="inlineStr">
        <is>
          <t>B</t>
        </is>
      </c>
      <c r="AB452" s="14" t="n">
        <v>0.3261126752687646</v>
      </c>
      <c r="AC452" s="14" t="n">
        <v>0.5428050394327361</v>
      </c>
      <c r="AD452" s="14" t="n">
        <v>-0.25</v>
      </c>
      <c r="AE452" s="14" t="n">
        <v>0</v>
      </c>
      <c r="AF452" s="14" t="n">
        <v>0</v>
      </c>
      <c r="AG452" s="14" t="n">
        <v>0.09727525548876959</v>
      </c>
      <c r="AH452" s="14" t="n"/>
      <c r="AI452" s="14" t="n"/>
      <c r="AJ452" s="14" t="n">
        <v>0.09727525548876959</v>
      </c>
      <c r="AK452" s="14" t="n"/>
      <c r="AL452" s="14" t="n"/>
      <c r="AM452" s="14" t="inlineStr">
        <is>
          <t>EVALUATED</t>
        </is>
      </c>
      <c r="AN452" s="14" t="inlineStr">
        <is>
          <t>RECEIVING_VALIDATED_EDGE;BUCKET_PRIOR_ONLY;INTENT_INTERPRETATION_ONLY;FFL_OPTIONAL;EXPERT_MARKET</t>
        </is>
      </c>
      <c r="AO452" s="14" t="inlineStr">
        <is>
          <t>c0985f600536f76f607b</t>
        </is>
      </c>
      <c r="AP452" s="14" t="n">
        <v>0.25</v>
      </c>
      <c r="AQ452" s="14" t="n">
        <v>0.78</v>
      </c>
      <c r="AR452" s="14" t="n">
        <v>-0.25</v>
      </c>
      <c r="AS452" s="14" t="n">
        <v>0.25</v>
      </c>
      <c r="AT452" s="14" t="n">
        <v>0.78</v>
      </c>
      <c r="AU452" s="14" t="n">
        <v>1.03</v>
      </c>
      <c r="AV452" s="14" t="inlineStr">
        <is>
          <t>2026-10-06T08:45:29.718562+08:00</t>
        </is>
      </c>
      <c r="AW452" s="14" t="inlineStr">
        <is>
          <t>Titan007/V4</t>
        </is>
      </c>
      <c r="AX452" s="14" t="inlineStr">
        <is>
          <t>Daily append；市场输入缺失时不生成决策</t>
        </is>
      </c>
      <c r="AY452" s="14" t="n"/>
    </row>
    <row r="453" ht="22" customHeight="1" s="39">
      <c r="A453" s="14" t="inlineStr">
        <is>
          <t>2026-10-06</t>
        </is>
      </c>
      <c r="B453" s="14" t="inlineStr">
        <is>
          <t>2026-10-06T18:30:00+08:00</t>
        </is>
      </c>
      <c r="C453" s="14" t="n"/>
      <c r="D453" s="14" t="n"/>
      <c r="E453" s="14" t="inlineStr">
        <is>
          <t>巴拉后备</t>
        </is>
      </c>
      <c r="F453" s="14" t="inlineStr">
        <is>
          <t>瓜拉尼后备队 vs 圣罗伦索体育会后备队</t>
        </is>
      </c>
      <c r="G453" s="26" t="n">
        <v>0.95</v>
      </c>
      <c r="H453" s="26" t="n">
        <v>3.5</v>
      </c>
      <c r="I453" s="26" t="n">
        <v>0.85</v>
      </c>
      <c r="J453" s="26" t="inlineStr">
        <is>
          <t>0.95/3.5/0.85</t>
        </is>
      </c>
      <c r="K453" s="14" t="inlineStr">
        <is>
          <t>V4-C</t>
        </is>
      </c>
      <c r="L453" s="14" t="inlineStr">
        <is>
          <t>圣罗伦索体育会后备队</t>
        </is>
      </c>
      <c r="M453" s="47" t="n">
        <v>0.3211118365820502</v>
      </c>
      <c r="N453" s="14" t="inlineStr">
        <is>
          <t>V4 Shadow Only；real_money=false</t>
        </is>
      </c>
      <c r="O453" s="14" t="inlineStr">
        <is>
          <t>3-1</t>
        </is>
      </c>
      <c r="P453" s="14" t="inlineStr">
        <is>
          <t>已结算</t>
        </is>
      </c>
      <c r="Q453" s="14" t="inlineStr">
        <is>
          <t>红</t>
        </is>
      </c>
      <c r="R453" s="48" t="n">
        <v>0.85</v>
      </c>
      <c r="S453" s="48" t="n">
        <v>0.85</v>
      </c>
      <c r="T453" s="14" t="inlineStr">
        <is>
          <t>D:\codex\outputs\football_odds_trader\decision_versions\2026-10-06\RUN_20261006_084027\slate_raw.csv</t>
        </is>
      </c>
      <c r="U453" s="14" t="n"/>
      <c r="V453" s="48" t="n"/>
      <c r="W453" s="48" t="n"/>
      <c r="X453" s="14" t="inlineStr">
        <is>
          <t>3099121</t>
        </is>
      </c>
      <c r="Y453" s="14" t="inlineStr">
        <is>
          <t>V4</t>
        </is>
      </c>
      <c r="Z453" s="14" t="inlineStr">
        <is>
          <t>prior-2026-10-06-v1</t>
        </is>
      </c>
      <c r="AA453" s="14" t="inlineStr">
        <is>
          <t>C</t>
        </is>
      </c>
      <c r="AB453" s="14" t="n">
        <v>0.3211118365820502</v>
      </c>
      <c r="AC453" s="14" t="n">
        <v>0.6788881634179498</v>
      </c>
      <c r="AD453" s="14" t="n">
        <v>3</v>
      </c>
      <c r="AE453" s="14" t="n"/>
      <c r="AF453" s="14" t="n"/>
      <c r="AG453" s="14" t="n">
        <v>0.2559431023232071</v>
      </c>
      <c r="AH453" s="14" t="n"/>
      <c r="AI453" s="14" t="n"/>
      <c r="AJ453" s="14" t="n">
        <v>0.2559431023232071</v>
      </c>
      <c r="AK453" s="14" t="n"/>
      <c r="AL453" s="14" t="n"/>
      <c r="AM453" s="14" t="inlineStr">
        <is>
          <t>EVALUATED</t>
        </is>
      </c>
      <c r="AN453" s="14" t="inlineStr">
        <is>
          <t>RECEIVING_VALIDATED_EDGE;BUCKET_PRIOR_ONLY;INTENT_INTERPRETATION_ONLY;FFL_OPTIONAL;EXPERT_MARKET</t>
        </is>
      </c>
      <c r="AO453" s="14" t="inlineStr">
        <is>
          <t>508aa309b4e091b1660a</t>
        </is>
      </c>
      <c r="AP453" s="14" t="n">
        <v>3.5</v>
      </c>
      <c r="AQ453" s="14" t="n">
        <v>0.85</v>
      </c>
      <c r="AR453" s="14" t="n">
        <v>3.5</v>
      </c>
      <c r="AS453" s="14" t="n">
        <v>-3.5</v>
      </c>
      <c r="AT453" s="14" t="n">
        <v>0.95</v>
      </c>
      <c r="AU453" s="14" t="n">
        <v>0.85</v>
      </c>
      <c r="AV453" s="14" t="inlineStr">
        <is>
          <t>2026-10-06T08:45:29.718562+08:00</t>
        </is>
      </c>
      <c r="AW453" s="14" t="inlineStr">
        <is>
          <t>Titan007/V4</t>
        </is>
      </c>
      <c r="AX453" s="14" t="inlineStr">
        <is>
          <t>Daily append；市场输入缺失时不生成决策</t>
        </is>
      </c>
      <c r="AY453" s="14" t="n"/>
    </row>
    <row r="454" ht="22" customHeight="1" s="39">
      <c r="A454" s="14" t="inlineStr">
        <is>
          <t>2026-10-06</t>
        </is>
      </c>
      <c r="B454" s="14" t="inlineStr">
        <is>
          <t>2026-10-07T02:00:00+08:00</t>
        </is>
      </c>
      <c r="C454" s="14" t="n"/>
      <c r="D454" s="14" t="n"/>
      <c r="E454" s="14" t="inlineStr">
        <is>
          <t>海湾运</t>
        </is>
      </c>
      <c r="F454" s="14" t="inlineStr">
        <is>
          <t>沙特阿拉伯 vs 阿联酋</t>
        </is>
      </c>
      <c r="G454" s="26" t="n">
        <v>1.04</v>
      </c>
      <c r="H454" s="26" t="n">
        <v>0.25</v>
      </c>
      <c r="I454" s="26" t="n">
        <v>0.78</v>
      </c>
      <c r="J454" s="26" t="inlineStr">
        <is>
          <t>1.04/0.25/0.78</t>
        </is>
      </c>
      <c r="K454" s="14" t="inlineStr">
        <is>
          <t>V4-C</t>
        </is>
      </c>
      <c r="L454" s="14" t="inlineStr">
        <is>
          <t>沙特阿拉伯</t>
        </is>
      </c>
      <c r="M454" s="47" t="n">
        <v>0.4564031058912239</v>
      </c>
      <c r="N454" s="14" t="inlineStr">
        <is>
          <t>V4 Shadow Only；real_money=false</t>
        </is>
      </c>
      <c r="O454" s="14" t="inlineStr">
        <is>
          <t>2-0</t>
        </is>
      </c>
      <c r="P454" s="14" t="inlineStr">
        <is>
          <t>已结算</t>
        </is>
      </c>
      <c r="Q454" s="14" t="inlineStr">
        <is>
          <t>红</t>
        </is>
      </c>
      <c r="R454" s="48" t="n">
        <v>1.04</v>
      </c>
      <c r="S454" s="48" t="n">
        <v>1.04</v>
      </c>
      <c r="T454" s="14" t="inlineStr">
        <is>
          <t>D:\codex\outputs\football_odds_trader\decision_versions\2026-10-06\RUN_20261006_084027\slate_raw.csv</t>
        </is>
      </c>
      <c r="U454" s="14" t="n"/>
      <c r="V454" s="48" t="n"/>
      <c r="W454" s="48" t="n"/>
      <c r="X454" s="14" t="inlineStr">
        <is>
          <t>3099123</t>
        </is>
      </c>
      <c r="Y454" s="14" t="inlineStr">
        <is>
          <t>V4</t>
        </is>
      </c>
      <c r="Z454" s="14" t="inlineStr">
        <is>
          <t>prior-2026-10-06-v1</t>
        </is>
      </c>
      <c r="AA454" s="14" t="inlineStr">
        <is>
          <t>C</t>
        </is>
      </c>
      <c r="AB454" s="14" t="n">
        <v>0.4564031058912239</v>
      </c>
      <c r="AC454" s="14" t="n">
        <v>0.4129234643742429</v>
      </c>
      <c r="AD454" s="14" t="n">
        <v>0.25</v>
      </c>
      <c r="AE454" s="14" t="n"/>
      <c r="AF454" s="14" t="n"/>
      <c r="AG454" s="14" t="n">
        <v>0.06173576575263001</v>
      </c>
      <c r="AH454" s="14" t="n"/>
      <c r="AI454" s="14" t="n"/>
      <c r="AJ454" s="14" t="n">
        <v>0.06173576575263001</v>
      </c>
      <c r="AK454" s="14" t="n"/>
      <c r="AL454" s="14" t="n"/>
      <c r="AM454" s="14" t="inlineStr">
        <is>
          <t>EVALUATED</t>
        </is>
      </c>
      <c r="AN454" s="14" t="inlineStr">
        <is>
          <t>GIVING_VALIDATED_EDGE;BUCKET_PRIOR_ONLY;INTENT_INTERPRETATION_ONLY;FFL_OPTIONAL;EXPERT_MARKET</t>
        </is>
      </c>
      <c r="AO454" s="14" t="inlineStr">
        <is>
          <t>1a603a87bcf2df8f1c09</t>
        </is>
      </c>
      <c r="AP454" s="14" t="n">
        <v>-0.25</v>
      </c>
      <c r="AQ454" s="14" t="n">
        <v>1.04</v>
      </c>
      <c r="AR454" s="14" t="n">
        <v>0.25</v>
      </c>
      <c r="AS454" s="14" t="n">
        <v>-0.25</v>
      </c>
      <c r="AT454" s="14" t="n">
        <v>1.04</v>
      </c>
      <c r="AU454" s="14" t="n">
        <v>0.78</v>
      </c>
      <c r="AV454" s="14" t="inlineStr">
        <is>
          <t>2026-10-06T08:45:29.718562+08:00</t>
        </is>
      </c>
      <c r="AW454" s="14" t="inlineStr">
        <is>
          <t>Titan007/V4</t>
        </is>
      </c>
      <c r="AX454" s="14" t="inlineStr">
        <is>
          <t>Daily append；市场输入缺失时不生成决策</t>
        </is>
      </c>
      <c r="AY454" s="14" t="n"/>
    </row>
    <row r="455" ht="22" customHeight="1" s="39">
      <c r="A455" s="14" t="inlineStr">
        <is>
          <t>2026-10-06</t>
        </is>
      </c>
      <c r="B455" s="14" t="inlineStr">
        <is>
          <t>2026-10-07T02:15:00+08:00</t>
        </is>
      </c>
      <c r="C455" s="14" t="n"/>
      <c r="D455" s="14" t="n"/>
      <c r="E455" s="14" t="inlineStr">
        <is>
          <t>挪威U19</t>
        </is>
      </c>
      <c r="F455" s="14" t="inlineStr">
        <is>
          <t>斯托曼B队U19 vs 耶德鲁姆U19</t>
        </is>
      </c>
      <c r="G455" s="26" t="n">
        <v>0.83</v>
      </c>
      <c r="H455" s="26" t="n">
        <v>1.25</v>
      </c>
      <c r="I455" s="26" t="n">
        <v>0.98</v>
      </c>
      <c r="J455" s="26" t="inlineStr">
        <is>
          <t>0.83/1.25/0.98</t>
        </is>
      </c>
      <c r="K455" s="14" t="inlineStr">
        <is>
          <t>V4-C</t>
        </is>
      </c>
      <c r="L455" s="14" t="inlineStr">
        <is>
          <t>耶德鲁姆U19</t>
        </is>
      </c>
      <c r="M455" s="47" t="n">
        <v>0.3615342814164066</v>
      </c>
      <c r="N455" s="14" t="inlineStr">
        <is>
          <t>V4 Shadow Only；real_money=false</t>
        </is>
      </c>
      <c r="O455" s="14" t="inlineStr">
        <is>
          <t>6-4</t>
        </is>
      </c>
      <c r="P455" s="14" t="inlineStr">
        <is>
          <t>已结算</t>
        </is>
      </c>
      <c r="Q455" s="14" t="inlineStr">
        <is>
          <t>黑</t>
        </is>
      </c>
      <c r="R455" s="48" t="n">
        <v>0.98</v>
      </c>
      <c r="S455" s="48" t="n">
        <v>-1</v>
      </c>
      <c r="T455" s="14" t="inlineStr">
        <is>
          <t>D:\codex\outputs\football_odds_trader\decision_versions\2026-10-06\RUN_20261006_084027\slate_raw.csv</t>
        </is>
      </c>
      <c r="U455" s="14" t="n"/>
      <c r="V455" s="48" t="n"/>
      <c r="W455" s="48" t="n"/>
      <c r="X455" s="14" t="inlineStr">
        <is>
          <t>3099857</t>
        </is>
      </c>
      <c r="Y455" s="14" t="inlineStr">
        <is>
          <t>V4</t>
        </is>
      </c>
      <c r="Z455" s="14" t="inlineStr">
        <is>
          <t>prior-2026-10-06-v1</t>
        </is>
      </c>
      <c r="AA455" s="14" t="inlineStr">
        <is>
          <t>C</t>
        </is>
      </c>
      <c r="AB455" s="14" t="n">
        <v>0.3615342814164066</v>
      </c>
      <c r="AC455" s="14" t="n">
        <v>0.5135400733699766</v>
      </c>
      <c r="AD455" s="14" t="n">
        <v>1</v>
      </c>
      <c r="AE455" s="14" t="n"/>
      <c r="AF455" s="14" t="n"/>
      <c r="AG455" s="14" t="n">
        <v>0.1417349904861704</v>
      </c>
      <c r="AH455" s="14" t="n"/>
      <c r="AI455" s="14" t="n"/>
      <c r="AJ455" s="14" t="n">
        <v>0.1417349904861704</v>
      </c>
      <c r="AK455" s="14" t="n"/>
      <c r="AL455" s="14" t="n"/>
      <c r="AM455" s="14" t="inlineStr">
        <is>
          <t>EVALUATED</t>
        </is>
      </c>
      <c r="AN455" s="14" t="inlineStr">
        <is>
          <t>RECEIVING_VALIDATED_EDGE;BUCKET_PRIOR_ONLY;INTENT_INTERPRETATION_ONLY;FFL_OPTIONAL;EXPERT_MARKET</t>
        </is>
      </c>
      <c r="AO455" s="14" t="inlineStr">
        <is>
          <t>74aa826bc85febe63fe8</t>
        </is>
      </c>
      <c r="AP455" s="14" t="n">
        <v>1.25</v>
      </c>
      <c r="AQ455" s="14" t="n">
        <v>0.98</v>
      </c>
      <c r="AR455" s="14" t="n">
        <v>1.25</v>
      </c>
      <c r="AS455" s="14" t="n">
        <v>-1.25</v>
      </c>
      <c r="AT455" s="14" t="n">
        <v>0.83</v>
      </c>
      <c r="AU455" s="14" t="n">
        <v>0.98</v>
      </c>
      <c r="AV455" s="14" t="inlineStr">
        <is>
          <t>2026-10-06T08:45:29.718562+08:00</t>
        </is>
      </c>
      <c r="AW455" s="14" t="inlineStr">
        <is>
          <t>Titan007/V4</t>
        </is>
      </c>
      <c r="AX455" s="14" t="inlineStr">
        <is>
          <t>Daily append；市场输入缺失时不生成决策</t>
        </is>
      </c>
      <c r="AY455" s="14" t="n"/>
    </row>
    <row r="456" ht="22" customHeight="1" s="39">
      <c r="A456" s="14" t="inlineStr">
        <is>
          <t>2026-10-06</t>
        </is>
      </c>
      <c r="B456" s="14" t="inlineStr">
        <is>
          <t>2026-10-06T23:00:00+08:00</t>
        </is>
      </c>
      <c r="C456" s="14" t="n"/>
      <c r="D456" s="14" t="n"/>
      <c r="E456" s="14" t="inlineStr">
        <is>
          <t>哥伦地区</t>
        </is>
      </c>
      <c r="F456" s="14" t="inlineStr">
        <is>
          <t>奥林匹亚青年竞技俱乐部 vs 旧磨坊</t>
        </is>
      </c>
      <c r="G456" s="26" t="n">
        <v>1</v>
      </c>
      <c r="H456" s="26" t="n">
        <v>-1</v>
      </c>
      <c r="I456" s="26" t="n">
        <v>0.8</v>
      </c>
      <c r="J456" s="26" t="inlineStr">
        <is>
          <t>1.0/-1.0/0.8</t>
        </is>
      </c>
      <c r="K456" s="14" t="inlineStr">
        <is>
          <t>V4-C</t>
        </is>
      </c>
      <c r="L456" s="14" t="inlineStr">
        <is>
          <t>奥林匹亚青年竞技俱乐部</t>
        </is>
      </c>
      <c r="M456" s="47" t="n">
        <v>0.0264098063435529</v>
      </c>
      <c r="N456" s="14" t="inlineStr">
        <is>
          <t>V4 Shadow Only；real_money=false</t>
        </is>
      </c>
      <c r="O456" s="14" t="inlineStr">
        <is>
          <t>1-1</t>
        </is>
      </c>
      <c r="P456" s="14" t="inlineStr">
        <is>
          <t>已结算</t>
        </is>
      </c>
      <c r="Q456" s="14" t="inlineStr">
        <is>
          <t>红</t>
        </is>
      </c>
      <c r="R456" s="48" t="n">
        <v>1</v>
      </c>
      <c r="S456" s="48" t="n">
        <v>1</v>
      </c>
      <c r="T456" s="14" t="inlineStr">
        <is>
          <t>D:\codex\outputs\football_odds_trader\decision_versions\2026-10-06\RUN_20261006_084027\slate_raw.csv</t>
        </is>
      </c>
      <c r="U456" s="14" t="n"/>
      <c r="V456" s="48" t="n"/>
      <c r="W456" s="48" t="n"/>
      <c r="X456" s="14" t="inlineStr">
        <is>
          <t>3099865</t>
        </is>
      </c>
      <c r="Y456" s="14" t="inlineStr">
        <is>
          <t>V4</t>
        </is>
      </c>
      <c r="Z456" s="14" t="inlineStr">
        <is>
          <t>prior-2026-10-06-v1</t>
        </is>
      </c>
      <c r="AA456" s="14" t="inlineStr">
        <is>
          <t>C</t>
        </is>
      </c>
      <c r="AB456" s="14" t="n">
        <v>0.0264098063435529</v>
      </c>
      <c r="AC456" s="14" t="n">
        <v>0.8930517385422732</v>
      </c>
      <c r="AD456" s="14" t="n">
        <v>-1.5</v>
      </c>
      <c r="AE456" s="14" t="n">
        <v>0</v>
      </c>
      <c r="AF456" s="14" t="n">
        <v>0</v>
      </c>
      <c r="AG456" s="14" t="n">
        <v>0.8666419321987202</v>
      </c>
      <c r="AH456" s="14" t="n"/>
      <c r="AI456" s="14" t="n"/>
      <c r="AJ456" s="14" t="n">
        <v>0.8666419321987202</v>
      </c>
      <c r="AK456" s="14" t="n"/>
      <c r="AL456" s="14" t="n"/>
      <c r="AM456" s="14" t="inlineStr">
        <is>
          <t>EVALUATED</t>
        </is>
      </c>
      <c r="AN456" s="14" t="inlineStr">
        <is>
          <t>RECEIVING_VALIDATED_EDGE;BUCKET_PRIOR_ONLY;INTENT_INTERPRETATION_ONLY;FFL_OPTIONAL;EXPERT_MARKET</t>
        </is>
      </c>
      <c r="AO456" s="14" t="inlineStr">
        <is>
          <t>b5cf553c76c1002f493e</t>
        </is>
      </c>
      <c r="AP456" s="14" t="n">
        <v>1</v>
      </c>
      <c r="AQ456" s="14" t="n">
        <v>1</v>
      </c>
      <c r="AR456" s="14" t="n">
        <v>-1</v>
      </c>
      <c r="AS456" s="14" t="n">
        <v>1</v>
      </c>
      <c r="AT456" s="14" t="n">
        <v>1</v>
      </c>
      <c r="AU456" s="14" t="n">
        <v>0.8</v>
      </c>
      <c r="AV456" s="14" t="inlineStr">
        <is>
          <t>2026-10-06T08:45:29.718562+08:00</t>
        </is>
      </c>
      <c r="AW456" s="14" t="inlineStr">
        <is>
          <t>Titan007/V4</t>
        </is>
      </c>
      <c r="AX456" s="14" t="inlineStr">
        <is>
          <t>Daily append；市场输入缺失时不生成决策</t>
        </is>
      </c>
      <c r="AY456" s="14" t="n"/>
    </row>
    <row r="457" ht="22" customHeight="1" s="39">
      <c r="A457" s="14" t="inlineStr">
        <is>
          <t>2026-10-06</t>
        </is>
      </c>
      <c r="B457" s="14" t="inlineStr">
        <is>
          <t>2026-10-07T02:30:00+08:00</t>
        </is>
      </c>
      <c r="C457" s="14" t="n"/>
      <c r="D457" s="14" t="n"/>
      <c r="E457" s="14" t="inlineStr">
        <is>
          <t>巴青联</t>
        </is>
      </c>
      <c r="F457" s="14" t="inlineStr">
        <is>
          <t>阿巴迪亚U20 vs 卡内杜 U20</t>
        </is>
      </c>
      <c r="G457" s="26" t="n">
        <v>1</v>
      </c>
      <c r="H457" s="26" t="n">
        <v>-0.75</v>
      </c>
      <c r="I457" s="26" t="n">
        <v>0.8</v>
      </c>
      <c r="J457" s="26" t="inlineStr">
        <is>
          <t>1.0/-0.75/0.8</t>
        </is>
      </c>
      <c r="K457" s="14" t="inlineStr">
        <is>
          <t>V4-C</t>
        </is>
      </c>
      <c r="L457" s="14" t="inlineStr">
        <is>
          <t>阿巴迪亚U20</t>
        </is>
      </c>
      <c r="M457" s="47" t="n">
        <v>0.08756792386822046</v>
      </c>
      <c r="N457" s="14" t="inlineStr">
        <is>
          <t>V4 Shadow Only；real_money=false</t>
        </is>
      </c>
      <c r="O457" s="14" t="inlineStr">
        <is>
          <t>1-1</t>
        </is>
      </c>
      <c r="P457" s="14" t="inlineStr">
        <is>
          <t>已结算</t>
        </is>
      </c>
      <c r="Q457" s="14" t="inlineStr">
        <is>
          <t>红</t>
        </is>
      </c>
      <c r="R457" s="48" t="n">
        <v>1</v>
      </c>
      <c r="S457" s="48" t="n">
        <v>1</v>
      </c>
      <c r="T457" s="14" t="inlineStr">
        <is>
          <t>D:\codex\outputs\football_odds_trader\decision_versions\2026-10-06\RUN_20261006_084027\slate_raw.csv</t>
        </is>
      </c>
      <c r="U457" s="14" t="n"/>
      <c r="V457" s="48" t="n"/>
      <c r="W457" s="48" t="n"/>
      <c r="X457" s="14" t="inlineStr">
        <is>
          <t>3099866</t>
        </is>
      </c>
      <c r="Y457" s="14" t="inlineStr">
        <is>
          <t>V4</t>
        </is>
      </c>
      <c r="Z457" s="14" t="inlineStr">
        <is>
          <t>prior-2026-10-06-v1</t>
        </is>
      </c>
      <c r="AA457" s="14" t="inlineStr">
        <is>
          <t>C</t>
        </is>
      </c>
      <c r="AB457" s="14" t="n">
        <v>0.08756792386822046</v>
      </c>
      <c r="AC457" s="14" t="n">
        <v>0.862868907718197</v>
      </c>
      <c r="AD457" s="14" t="n">
        <v>-1.25</v>
      </c>
      <c r="AE457" s="14" t="n">
        <v>0</v>
      </c>
      <c r="AF457" s="14" t="n">
        <v>0</v>
      </c>
      <c r="AG457" s="14" t="n">
        <v>0.7753009838499766</v>
      </c>
      <c r="AH457" s="14" t="n"/>
      <c r="AI457" s="14" t="n"/>
      <c r="AJ457" s="14" t="n">
        <v>0.7753009838499766</v>
      </c>
      <c r="AK457" s="14" t="n"/>
      <c r="AL457" s="14" t="n"/>
      <c r="AM457" s="14" t="inlineStr">
        <is>
          <t>EVALUATED</t>
        </is>
      </c>
      <c r="AN457" s="14" t="inlineStr">
        <is>
          <t>RECEIVING_VALIDATED_EDGE;BUCKET_PRIOR_ONLY;INTENT_INTERPRETATION_ONLY;FFL_OPTIONAL;EXPERT_MARKET</t>
        </is>
      </c>
      <c r="AO457" s="14" t="inlineStr">
        <is>
          <t>b85020ce266ec9129248</t>
        </is>
      </c>
      <c r="AP457" s="14" t="n">
        <v>0.75</v>
      </c>
      <c r="AQ457" s="14" t="n">
        <v>1</v>
      </c>
      <c r="AR457" s="14" t="n">
        <v>-0.75</v>
      </c>
      <c r="AS457" s="14" t="n">
        <v>0.75</v>
      </c>
      <c r="AT457" s="14" t="n">
        <v>1</v>
      </c>
      <c r="AU457" s="14" t="n">
        <v>0.8</v>
      </c>
      <c r="AV457" s="14" t="inlineStr">
        <is>
          <t>2026-10-06T08:45:29.718562+08:00</t>
        </is>
      </c>
      <c r="AW457" s="14" t="inlineStr">
        <is>
          <t>Titan007/V4</t>
        </is>
      </c>
      <c r="AX457" s="14" t="inlineStr">
        <is>
          <t>Daily append；市场输入缺失时不生成决策</t>
        </is>
      </c>
      <c r="AY457" s="14" t="n"/>
    </row>
    <row r="458" ht="22" customHeight="1" s="39">
      <c r="A458" s="14" t="inlineStr">
        <is>
          <t>2026-10-06</t>
        </is>
      </c>
      <c r="B458" s="14" t="inlineStr">
        <is>
          <t>2026-10-06T16:00:00+08:00</t>
        </is>
      </c>
      <c r="C458" s="14" t="n"/>
      <c r="D458" s="14" t="n"/>
      <c r="E458" s="14" t="inlineStr">
        <is>
          <t>缅甸U20</t>
        </is>
      </c>
      <c r="F458" s="14" t="inlineStr">
        <is>
          <t>治尼兰德U20 vs 伊洛瓦底U20</t>
        </is>
      </c>
      <c r="G458" s="26" t="n">
        <v>0.9</v>
      </c>
      <c r="H458" s="26" t="n">
        <v>-1.5</v>
      </c>
      <c r="I458" s="26" t="n">
        <v>0.9</v>
      </c>
      <c r="J458" s="26" t="inlineStr">
        <is>
          <t>0.9/-1.5/0.9</t>
        </is>
      </c>
      <c r="K458" s="14" t="inlineStr">
        <is>
          <t>V4-C</t>
        </is>
      </c>
      <c r="L458" s="14" t="inlineStr">
        <is>
          <t>治尼兰德U20</t>
        </is>
      </c>
      <c r="M458" s="47" t="n">
        <v>0.01211089115525241</v>
      </c>
      <c r="N458" s="14" t="inlineStr">
        <is>
          <t>V4 Shadow Only；real_money=false</t>
        </is>
      </c>
      <c r="O458" s="14" t="inlineStr">
        <is>
          <t>2-3</t>
        </is>
      </c>
      <c r="P458" s="14" t="inlineStr">
        <is>
          <t>已结算</t>
        </is>
      </c>
      <c r="Q458" s="14" t="inlineStr">
        <is>
          <t>红</t>
        </is>
      </c>
      <c r="R458" s="48" t="n">
        <v>0.9</v>
      </c>
      <c r="S458" s="48" t="n">
        <v>0.9</v>
      </c>
      <c r="T458" s="14" t="inlineStr">
        <is>
          <t>D:\codex\outputs\football_odds_trader\decision_versions\2026-10-06\RUN_20261006_084027\slate_raw.csv</t>
        </is>
      </c>
      <c r="U458" s="14" t="n"/>
      <c r="V458" s="48" t="n"/>
      <c r="W458" s="48" t="n"/>
      <c r="X458" s="14" t="inlineStr">
        <is>
          <t>3099867</t>
        </is>
      </c>
      <c r="Y458" s="14" t="inlineStr">
        <is>
          <t>V4</t>
        </is>
      </c>
      <c r="Z458" s="14" t="inlineStr">
        <is>
          <t>prior-2026-10-06-v1</t>
        </is>
      </c>
      <c r="AA458" s="14" t="inlineStr">
        <is>
          <t>C</t>
        </is>
      </c>
      <c r="AB458" s="14" t="n">
        <v>0.01211089115525241</v>
      </c>
      <c r="AC458" s="14" t="n">
        <v>0.9878891088447476</v>
      </c>
      <c r="AD458" s="14" t="n">
        <v>-1.75</v>
      </c>
      <c r="AE458" s="14" t="n">
        <v>0</v>
      </c>
      <c r="AF458" s="14" t="n">
        <v>0</v>
      </c>
      <c r="AG458" s="14" t="n">
        <v>0.8769893068050204</v>
      </c>
      <c r="AH458" s="14" t="n"/>
      <c r="AI458" s="14" t="n"/>
      <c r="AJ458" s="14" t="n">
        <v>0.8769893068050204</v>
      </c>
      <c r="AK458" s="14" t="n"/>
      <c r="AL458" s="14" t="n"/>
      <c r="AM458" s="14" t="inlineStr">
        <is>
          <t>EVALUATED</t>
        </is>
      </c>
      <c r="AN458" s="14" t="inlineStr">
        <is>
          <t>RECEIVING_VALIDATED_EDGE;BUCKET_PRIOR_ONLY;INTENT_INTERPRETATION_ONLY;FFL_OPTIONAL;EXPERT_MARKET</t>
        </is>
      </c>
      <c r="AO458" s="14" t="inlineStr">
        <is>
          <t>9f10de9a008dea618bd9</t>
        </is>
      </c>
      <c r="AP458" s="14" t="n">
        <v>1.5</v>
      </c>
      <c r="AQ458" s="14" t="n">
        <v>0.9</v>
      </c>
      <c r="AR458" s="14" t="n">
        <v>-1.5</v>
      </c>
      <c r="AS458" s="14" t="n">
        <v>1.5</v>
      </c>
      <c r="AT458" s="14" t="n">
        <v>0.9</v>
      </c>
      <c r="AU458" s="14" t="n">
        <v>0.9</v>
      </c>
      <c r="AV458" s="14" t="inlineStr">
        <is>
          <t>2026-10-06T08:45:29.718562+08:00</t>
        </is>
      </c>
      <c r="AW458" s="14" t="inlineStr">
        <is>
          <t>Titan007/V4</t>
        </is>
      </c>
      <c r="AX458" s="14" t="inlineStr">
        <is>
          <t>Daily append；市场输入缺失时不生成决策</t>
        </is>
      </c>
      <c r="AY458" s="14" t="n"/>
    </row>
    <row r="459" ht="22" customHeight="1" s="39">
      <c r="A459" s="14" t="inlineStr">
        <is>
          <t>2026-10-06</t>
        </is>
      </c>
      <c r="B459" s="14" t="inlineStr">
        <is>
          <t>2026-10-07T07:00:00+08:00</t>
        </is>
      </c>
      <c r="C459" s="14" t="inlineStr">
        <is>
          <t>CLUB_LEAGUE</t>
        </is>
      </c>
      <c r="D459" s="14" t="n"/>
      <c r="E459" s="14" t="inlineStr">
        <is>
          <t>乌拉乙</t>
        </is>
      </c>
      <c r="F459" s="14" t="inlineStr">
        <is>
          <t>卡特雷莫托 vs 萨鲁斯</t>
        </is>
      </c>
      <c r="G459" s="26" t="n">
        <v>0.9</v>
      </c>
      <c r="H459" s="26" t="n">
        <v>-0.25</v>
      </c>
      <c r="I459" s="26" t="n">
        <v>0.9</v>
      </c>
      <c r="J459" s="26" t="inlineStr">
        <is>
          <t>0.9/-0.25/0.9</t>
        </is>
      </c>
      <c r="K459" s="14" t="inlineStr">
        <is>
          <t>V4-B</t>
        </is>
      </c>
      <c r="L459" s="14" t="inlineStr">
        <is>
          <t>卡特雷莫托</t>
        </is>
      </c>
      <c r="M459" s="47" t="n">
        <v>0.2706365691726504</v>
      </c>
      <c r="N459" s="14" t="inlineStr">
        <is>
          <t>V4 Shadow Only；real_money=false</t>
        </is>
      </c>
      <c r="O459" s="14" t="inlineStr">
        <is>
          <t>0-0</t>
        </is>
      </c>
      <c r="P459" s="14" t="inlineStr">
        <is>
          <t>EVALUATED</t>
        </is>
      </c>
      <c r="Q459" s="14" t="inlineStr">
        <is>
          <t>B</t>
        </is>
      </c>
      <c r="R459" s="48" t="n">
        <v>0.9</v>
      </c>
      <c r="S459" s="48" t="n"/>
      <c r="T459" s="14" t="inlineStr">
        <is>
          <t>D:\codex\outputs\football_odds_trader\decision_versions\2026-10-06\RUN_20261006_084027\slate_raw.csv</t>
        </is>
      </c>
      <c r="U459" s="14" t="n"/>
      <c r="V459" s="48" t="n"/>
      <c r="W459" s="48" t="n"/>
      <c r="X459" s="14" t="inlineStr">
        <is>
          <t>3099874</t>
        </is>
      </c>
      <c r="Y459" s="14" t="inlineStr">
        <is>
          <t>V4</t>
        </is>
      </c>
      <c r="Z459" s="14" t="inlineStr">
        <is>
          <t>prior-2026-10-06-v1</t>
        </is>
      </c>
      <c r="AA459" s="14" t="inlineStr">
        <is>
          <t>B</t>
        </is>
      </c>
      <c r="AB459" s="14" t="n">
        <v>0.2706365691726504</v>
      </c>
      <c r="AC459" s="14" t="n">
        <v>0.6006741691615198</v>
      </c>
      <c r="AD459" s="14" t="n">
        <v>-0.5</v>
      </c>
      <c r="AE459" s="14" t="n">
        <v>0</v>
      </c>
      <c r="AF459" s="14" t="n">
        <v>0</v>
      </c>
      <c r="AG459" s="14" t="n">
        <v>0.2699701830727175</v>
      </c>
      <c r="AH459" s="14" t="n"/>
      <c r="AI459" s="14" t="n"/>
      <c r="AJ459" s="14" t="n">
        <v>0.2699701830727175</v>
      </c>
      <c r="AK459" s="14" t="n"/>
      <c r="AL459" s="14" t="n"/>
      <c r="AM459" s="14" t="inlineStr">
        <is>
          <t>EVALUATED</t>
        </is>
      </c>
      <c r="AN459" s="14" t="inlineStr">
        <is>
          <t>RECEIVING_VALIDATED_EDGE;BUCKET_PRIOR_ONLY;INTENT_INTERPRETATION_ONLY;FFL_OPTIONAL;EXPERT_MARKET</t>
        </is>
      </c>
      <c r="AO459" s="14" t="inlineStr">
        <is>
          <t>08969a788e7f4991a562</t>
        </is>
      </c>
      <c r="AP459" s="14" t="n">
        <v>0.25</v>
      </c>
      <c r="AQ459" s="14" t="n">
        <v>0.9</v>
      </c>
      <c r="AR459" s="14" t="n">
        <v>-0.25</v>
      </c>
      <c r="AS459" s="14" t="n">
        <v>0.25</v>
      </c>
      <c r="AT459" s="14" t="n">
        <v>0.9</v>
      </c>
      <c r="AU459" s="14" t="n">
        <v>0.9</v>
      </c>
      <c r="AV459" s="14" t="inlineStr">
        <is>
          <t>2026-10-06T08:45:29.718562+08:00</t>
        </is>
      </c>
      <c r="AW459" s="14" t="inlineStr">
        <is>
          <t>Titan007/V4</t>
        </is>
      </c>
      <c r="AX459" s="14" t="inlineStr">
        <is>
          <t>Daily append；市场输入缺失时不生成决策</t>
        </is>
      </c>
      <c r="AY459" s="14" t="n"/>
    </row>
    <row r="460" ht="22" customHeight="1" s="39">
      <c r="A460" s="14" t="inlineStr">
        <is>
          <t>2026-10-06</t>
        </is>
      </c>
      <c r="B460" s="14" t="inlineStr">
        <is>
          <t>2026-10-07T01:30:00+08:00</t>
        </is>
      </c>
      <c r="C460" s="14" t="n"/>
      <c r="D460" s="14" t="n"/>
      <c r="E460" s="14" t="inlineStr">
        <is>
          <t>球会友谊</t>
        </is>
      </c>
      <c r="F460" s="14" t="inlineStr">
        <is>
          <t>塔拉维亚 vs 阿尔巴塞特</t>
        </is>
      </c>
      <c r="G460" s="26" t="n">
        <v>0.91</v>
      </c>
      <c r="H460" s="26" t="n">
        <v>-1.5</v>
      </c>
      <c r="I460" s="26" t="n">
        <v>0.8</v>
      </c>
      <c r="J460" s="26" t="inlineStr">
        <is>
          <t>0.91/-1.5/0.8</t>
        </is>
      </c>
      <c r="K460" s="14" t="inlineStr">
        <is>
          <t>V4-C</t>
        </is>
      </c>
      <c r="L460" s="14" t="inlineStr">
        <is>
          <t>塔拉维亚</t>
        </is>
      </c>
      <c r="M460" s="47" t="n">
        <v>0.001955266999144941</v>
      </c>
      <c r="N460" s="14" t="inlineStr">
        <is>
          <t>V4 Shadow Only；real_money=false</t>
        </is>
      </c>
      <c r="O460" s="14" t="inlineStr">
        <is>
          <t>1-0</t>
        </is>
      </c>
      <c r="P460" s="14" t="inlineStr">
        <is>
          <t>已结算</t>
        </is>
      </c>
      <c r="Q460" s="14" t="inlineStr">
        <is>
          <t>红</t>
        </is>
      </c>
      <c r="R460" s="48" t="n">
        <v>0.91</v>
      </c>
      <c r="S460" s="48" t="n">
        <v>0.91</v>
      </c>
      <c r="T460" s="14" t="inlineStr">
        <is>
          <t>D:\codex\outputs\football_odds_trader\decision_versions\2026-10-06\RUN_20261006_084027\slate_raw.csv</t>
        </is>
      </c>
      <c r="U460" s="14" t="n"/>
      <c r="V460" s="48" t="n"/>
      <c r="W460" s="48" t="n"/>
      <c r="X460" s="14" t="inlineStr">
        <is>
          <t>3099875</t>
        </is>
      </c>
      <c r="Y460" s="14" t="inlineStr">
        <is>
          <t>V4</t>
        </is>
      </c>
      <c r="Z460" s="14" t="inlineStr">
        <is>
          <t>prior-2026-10-06-v1</t>
        </is>
      </c>
      <c r="AA460" s="14" t="inlineStr">
        <is>
          <t>C</t>
        </is>
      </c>
      <c r="AB460" s="14" t="n">
        <v>0.001955266999144941</v>
      </c>
      <c r="AC460" s="14" t="n">
        <v>0.9980447330008551</v>
      </c>
      <c r="AD460" s="14" t="n">
        <v>-2.25</v>
      </c>
      <c r="AE460" s="14" t="n">
        <v>0</v>
      </c>
      <c r="AF460" s="14" t="n">
        <v>0</v>
      </c>
      <c r="AG460" s="14" t="n">
        <v>0.9062654400316332</v>
      </c>
      <c r="AH460" s="14" t="n"/>
      <c r="AI460" s="14" t="n"/>
      <c r="AJ460" s="14" t="n">
        <v>0.9062654400316332</v>
      </c>
      <c r="AK460" s="14" t="n"/>
      <c r="AL460" s="14" t="n"/>
      <c r="AM460" s="14" t="inlineStr">
        <is>
          <t>EVALUATED</t>
        </is>
      </c>
      <c r="AN460" s="14" t="inlineStr">
        <is>
          <t>RECEIVING_VALIDATED_EDGE;BUCKET_PRIOR_ONLY;INTENT_INTERPRETATION_ONLY;FFL_OPTIONAL;EXPERT_MARKET</t>
        </is>
      </c>
      <c r="AO460" s="14" t="inlineStr">
        <is>
          <t>4a75c946e1f62bdacd85</t>
        </is>
      </c>
      <c r="AP460" s="14" t="n">
        <v>1.5</v>
      </c>
      <c r="AQ460" s="14" t="n">
        <v>0.91</v>
      </c>
      <c r="AR460" s="14" t="n">
        <v>-1.5</v>
      </c>
      <c r="AS460" s="14" t="n">
        <v>1.5</v>
      </c>
      <c r="AT460" s="14" t="n">
        <v>0.91</v>
      </c>
      <c r="AU460" s="14" t="n">
        <v>0.8</v>
      </c>
      <c r="AV460" s="14" t="inlineStr">
        <is>
          <t>2026-10-06T08:45:29.718562+08:00</t>
        </is>
      </c>
      <c r="AW460" s="14" t="inlineStr">
        <is>
          <t>Titan007/V4</t>
        </is>
      </c>
      <c r="AX460" s="14" t="inlineStr">
        <is>
          <t>Daily append；市场输入缺失时不生成决策</t>
        </is>
      </c>
      <c r="AY460" s="14" t="n"/>
    </row>
    <row r="461" ht="22" customHeight="1" s="39">
      <c r="A461" s="14" t="inlineStr">
        <is>
          <t>2026-10-06</t>
        </is>
      </c>
      <c r="B461" s="14" t="inlineStr">
        <is>
          <t>2026-10-06T16:30:00+08:00</t>
        </is>
      </c>
      <c r="C461" s="14" t="inlineStr">
        <is>
          <t>CLUB_CUP</t>
        </is>
      </c>
      <c r="D461" s="14" t="n"/>
      <c r="E461" s="14" t="inlineStr">
        <is>
          <t>柬杯</t>
        </is>
      </c>
      <c r="F461" s="14" t="inlineStr">
        <is>
          <t>特本克蒙 vs 磅士卑省</t>
        </is>
      </c>
      <c r="G461" s="26" t="n">
        <v>0.9</v>
      </c>
      <c r="H461" s="26" t="n">
        <v>2</v>
      </c>
      <c r="I461" s="26" t="n">
        <v>0.9</v>
      </c>
      <c r="J461" s="26" t="inlineStr">
        <is>
          <t>0.9/2.0/0.9</t>
        </is>
      </c>
      <c r="K461" s="14" t="inlineStr">
        <is>
          <t>V4-B</t>
        </is>
      </c>
      <c r="L461" s="14" t="inlineStr">
        <is>
          <t>特本克蒙</t>
        </is>
      </c>
      <c r="M461" s="47" t="n">
        <v>0.4388501897366912</v>
      </c>
      <c r="N461" s="14" t="inlineStr">
        <is>
          <t>V4 Shadow Only；real_money=false</t>
        </is>
      </c>
      <c r="O461" s="14" t="inlineStr">
        <is>
          <t>6-2</t>
        </is>
      </c>
      <c r="P461" s="14" t="inlineStr">
        <is>
          <t>已结算</t>
        </is>
      </c>
      <c r="Q461" s="14" t="inlineStr">
        <is>
          <t>红</t>
        </is>
      </c>
      <c r="R461" s="48" t="n">
        <v>0.9</v>
      </c>
      <c r="S461" s="48" t="n">
        <v>0.9</v>
      </c>
      <c r="T461" s="14" t="inlineStr">
        <is>
          <t>D:\codex\outputs\football_odds_trader\decision_versions\2026-10-06\RUN_20261006_084027\slate_raw.csv</t>
        </is>
      </c>
      <c r="U461" s="14" t="n"/>
      <c r="V461" s="48" t="n"/>
      <c r="W461" s="48" t="n"/>
      <c r="X461" s="14" t="inlineStr">
        <is>
          <t>3099876</t>
        </is>
      </c>
      <c r="Y461" s="14" t="inlineStr">
        <is>
          <t>V4</t>
        </is>
      </c>
      <c r="Z461" s="14" t="inlineStr">
        <is>
          <t>prior-2026-10-06-v1</t>
        </is>
      </c>
      <c r="AA461" s="14" t="inlineStr">
        <is>
          <t>B</t>
        </is>
      </c>
      <c r="AB461" s="14" t="n">
        <v>0.4388501897366912</v>
      </c>
      <c r="AC461" s="14" t="n">
        <v>0.3139358649060626</v>
      </c>
      <c r="AD461" s="14" t="n">
        <v>2.5</v>
      </c>
      <c r="AE461" s="14" t="n"/>
      <c r="AF461" s="14" t="n"/>
      <c r="AG461" s="14" t="n">
        <v>0.08102930585695955</v>
      </c>
      <c r="AH461" s="14" t="n"/>
      <c r="AI461" s="14" t="n"/>
      <c r="AJ461" s="14" t="n">
        <v>0.08102930585695955</v>
      </c>
      <c r="AK461" s="14" t="n"/>
      <c r="AL461" s="14" t="n"/>
      <c r="AM461" s="14" t="inlineStr">
        <is>
          <t>EVALUATED</t>
        </is>
      </c>
      <c r="AN461" s="14" t="inlineStr">
        <is>
          <t>GIVING_VALIDATED_EDGE;BUCKET_PRIOR_ONLY;INTENT_INTERPRETATION_ONLY;FFL_OPTIONAL;EXPERT_MARKET</t>
        </is>
      </c>
      <c r="AO461" s="14" t="inlineStr">
        <is>
          <t>4319649dced4b5051592</t>
        </is>
      </c>
      <c r="AP461" s="14" t="n">
        <v>-2</v>
      </c>
      <c r="AQ461" s="14" t="n">
        <v>0.9</v>
      </c>
      <c r="AR461" s="14" t="n">
        <v>2</v>
      </c>
      <c r="AS461" s="14" t="n">
        <v>-2</v>
      </c>
      <c r="AT461" s="14" t="n">
        <v>0.9</v>
      </c>
      <c r="AU461" s="14" t="n">
        <v>0.9</v>
      </c>
      <c r="AV461" s="14" t="inlineStr">
        <is>
          <t>2026-10-06T08:45:29.718562+08:00</t>
        </is>
      </c>
      <c r="AW461" s="14" t="inlineStr">
        <is>
          <t>Titan007/V4</t>
        </is>
      </c>
      <c r="AX461" s="14" t="inlineStr">
        <is>
          <t>Daily append；市场输入缺失时不生成决策</t>
        </is>
      </c>
      <c r="AY461" s="14" t="n"/>
    </row>
    <row r="462" ht="22" customHeight="1" s="39">
      <c r="A462" s="14" t="inlineStr">
        <is>
          <t>2026-10-07</t>
        </is>
      </c>
      <c r="B462" s="14" t="inlineStr">
        <is>
          <t>2026-10-07T19:00:00+08:00</t>
        </is>
      </c>
      <c r="C462" s="14" t="inlineStr"/>
      <c r="D462" s="14" t="inlineStr"/>
      <c r="E462" s="14" t="inlineStr">
        <is>
          <t>女欧U19</t>
        </is>
      </c>
      <c r="F462" s="14" t="inlineStr">
        <is>
          <t>瑞士女足U19 vs 波黑女足U19</t>
        </is>
      </c>
      <c r="G462" s="26" t="n">
        <v>0.88</v>
      </c>
      <c r="H462" s="26" t="n">
        <v>3.25</v>
      </c>
      <c r="I462" s="26" t="n">
        <v>0.93</v>
      </c>
      <c r="J462" s="26" t="inlineStr">
        <is>
          <t>0.88/3.25/0.93</t>
        </is>
      </c>
      <c r="K462" s="14" t="inlineStr">
        <is>
          <t>V4-C</t>
        </is>
      </c>
      <c r="L462" s="14" t="inlineStr">
        <is>
          <t>波黑女足U19</t>
        </is>
      </c>
      <c r="M462" s="47" t="n">
        <v>0.3747049157372632</v>
      </c>
      <c r="N462" s="14" t="inlineStr">
        <is>
          <t>V4 Shadow Only；real_money=false</t>
        </is>
      </c>
      <c r="O462" s="14" t="inlineStr">
        <is>
          <t>0-0</t>
        </is>
      </c>
      <c r="P462" s="14" t="inlineStr">
        <is>
          <t>EVALUATED</t>
        </is>
      </c>
      <c r="Q462" s="14" t="inlineStr"/>
      <c r="R462" s="48" t="n">
        <v>0.93</v>
      </c>
      <c r="S462" s="48" t="n"/>
      <c r="T462" s="14" t="inlineStr">
        <is>
          <t>D:\codex\v3_legacy\outputs\football_odds_trader\raw\titan007\20261007\20261007_083450_titan007_odds_snapshot.csv</t>
        </is>
      </c>
      <c r="U462" s="14" t="inlineStr"/>
      <c r="V462" s="48" t="inlineStr"/>
      <c r="W462" s="48" t="inlineStr"/>
      <c r="X462" s="14" t="inlineStr">
        <is>
          <t>3061532</t>
        </is>
      </c>
      <c r="Y462" s="14" t="inlineStr">
        <is>
          <t>V4</t>
        </is>
      </c>
      <c r="Z462" s="14" t="inlineStr">
        <is>
          <t>prior-2026-10-07-v1</t>
        </is>
      </c>
      <c r="AA462" s="14" t="inlineStr">
        <is>
          <t>C</t>
        </is>
      </c>
      <c r="AB462" s="14" t="n">
        <v>0.3747049157372632</v>
      </c>
      <c r="AC462" s="14" t="n">
        <v>0.5223730901720605</v>
      </c>
      <c r="AD462" s="14" t="n">
        <v>-2.5</v>
      </c>
      <c r="AE462" s="14" t="n"/>
      <c r="AF462" s="14" t="n"/>
      <c r="AG462" s="14" t="n">
        <v>0.1111020581227531</v>
      </c>
      <c r="AH462" s="14" t="n"/>
      <c r="AI462" s="14" t="n"/>
      <c r="AJ462" s="14" t="n">
        <v>0.1111020581227531</v>
      </c>
      <c r="AK462" s="14" t="n"/>
      <c r="AL462" s="14" t="n"/>
      <c r="AM462" s="14" t="n"/>
      <c r="AN462" s="14" t="inlineStr">
        <is>
          <t>EVALUATED</t>
        </is>
      </c>
      <c r="AO462" s="14" t="inlineStr">
        <is>
          <t>RECEIVING_VALIDATED_EDGE;BUCKET_PRIOR_ONLY;INTENT_INTERPRETATION_ONLY;FFL_OPTIONAL;EXPERT_MARKET</t>
        </is>
      </c>
      <c r="AP462" s="14" t="inlineStr">
        <is>
          <t>5a58aaa9708850d921ae</t>
        </is>
      </c>
      <c r="AQ462" s="14" t="n">
        <v>3.25</v>
      </c>
      <c r="AR462" s="14" t="n">
        <v>0.93</v>
      </c>
      <c r="AS462" s="14" t="n">
        <v>3.25</v>
      </c>
      <c r="AT462" s="14" t="n">
        <v>-3.25</v>
      </c>
      <c r="AU462" s="14" t="n">
        <v>0.88</v>
      </c>
      <c r="AV462" s="14" t="n">
        <v>0.93</v>
      </c>
      <c r="AW462" s="14" t="inlineStr">
        <is>
          <t>2026-10-07T14:06:30.441357+08:00</t>
        </is>
      </c>
      <c r="AX462" s="14" t="inlineStr">
        <is>
          <t>Titan007/V4</t>
        </is>
      </c>
      <c r="AY462" s="14" t="inlineStr">
        <is>
          <t>Daily append；市场输入缺失时不生成决策</t>
        </is>
      </c>
    </row>
    <row r="463" ht="22" customHeight="1" s="39">
      <c r="A463" s="14" t="inlineStr">
        <is>
          <t>2026-10-07</t>
        </is>
      </c>
      <c r="B463" s="14" t="inlineStr">
        <is>
          <t>2026-10-07T19:30:00+08:00</t>
        </is>
      </c>
      <c r="C463" s="14" t="inlineStr">
        <is>
          <t>CLUB_CUP</t>
        </is>
      </c>
      <c r="D463" s="14" t="inlineStr"/>
      <c r="E463" s="14" t="inlineStr">
        <is>
          <t>土杯</t>
        </is>
      </c>
      <c r="F463" s="14" t="inlineStr">
        <is>
          <t>布尔萨耶尔德勒姆士邦 vs 耶尼阿马斯亚</t>
        </is>
      </c>
      <c r="G463" s="26" t="n">
        <v>0.78</v>
      </c>
      <c r="H463" s="26" t="n">
        <v>1</v>
      </c>
      <c r="I463" s="26" t="n">
        <v>1.03</v>
      </c>
      <c r="J463" s="26" t="inlineStr">
        <is>
          <t>0.78/1.0/1.03</t>
        </is>
      </c>
      <c r="K463" s="14" t="inlineStr">
        <is>
          <t>V4-B</t>
        </is>
      </c>
      <c r="L463" s="14" t="inlineStr">
        <is>
          <t>耶尼阿马斯亚</t>
        </is>
      </c>
      <c r="M463" s="47" t="n">
        <v>0.345406426373128</v>
      </c>
      <c r="N463" s="14" t="inlineStr">
        <is>
          <t>V4 Shadow Only；real_money=false</t>
        </is>
      </c>
      <c r="O463" s="14" t="inlineStr">
        <is>
          <t>2-0</t>
        </is>
      </c>
      <c r="P463" s="14" t="inlineStr">
        <is>
          <t>已结算</t>
        </is>
      </c>
      <c r="Q463" s="14" t="inlineStr">
        <is>
          <t>红</t>
        </is>
      </c>
      <c r="R463" s="48" t="n">
        <v>1.03</v>
      </c>
      <c r="S463" s="48" t="n">
        <v>0.78</v>
      </c>
      <c r="T463" s="14" t="inlineStr">
        <is>
          <t>D:\codex\v3_legacy\outputs\football_odds_trader\raw\titan007\20261007\20261007_083450_titan007_odds_snapshot.csv</t>
        </is>
      </c>
      <c r="U463" s="14" t="inlineStr"/>
      <c r="V463" s="48" t="inlineStr"/>
      <c r="W463" s="48" t="inlineStr"/>
      <c r="X463" s="14" t="inlineStr">
        <is>
          <t>3094011</t>
        </is>
      </c>
      <c r="Y463" s="14" t="inlineStr">
        <is>
          <t>V4</t>
        </is>
      </c>
      <c r="Z463" s="14" t="inlineStr">
        <is>
          <t>prior-2026-10-07-v1</t>
        </is>
      </c>
      <c r="AA463" s="14" t="inlineStr">
        <is>
          <t>B</t>
        </is>
      </c>
      <c r="AB463" s="14" t="n">
        <v>0.345406426373128</v>
      </c>
      <c r="AC463" s="14" t="n">
        <v>0.4063470932924433</v>
      </c>
      <c r="AD463" s="14" t="n">
        <v>-1</v>
      </c>
      <c r="AE463" s="14" t="n"/>
      <c r="AF463" s="14" t="n"/>
      <c r="AG463" s="14" t="n">
        <v>0.07313107971808858</v>
      </c>
      <c r="AH463" s="14" t="n"/>
      <c r="AI463" s="14" t="n"/>
      <c r="AJ463" s="14" t="n">
        <v>0.07313107971808858</v>
      </c>
      <c r="AK463" s="14" t="n"/>
      <c r="AL463" s="14" t="n"/>
      <c r="AM463" s="14" t="n"/>
      <c r="AN463" s="14" t="inlineStr">
        <is>
          <t>EVALUATED</t>
        </is>
      </c>
      <c r="AO463" s="14" t="inlineStr">
        <is>
          <t>RECEIVING_VALIDATED_EDGE;BUCKET_PRIOR_ONLY;INTENT_INTERPRETATION_ONLY;FFL_OPTIONAL;EXPERT_MARKET</t>
        </is>
      </c>
      <c r="AP463" s="14" t="inlineStr">
        <is>
          <t>a0ffb135acaee44725a9</t>
        </is>
      </c>
      <c r="AQ463" s="14" t="n">
        <v>1</v>
      </c>
      <c r="AR463" s="14" t="n">
        <v>1.03</v>
      </c>
      <c r="AS463" s="14" t="n">
        <v>1</v>
      </c>
      <c r="AT463" s="14" t="n">
        <v>-1</v>
      </c>
      <c r="AU463" s="14" t="n">
        <v>0.78</v>
      </c>
      <c r="AV463" s="14" t="n">
        <v>1.03</v>
      </c>
      <c r="AW463" s="14" t="inlineStr">
        <is>
          <t>2026-10-07T14:06:30.441357+08:00</t>
        </is>
      </c>
      <c r="AX463" s="14" t="inlineStr">
        <is>
          <t>Titan007/V4</t>
        </is>
      </c>
      <c r="AY463" s="14" t="inlineStr">
        <is>
          <t>Daily append；市场输入缺失时不生成决策</t>
        </is>
      </c>
    </row>
    <row r="464" ht="22" customHeight="1" s="39">
      <c r="A464" s="14" t="inlineStr">
        <is>
          <t>2026-10-07</t>
        </is>
      </c>
      <c r="B464" s="14" t="inlineStr">
        <is>
          <t>2026-10-07T19:00:00+08:00</t>
        </is>
      </c>
      <c r="C464" s="14" t="inlineStr">
        <is>
          <t>CLUB_CUP</t>
        </is>
      </c>
      <c r="D464" s="14" t="inlineStr"/>
      <c r="E464" s="14" t="inlineStr">
        <is>
          <t>土杯</t>
        </is>
      </c>
      <c r="F464" s="14" t="inlineStr">
        <is>
          <t>哈塔斯堡 vs 卡拉科普鲁</t>
        </is>
      </c>
      <c r="G464" s="26" t="n">
        <v>0.9</v>
      </c>
      <c r="H464" s="26" t="n">
        <v>-1</v>
      </c>
      <c r="I464" s="26" t="n">
        <v>0.9</v>
      </c>
      <c r="J464" s="26" t="inlineStr">
        <is>
          <t>0.9/-1.0/0.9</t>
        </is>
      </c>
      <c r="K464" s="14" t="inlineStr">
        <is>
          <t>V4-B</t>
        </is>
      </c>
      <c r="L464" s="14" t="inlineStr">
        <is>
          <t>哈塔斯堡</t>
        </is>
      </c>
      <c r="M464" s="47" t="n">
        <v>0.3243949461297601</v>
      </c>
      <c r="N464" s="14" t="inlineStr">
        <is>
          <t>V4 Shadow Only；real_money=false</t>
        </is>
      </c>
      <c r="O464" s="14" t="inlineStr">
        <is>
          <t>1-2</t>
        </is>
      </c>
      <c r="P464" s="14" t="inlineStr">
        <is>
          <t>已结算</t>
        </is>
      </c>
      <c r="Q464" s="14" t="inlineStr">
        <is>
          <t>走</t>
        </is>
      </c>
      <c r="R464" s="48" t="n">
        <v>0.9</v>
      </c>
      <c r="S464" s="48" t="n">
        <v>0</v>
      </c>
      <c r="T464" s="14" t="inlineStr">
        <is>
          <t>D:\codex\v3_legacy\outputs\football_odds_trader\raw\titan007\20261007\20261007_083450_titan007_odds_snapshot.csv</t>
        </is>
      </c>
      <c r="U464" s="14" t="inlineStr"/>
      <c r="V464" s="48" t="inlineStr"/>
      <c r="W464" s="48" t="inlineStr"/>
      <c r="X464" s="14" t="inlineStr">
        <is>
          <t>3094020</t>
        </is>
      </c>
      <c r="Y464" s="14" t="inlineStr">
        <is>
          <t>V4</t>
        </is>
      </c>
      <c r="Z464" s="14" t="inlineStr">
        <is>
          <t>prior-2026-10-07-v1</t>
        </is>
      </c>
      <c r="AA464" s="14" t="inlineStr">
        <is>
          <t>B</t>
        </is>
      </c>
      <c r="AB464" s="14" t="n">
        <v>0.3243949461297601</v>
      </c>
      <c r="AC464" s="14" t="n">
        <v>0.4442819255313344</v>
      </c>
      <c r="AD464" s="14" t="n">
        <v>-0.75</v>
      </c>
      <c r="AE464" s="14" t="n"/>
      <c r="AF464" s="14" t="n"/>
      <c r="AG464" s="14" t="n">
        <v>0.07545878684844087</v>
      </c>
      <c r="AH464" s="14" t="n"/>
      <c r="AI464" s="14" t="n"/>
      <c r="AJ464" s="14" t="n">
        <v>0.07545878684844087</v>
      </c>
      <c r="AK464" s="14" t="n"/>
      <c r="AL464" s="14" t="n"/>
      <c r="AM464" s="14" t="n"/>
      <c r="AN464" s="14" t="inlineStr">
        <is>
          <t>EVALUATED</t>
        </is>
      </c>
      <c r="AO464" s="14" t="inlineStr">
        <is>
          <t>RECEIVING_VALIDATED_EDGE;BUCKET_PRIOR_ONLY;INTENT_INTERPRETATION_ONLY;FFL_OPTIONAL;EXPERT_MARKET</t>
        </is>
      </c>
      <c r="AP464" s="14" t="inlineStr">
        <is>
          <t>56643f989a4f6ad770e6</t>
        </is>
      </c>
      <c r="AQ464" s="14" t="n">
        <v>1</v>
      </c>
      <c r="AR464" s="14" t="n">
        <v>0.9</v>
      </c>
      <c r="AS464" s="14" t="n">
        <v>-1</v>
      </c>
      <c r="AT464" s="14" t="n">
        <v>1</v>
      </c>
      <c r="AU464" s="14" t="n">
        <v>0.9</v>
      </c>
      <c r="AV464" s="14" t="n">
        <v>0.9</v>
      </c>
      <c r="AW464" s="14" t="inlineStr">
        <is>
          <t>2026-10-07T14:06:30.441357+08:00</t>
        </is>
      </c>
      <c r="AX464" s="14" t="inlineStr">
        <is>
          <t>Titan007/V4</t>
        </is>
      </c>
      <c r="AY464" s="14" t="inlineStr">
        <is>
          <t>Daily append；市场输入缺失时不生成决策</t>
        </is>
      </c>
    </row>
    <row r="465" ht="22" customHeight="1" s="39">
      <c r="A465" s="14" t="inlineStr">
        <is>
          <t>2026-10-07</t>
        </is>
      </c>
      <c r="B465" s="14" t="inlineStr">
        <is>
          <t>2026-10-07T20:00:00+08:00</t>
        </is>
      </c>
      <c r="C465" s="14" t="inlineStr">
        <is>
          <t>CLUB_CUP</t>
        </is>
      </c>
      <c r="D465" s="14" t="inlineStr"/>
      <c r="E465" s="14" t="inlineStr">
        <is>
          <t>女挪威杯</t>
        </is>
      </c>
      <c r="F465" s="14" t="inlineStr">
        <is>
          <t>克莱波女足 vs 维京女足</t>
        </is>
      </c>
      <c r="G465" s="26" t="n">
        <v>0.83</v>
      </c>
      <c r="H465" s="26" t="n">
        <v>-3.25</v>
      </c>
      <c r="I465" s="26" t="n">
        <v>0.98</v>
      </c>
      <c r="J465" s="26" t="inlineStr">
        <is>
          <t>0.83/-3.25/0.98</t>
        </is>
      </c>
      <c r="K465" s="14" t="inlineStr">
        <is>
          <t>V4-B</t>
        </is>
      </c>
      <c r="L465" s="14" t="inlineStr">
        <is>
          <t>克莱波女足</t>
        </is>
      </c>
      <c r="M465" s="47" t="n">
        <v>0.3581748689371368</v>
      </c>
      <c r="N465" s="14" t="inlineStr">
        <is>
          <t>V4 Shadow Only；real_money=false</t>
        </is>
      </c>
      <c r="O465" s="14" t="inlineStr">
        <is>
          <t>2-3</t>
        </is>
      </c>
      <c r="P465" s="14" t="inlineStr">
        <is>
          <t>已结算</t>
        </is>
      </c>
      <c r="Q465" s="14" t="inlineStr">
        <is>
          <t>红</t>
        </is>
      </c>
      <c r="R465" s="48" t="n">
        <v>0.83</v>
      </c>
      <c r="S465" s="48" t="n">
        <v>0.83</v>
      </c>
      <c r="T465" s="14" t="inlineStr">
        <is>
          <t>D:\codex\v3_legacy\outputs\football_odds_trader\raw\titan007\20261007\20261007_083450_titan007_odds_snapshot.csv</t>
        </is>
      </c>
      <c r="U465" s="14" t="inlineStr"/>
      <c r="V465" s="48" t="inlineStr"/>
      <c r="W465" s="48" t="inlineStr"/>
      <c r="X465" s="14" t="inlineStr">
        <is>
          <t>3096218</t>
        </is>
      </c>
      <c r="Y465" s="14" t="inlineStr">
        <is>
          <t>V4</t>
        </is>
      </c>
      <c r="Z465" s="14" t="inlineStr">
        <is>
          <t>prior-2026-10-07-v1</t>
        </is>
      </c>
      <c r="AA465" s="14" t="inlineStr">
        <is>
          <t>B</t>
        </is>
      </c>
      <c r="AB465" s="14" t="n">
        <v>0.3581748689371368</v>
      </c>
      <c r="AC465" s="14" t="n">
        <v>0.5429608681313061</v>
      </c>
      <c r="AD465" s="14" t="n">
        <v>-2.5</v>
      </c>
      <c r="AE465" s="14" t="n"/>
      <c r="AF465" s="14" t="n"/>
      <c r="AG465" s="14" t="n">
        <v>0.09248265161184721</v>
      </c>
      <c r="AH465" s="14" t="n"/>
      <c r="AI465" s="14" t="n"/>
      <c r="AJ465" s="14" t="n">
        <v>0.09248265161184721</v>
      </c>
      <c r="AK465" s="14" t="n"/>
      <c r="AL465" s="14" t="n"/>
      <c r="AM465" s="14" t="n"/>
      <c r="AN465" s="14" t="inlineStr">
        <is>
          <t>EVALUATED</t>
        </is>
      </c>
      <c r="AO465" s="14" t="inlineStr">
        <is>
          <t>RECEIVING_VALIDATED_EDGE;BUCKET_PRIOR_ONLY;INTENT_INTERPRETATION_ONLY;FFL_OPTIONAL;EXPERT_MARKET</t>
        </is>
      </c>
      <c r="AP465" s="14" t="inlineStr">
        <is>
          <t>00c7ca3abe2e27e2944c</t>
        </is>
      </c>
      <c r="AQ465" s="14" t="n">
        <v>3.25</v>
      </c>
      <c r="AR465" s="14" t="n">
        <v>0.83</v>
      </c>
      <c r="AS465" s="14" t="n">
        <v>-3.25</v>
      </c>
      <c r="AT465" s="14" t="n">
        <v>3.25</v>
      </c>
      <c r="AU465" s="14" t="n">
        <v>0.83</v>
      </c>
      <c r="AV465" s="14" t="n">
        <v>0.98</v>
      </c>
      <c r="AW465" s="14" t="inlineStr">
        <is>
          <t>2026-10-07T14:06:30.441357+08:00</t>
        </is>
      </c>
      <c r="AX465" s="14" t="inlineStr">
        <is>
          <t>Titan007/V4</t>
        </is>
      </c>
      <c r="AY465" s="14" t="inlineStr">
        <is>
          <t>Daily append；市场输入缺失时不生成决策</t>
        </is>
      </c>
    </row>
    <row r="466" ht="22" customHeight="1" s="39">
      <c r="A466" s="14" t="inlineStr">
        <is>
          <t>2026-10-08</t>
        </is>
      </c>
      <c r="B466" s="14" t="inlineStr">
        <is>
          <t>2026-10-09T07:00:00+08:00</t>
        </is>
      </c>
      <c r="C466" s="14" t="inlineStr">
        <is>
          <t>CLUB_LEAGUE</t>
        </is>
      </c>
      <c r="D466" s="14" t="inlineStr"/>
      <c r="E466" s="14" t="inlineStr">
        <is>
          <t>巴西甲</t>
        </is>
      </c>
      <c r="F466" s="14" t="inlineStr">
        <is>
          <t>巴拉纳竞技 vs 米内罗竞技</t>
        </is>
      </c>
      <c r="G466" s="26" t="n">
        <v>0.82</v>
      </c>
      <c r="H466" s="26" t="n">
        <v>0.25</v>
      </c>
      <c r="I466" s="26" t="n">
        <v>1.06</v>
      </c>
      <c r="J466" s="26" t="inlineStr">
        <is>
          <t>0.82/0.25/1.06</t>
        </is>
      </c>
      <c r="K466" s="14" t="inlineStr">
        <is>
          <t>V4-B</t>
        </is>
      </c>
      <c r="L466" s="14" t="inlineStr">
        <is>
          <t>巴拉纳竞技</t>
        </is>
      </c>
      <c r="M466" s="47" t="n">
        <v>0.5287733446101822</v>
      </c>
      <c r="N466" s="14" t="inlineStr">
        <is>
          <t>V4 Shadow Only；real_money=false</t>
        </is>
      </c>
      <c r="O466" s="14" t="inlineStr">
        <is>
          <t>0-0</t>
        </is>
      </c>
      <c r="P466" s="14" t="inlineStr">
        <is>
          <t>EVALUATED</t>
        </is>
      </c>
      <c r="Q466" s="14" t="inlineStr"/>
      <c r="R466" s="48" t="n">
        <v>0.82</v>
      </c>
      <c r="S466" s="48" t="n"/>
      <c r="T466" s="14" t="inlineStr">
        <is>
          <t>D:\codex\outputs\football_odds_trader\decision_versions\2026-10-08\RUN_20261008_074649\slate_raw.csv</t>
        </is>
      </c>
      <c r="U466" s="14" t="inlineStr"/>
      <c r="V466" s="48" t="inlineStr"/>
      <c r="W466" s="48" t="inlineStr"/>
      <c r="X466" s="14" t="inlineStr">
        <is>
          <t>2910907</t>
        </is>
      </c>
      <c r="Y466" s="14" t="inlineStr">
        <is>
          <t>V4</t>
        </is>
      </c>
      <c r="Z466" s="14" t="inlineStr">
        <is>
          <t>prior-2026-10-08-v1</t>
        </is>
      </c>
      <c r="AA466" s="14" t="inlineStr">
        <is>
          <t>B</t>
        </is>
      </c>
      <c r="AB466" s="14" t="n">
        <v>0.5287733446101822</v>
      </c>
      <c r="AC466" s="14" t="n">
        <v>0.3470796428330185</v>
      </c>
      <c r="AD466" s="14" t="n">
        <v>0.75</v>
      </c>
      <c r="AE466" s="14" t="n"/>
      <c r="AF466" s="14" t="n"/>
      <c r="AG466" s="14" t="n">
        <v>0.08651449974733091</v>
      </c>
      <c r="AH466" s="14" t="n"/>
      <c r="AI466" s="14" t="n"/>
      <c r="AJ466" s="14" t="n">
        <v>0.08651449974733091</v>
      </c>
      <c r="AK466" s="14" t="n"/>
      <c r="AL466" s="14" t="n"/>
      <c r="AM466" s="14" t="n"/>
      <c r="AN466" s="14" t="inlineStr">
        <is>
          <t>EVALUATED</t>
        </is>
      </c>
      <c r="AO466" s="14" t="inlineStr">
        <is>
          <t>GIVING_VALIDATED_EDGE;BUCKET_PRIOR_ONLY;INTENT_INTERPRETATION_ONLY;FFL_OPTIONAL;EXPERT_MARKET</t>
        </is>
      </c>
      <c r="AP466" s="14" t="inlineStr">
        <is>
          <t>124299db062d95b9c3e1</t>
        </is>
      </c>
      <c r="AQ466" s="14" t="n">
        <v>-0.25</v>
      </c>
      <c r="AR466" s="14" t="n">
        <v>0.82</v>
      </c>
      <c r="AS466" s="14" t="n">
        <v>0.25</v>
      </c>
      <c r="AT466" s="14" t="n">
        <v>-0.25</v>
      </c>
      <c r="AU466" s="14" t="n">
        <v>0.82</v>
      </c>
      <c r="AV466" s="14" t="n">
        <v>1.06</v>
      </c>
      <c r="AW466" s="14" t="inlineStr">
        <is>
          <t>2026-10-08T07:44:59.408325+08:00</t>
        </is>
      </c>
      <c r="AX466" s="14" t="inlineStr">
        <is>
          <t>Titan007/V4</t>
        </is>
      </c>
      <c r="AY466" s="14" t="inlineStr">
        <is>
          <t>Daily append；市场输入缺失时不生成决策</t>
        </is>
      </c>
    </row>
    <row r="467" ht="22" customHeight="1" s="39">
      <c r="A467" s="14" t="inlineStr">
        <is>
          <t>2026-10-08</t>
        </is>
      </c>
      <c r="B467" s="14" t="inlineStr">
        <is>
          <t>2026-10-09T08:30:00+08:00</t>
        </is>
      </c>
      <c r="C467" s="14" t="inlineStr">
        <is>
          <t>CLUB_LEAGUE</t>
        </is>
      </c>
      <c r="D467" s="14" t="inlineStr"/>
      <c r="E467" s="14" t="inlineStr">
        <is>
          <t>巴西甲</t>
        </is>
      </c>
      <c r="F467" s="14" t="inlineStr">
        <is>
          <t>弗鲁米嫩塞 vs 科里蒂巴</t>
        </is>
      </c>
      <c r="G467" s="26" t="n">
        <v>0.84</v>
      </c>
      <c r="H467" s="26" t="n">
        <v>1</v>
      </c>
      <c r="I467" s="26" t="n">
        <v>1.04</v>
      </c>
      <c r="J467" s="26" t="inlineStr">
        <is>
          <t>0.84/1.0/1.04</t>
        </is>
      </c>
      <c r="K467" s="14" t="inlineStr">
        <is>
          <t>V4-A</t>
        </is>
      </c>
      <c r="L467" s="14" t="inlineStr">
        <is>
          <t>弗鲁米嫩塞</t>
        </is>
      </c>
      <c r="M467" s="47" t="n">
        <v>0.5226127200929277</v>
      </c>
      <c r="N467" s="14" t="inlineStr">
        <is>
          <t>V4 Shadow Only；real_money=false</t>
        </is>
      </c>
      <c r="O467" s="14" t="inlineStr">
        <is>
          <t>0-0</t>
        </is>
      </c>
      <c r="P467" s="14" t="inlineStr">
        <is>
          <t>EVALUATED</t>
        </is>
      </c>
      <c r="Q467" s="14" t="inlineStr"/>
      <c r="R467" s="48" t="n">
        <v>0.84</v>
      </c>
      <c r="S467" s="48" t="n"/>
      <c r="T467" s="14" t="inlineStr">
        <is>
          <t>D:\codex\outputs\football_odds_trader\decision_versions\2026-10-08\RUN_20261008_074649\slate_raw.csv</t>
        </is>
      </c>
      <c r="U467" s="14" t="inlineStr"/>
      <c r="V467" s="48" t="inlineStr"/>
      <c r="W467" s="48" t="inlineStr"/>
      <c r="X467" s="14" t="inlineStr">
        <is>
          <t>2910911</t>
        </is>
      </c>
      <c r="Y467" s="14" t="inlineStr">
        <is>
          <t>V4</t>
        </is>
      </c>
      <c r="Z467" s="14" t="inlineStr">
        <is>
          <t>prior-2026-10-08-v1</t>
        </is>
      </c>
      <c r="AA467" s="14" t="inlineStr">
        <is>
          <t>A</t>
        </is>
      </c>
      <c r="AB467" s="14" t="n">
        <v>0.5226127200929277</v>
      </c>
      <c r="AC467" s="14" t="n">
        <v>0.2296532333403554</v>
      </c>
      <c r="AD467" s="14" t="n">
        <v>1.75</v>
      </c>
      <c r="AE467" s="14" t="n"/>
      <c r="AF467" s="14" t="n"/>
      <c r="AG467" s="14" t="n">
        <v>0.2093414515377039</v>
      </c>
      <c r="AH467" s="14" t="n"/>
      <c r="AI467" s="14" t="n"/>
      <c r="AJ467" s="14" t="n">
        <v>0.2093414515377039</v>
      </c>
      <c r="AK467" s="14" t="n"/>
      <c r="AL467" s="14" t="n"/>
      <c r="AM467" s="14" t="n"/>
      <c r="AN467" s="14" t="inlineStr">
        <is>
          <t>EVALUATED</t>
        </is>
      </c>
      <c r="AO467" s="14" t="inlineStr">
        <is>
          <t>GIVING_VALIDATED_EDGE;BUCKET_PRIOR_ONLY;INTENT_INTERPRETATION_ONLY;FFL_OPTIONAL;EXPERT_MARKET</t>
        </is>
      </c>
      <c r="AP467" s="14" t="inlineStr">
        <is>
          <t>093a4682048a655dc716</t>
        </is>
      </c>
      <c r="AQ467" s="14" t="n">
        <v>-1</v>
      </c>
      <c r="AR467" s="14" t="n">
        <v>0.84</v>
      </c>
      <c r="AS467" s="14" t="n">
        <v>1</v>
      </c>
      <c r="AT467" s="14" t="n">
        <v>-1</v>
      </c>
      <c r="AU467" s="14" t="n">
        <v>0.84</v>
      </c>
      <c r="AV467" s="14" t="n">
        <v>1.04</v>
      </c>
      <c r="AW467" s="14" t="inlineStr">
        <is>
          <t>2026-10-08T07:44:59.408325+08:00</t>
        </is>
      </c>
      <c r="AX467" s="14" t="inlineStr">
        <is>
          <t>Titan007/V4</t>
        </is>
      </c>
      <c r="AY467" s="14" t="inlineStr">
        <is>
          <t>Daily append；市场输入缺失时不生成决策</t>
        </is>
      </c>
    </row>
    <row r="468" ht="22" customHeight="1" s="39">
      <c r="A468" s="14" t="inlineStr">
        <is>
          <t>2026-10-08</t>
        </is>
      </c>
      <c r="B468" s="14" t="inlineStr">
        <is>
          <t>2026-10-09T08:30:00+08:00</t>
        </is>
      </c>
      <c r="C468" s="14" t="inlineStr">
        <is>
          <t>CLUB_LEAGUE</t>
        </is>
      </c>
      <c r="D468" s="14" t="inlineStr"/>
      <c r="E468" s="14" t="inlineStr">
        <is>
          <t>巴西甲</t>
        </is>
      </c>
      <c r="F468" s="14" t="inlineStr">
        <is>
          <t>帕尔梅拉斯 vs 巴伊亚</t>
        </is>
      </c>
      <c r="G468" s="26" t="n">
        <v>1.01</v>
      </c>
      <c r="H468" s="26" t="n">
        <v>1</v>
      </c>
      <c r="I468" s="26" t="n">
        <v>0.87</v>
      </c>
      <c r="J468" s="26" t="inlineStr">
        <is>
          <t>1.01/1.0/0.87</t>
        </is>
      </c>
      <c r="K468" s="14" t="inlineStr">
        <is>
          <t>V4-A</t>
        </is>
      </c>
      <c r="L468" s="14" t="inlineStr">
        <is>
          <t>帕尔梅拉斯</t>
        </is>
      </c>
      <c r="M468" s="47" t="n">
        <v>0.4619576853799099</v>
      </c>
      <c r="N468" s="14" t="inlineStr">
        <is>
          <t>V4 Shadow Only；real_money=false</t>
        </is>
      </c>
      <c r="O468" s="14" t="inlineStr">
        <is>
          <t>0-0</t>
        </is>
      </c>
      <c r="P468" s="14" t="inlineStr">
        <is>
          <t>EVALUATED</t>
        </is>
      </c>
      <c r="Q468" s="14" t="inlineStr"/>
      <c r="R468" s="48" t="n">
        <v>1.01</v>
      </c>
      <c r="S468" s="48" t="n"/>
      <c r="T468" s="14" t="inlineStr">
        <is>
          <t>D:\codex\outputs\football_odds_trader\decision_versions\2026-10-08\RUN_20261008_074649\slate_raw.csv</t>
        </is>
      </c>
      <c r="U468" s="14" t="inlineStr"/>
      <c r="V468" s="48" t="inlineStr"/>
      <c r="W468" s="48" t="inlineStr"/>
      <c r="X468" s="14" t="inlineStr">
        <is>
          <t>2910913</t>
        </is>
      </c>
      <c r="Y468" s="14" t="inlineStr">
        <is>
          <t>V4</t>
        </is>
      </c>
      <c r="Z468" s="14" t="inlineStr">
        <is>
          <t>prior-2026-10-08-v1</t>
        </is>
      </c>
      <c r="AA468" s="14" t="inlineStr">
        <is>
          <t>A</t>
        </is>
      </c>
      <c r="AB468" s="14" t="n">
        <v>0.4619576853799099</v>
      </c>
      <c r="AC468" s="14" t="n">
        <v>0.2839084559290557</v>
      </c>
      <c r="AD468" s="14" t="n">
        <v>1.5</v>
      </c>
      <c r="AE468" s="14" t="n"/>
      <c r="AF468" s="14" t="n"/>
      <c r="AG468" s="14" t="n">
        <v>0.1826688063046534</v>
      </c>
      <c r="AH468" s="14" t="n"/>
      <c r="AI468" s="14" t="n"/>
      <c r="AJ468" s="14" t="n">
        <v>0.1826688063046534</v>
      </c>
      <c r="AK468" s="14" t="n"/>
      <c r="AL468" s="14" t="n"/>
      <c r="AM468" s="14" t="n"/>
      <c r="AN468" s="14" t="inlineStr">
        <is>
          <t>EVALUATED</t>
        </is>
      </c>
      <c r="AO468" s="14" t="inlineStr">
        <is>
          <t>GIVING_VALIDATED_EDGE;BUCKET_PRIOR_ONLY;INTENT_INTERPRETATION_ONLY;FFL_OPTIONAL;EXPERT_MARKET</t>
        </is>
      </c>
      <c r="AP468" s="14" t="inlineStr">
        <is>
          <t>f3d7506672ea525e2ea3</t>
        </is>
      </c>
      <c r="AQ468" s="14" t="n">
        <v>-1</v>
      </c>
      <c r="AR468" s="14" t="n">
        <v>1.01</v>
      </c>
      <c r="AS468" s="14" t="n">
        <v>1</v>
      </c>
      <c r="AT468" s="14" t="n">
        <v>-1</v>
      </c>
      <c r="AU468" s="14" t="n">
        <v>1.01</v>
      </c>
      <c r="AV468" s="14" t="n">
        <v>0.87</v>
      </c>
      <c r="AW468" s="14" t="inlineStr">
        <is>
          <t>2026-10-08T07:44:59.408325+08:00</t>
        </is>
      </c>
      <c r="AX468" s="14" t="inlineStr">
        <is>
          <t>Titan007/V4</t>
        </is>
      </c>
      <c r="AY468" s="14" t="inlineStr">
        <is>
          <t>Daily append；市场输入缺失时不生成决策</t>
        </is>
      </c>
    </row>
    <row r="469" ht="22" customHeight="1" s="39">
      <c r="A469" s="14" t="inlineStr">
        <is>
          <t>2026-10-08</t>
        </is>
      </c>
      <c r="B469" s="14" t="inlineStr">
        <is>
          <t>2026-10-09T06:30:00+08:00</t>
        </is>
      </c>
      <c r="C469" s="14" t="inlineStr">
        <is>
          <t>CLUB_LEAGUE</t>
        </is>
      </c>
      <c r="D469" s="14" t="inlineStr"/>
      <c r="E469" s="14" t="inlineStr">
        <is>
          <t>巴西甲</t>
        </is>
      </c>
      <c r="F469" s="14" t="inlineStr">
        <is>
          <t>桑托斯 vs 弗拉门戈</t>
        </is>
      </c>
      <c r="G469" s="26" t="n">
        <v>1.04</v>
      </c>
      <c r="H469" s="26" t="n">
        <v>-0.5</v>
      </c>
      <c r="I469" s="26" t="n">
        <v>0.84</v>
      </c>
      <c r="J469" s="26" t="inlineStr">
        <is>
          <t>1.04/-0.5/0.84</t>
        </is>
      </c>
      <c r="K469" s="14" t="inlineStr">
        <is>
          <t>V4-A</t>
        </is>
      </c>
      <c r="L469" s="14" t="inlineStr">
        <is>
          <t>桑托斯</t>
        </is>
      </c>
      <c r="M469" s="47" t="n">
        <v>0.1703422953172407</v>
      </c>
      <c r="N469" s="14" t="inlineStr">
        <is>
          <t>V4 Shadow Only；real_money=false</t>
        </is>
      </c>
      <c r="O469" s="14" t="inlineStr">
        <is>
          <t>0-0</t>
        </is>
      </c>
      <c r="P469" s="14" t="inlineStr">
        <is>
          <t>EVALUATED</t>
        </is>
      </c>
      <c r="Q469" s="14" t="inlineStr"/>
      <c r="R469" s="48" t="n">
        <v>1.04</v>
      </c>
      <c r="S469" s="48" t="n"/>
      <c r="T469" s="14" t="inlineStr">
        <is>
          <t>D:\codex\outputs\football_odds_trader\decision_versions\2026-10-08\RUN_20261008_074649\slate_raw.csv</t>
        </is>
      </c>
      <c r="U469" s="14" t="inlineStr"/>
      <c r="V469" s="48" t="inlineStr"/>
      <c r="W469" s="48" t="inlineStr"/>
      <c r="X469" s="14" t="inlineStr">
        <is>
          <t>2910915</t>
        </is>
      </c>
      <c r="Y469" s="14" t="inlineStr">
        <is>
          <t>V4</t>
        </is>
      </c>
      <c r="Z469" s="14" t="inlineStr">
        <is>
          <t>prior-2026-10-08-v1</t>
        </is>
      </c>
      <c r="AA469" s="14" t="inlineStr">
        <is>
          <t>A</t>
        </is>
      </c>
      <c r="AB469" s="14" t="n">
        <v>0.1703422953172407</v>
      </c>
      <c r="AC469" s="14" t="n">
        <v>0.8296577046827593</v>
      </c>
      <c r="AD469" s="14" t="n">
        <v>-1</v>
      </c>
      <c r="AE469" s="14" t="n"/>
      <c r="AF469" s="14" t="n"/>
      <c r="AG469" s="14" t="n">
        <v>0.6925017175528291</v>
      </c>
      <c r="AH469" s="14" t="n"/>
      <c r="AI469" s="14" t="n"/>
      <c r="AJ469" s="14" t="n">
        <v>0.6925017175528291</v>
      </c>
      <c r="AK469" s="14" t="n"/>
      <c r="AL469" s="14" t="n"/>
      <c r="AM469" s="14" t="n"/>
      <c r="AN469" s="14" t="inlineStr">
        <is>
          <t>EVALUATED</t>
        </is>
      </c>
      <c r="AO469" s="14" t="inlineStr">
        <is>
          <t>RECEIVING_VALIDATED_EDGE;BUCKET_PRIOR_ONLY;INTENT_INTERPRETATION_ONLY;FFL_OPTIONAL;EXPERT_MARKET</t>
        </is>
      </c>
      <c r="AP469" s="14" t="inlineStr">
        <is>
          <t>e1154812d5a971d8ab2b</t>
        </is>
      </c>
      <c r="AQ469" s="14" t="n">
        <v>0.5</v>
      </c>
      <c r="AR469" s="14" t="n">
        <v>1.04</v>
      </c>
      <c r="AS469" s="14" t="n">
        <v>-0.5</v>
      </c>
      <c r="AT469" s="14" t="n">
        <v>0.5</v>
      </c>
      <c r="AU469" s="14" t="n">
        <v>1.04</v>
      </c>
      <c r="AV469" s="14" t="n">
        <v>0.84</v>
      </c>
      <c r="AW469" s="14" t="inlineStr">
        <is>
          <t>2026-10-08T07:44:59.408325+08:00</t>
        </is>
      </c>
      <c r="AX469" s="14" t="inlineStr">
        <is>
          <t>Titan007/V4</t>
        </is>
      </c>
      <c r="AY469" s="14" t="inlineStr">
        <is>
          <t>Daily append；市场输入缺失时不生成决策</t>
        </is>
      </c>
    </row>
    <row r="470" ht="22" customHeight="1" s="39">
      <c r="A470" s="14" t="inlineStr">
        <is>
          <t>2026-10-08</t>
        </is>
      </c>
      <c r="B470" s="14" t="inlineStr">
        <is>
          <t>2026-10-09T06:30:00+08:00</t>
        </is>
      </c>
      <c r="C470" s="14" t="inlineStr">
        <is>
          <t>CLUB_LEAGUE</t>
        </is>
      </c>
      <c r="D470" s="14" t="inlineStr"/>
      <c r="E470" s="14" t="inlineStr">
        <is>
          <t>巴西乙</t>
        </is>
      </c>
      <c r="F470" s="14" t="inlineStr">
        <is>
          <t>塞阿拉 vs 克里丘马</t>
        </is>
      </c>
      <c r="G470" s="26" t="n">
        <v>1.09</v>
      </c>
      <c r="H470" s="26" t="n">
        <v>0.25</v>
      </c>
      <c r="I470" s="26" t="n">
        <v>0.79</v>
      </c>
      <c r="J470" s="26" t="inlineStr">
        <is>
          <t>1.09/0.25/0.79</t>
        </is>
      </c>
      <c r="K470" s="14" t="inlineStr">
        <is>
          <t>V4-C</t>
        </is>
      </c>
      <c r="L470" s="14" t="inlineStr">
        <is>
          <t>塞阿拉</t>
        </is>
      </c>
      <c r="M470" s="47" t="n">
        <v>0.4435254762102929</v>
      </c>
      <c r="N470" s="14" t="inlineStr">
        <is>
          <t>V4 Shadow Only；real_money=false</t>
        </is>
      </c>
      <c r="O470" s="14" t="inlineStr">
        <is>
          <t>0-0</t>
        </is>
      </c>
      <c r="P470" s="14" t="inlineStr">
        <is>
          <t>EVALUATED</t>
        </is>
      </c>
      <c r="Q470" s="14" t="inlineStr"/>
      <c r="R470" s="48" t="n">
        <v>1.09</v>
      </c>
      <c r="S470" s="48" t="n"/>
      <c r="T470" s="14" t="inlineStr">
        <is>
          <t>D:\codex\outputs\football_odds_trader\decision_versions\2026-10-08\RUN_20261008_074649\slate_raw.csv</t>
        </is>
      </c>
      <c r="U470" s="14" t="inlineStr"/>
      <c r="V470" s="48" t="inlineStr"/>
      <c r="W470" s="48" t="inlineStr"/>
      <c r="X470" s="14" t="inlineStr">
        <is>
          <t>2940217</t>
        </is>
      </c>
      <c r="Y470" s="14" t="inlineStr">
        <is>
          <t>V4</t>
        </is>
      </c>
      <c r="Z470" s="14" t="inlineStr">
        <is>
          <t>prior-2026-10-08-v1</t>
        </is>
      </c>
      <c r="AA470" s="14" t="inlineStr">
        <is>
          <t>C</t>
        </is>
      </c>
      <c r="AB470" s="14" t="n">
        <v>0.4435254762102929</v>
      </c>
      <c r="AC470" s="14" t="n">
        <v>0.4255174320467864</v>
      </c>
      <c r="AD470" s="14" t="n">
        <v>0.25</v>
      </c>
      <c r="AE470" s="14" t="n"/>
      <c r="AF470" s="14" t="n"/>
      <c r="AG470" s="14" t="n">
        <v>0.05792533702243291</v>
      </c>
      <c r="AH470" s="14" t="n"/>
      <c r="AI470" s="14" t="n"/>
      <c r="AJ470" s="14" t="n">
        <v>0.05792533702243291</v>
      </c>
      <c r="AK470" s="14" t="n"/>
      <c r="AL470" s="14" t="n"/>
      <c r="AM470" s="14" t="n"/>
      <c r="AN470" s="14" t="inlineStr">
        <is>
          <t>EVALUATED</t>
        </is>
      </c>
      <c r="AO470" s="14" t="inlineStr">
        <is>
          <t>GIVING_VALIDATED_EDGE;BUCKET_PRIOR_ONLY;INTENT_INTERPRETATION_ONLY;FFL_OPTIONAL;EXPERT_MARKET</t>
        </is>
      </c>
      <c r="AP470" s="14" t="inlineStr">
        <is>
          <t>2d831e2cd56c78c7d635</t>
        </is>
      </c>
      <c r="AQ470" s="14" t="n">
        <v>-0.25</v>
      </c>
      <c r="AR470" s="14" t="n">
        <v>1.09</v>
      </c>
      <c r="AS470" s="14" t="n">
        <v>0.25</v>
      </c>
      <c r="AT470" s="14" t="n">
        <v>-0.25</v>
      </c>
      <c r="AU470" s="14" t="n">
        <v>1.09</v>
      </c>
      <c r="AV470" s="14" t="n">
        <v>0.79</v>
      </c>
      <c r="AW470" s="14" t="inlineStr">
        <is>
          <t>2026-10-08T07:44:59.408325+08:00</t>
        </is>
      </c>
      <c r="AX470" s="14" t="inlineStr">
        <is>
          <t>Titan007/V4</t>
        </is>
      </c>
      <c r="AY470" s="14" t="inlineStr">
        <is>
          <t>Daily append；市场输入缺失时不生成决策</t>
        </is>
      </c>
    </row>
    <row r="471" ht="22" customHeight="1" s="39">
      <c r="A471" s="14" t="inlineStr">
        <is>
          <t>2026-10-08</t>
        </is>
      </c>
      <c r="B471" s="14" t="inlineStr">
        <is>
          <t>2026-10-09T06:30:00+08:00</t>
        </is>
      </c>
      <c r="C471" s="14" t="inlineStr">
        <is>
          <t>CLUB_LEAGUE</t>
        </is>
      </c>
      <c r="D471" s="14" t="inlineStr"/>
      <c r="E471" s="14" t="inlineStr">
        <is>
          <t>巴西乙</t>
        </is>
      </c>
      <c r="F471" s="14" t="inlineStr">
        <is>
          <t>累西腓航海 vs 诺瓦里桑蒂诺</t>
        </is>
      </c>
      <c r="G471" s="26" t="n">
        <v>0.97</v>
      </c>
      <c r="H471" s="26" t="n">
        <v>-0.25</v>
      </c>
      <c r="I471" s="26" t="n">
        <v>0.91</v>
      </c>
      <c r="J471" s="26" t="inlineStr">
        <is>
          <t>0.97/-0.25/0.91</t>
        </is>
      </c>
      <c r="K471" s="14" t="inlineStr">
        <is>
          <t>V4-B</t>
        </is>
      </c>
      <c r="L471" s="14" t="inlineStr">
        <is>
          <t>累西腓航海</t>
        </is>
      </c>
      <c r="M471" s="47" t="n">
        <v>0.2847541127336167</v>
      </c>
      <c r="N471" s="14" t="inlineStr">
        <is>
          <t>V4 Shadow Only；real_money=false</t>
        </is>
      </c>
      <c r="O471" s="14" t="inlineStr">
        <is>
          <t>0-0</t>
        </is>
      </c>
      <c r="P471" s="14" t="inlineStr">
        <is>
          <t>EVALUATED</t>
        </is>
      </c>
      <c r="Q471" s="14" t="inlineStr"/>
      <c r="R471" s="48" t="n">
        <v>0.97</v>
      </c>
      <c r="S471" s="48" t="n"/>
      <c r="T471" s="14" t="inlineStr">
        <is>
          <t>D:\codex\outputs\football_odds_trader\decision_versions\2026-10-08\RUN_20261008_074649\slate_raw.csv</t>
        </is>
      </c>
      <c r="U471" s="14" t="inlineStr"/>
      <c r="V471" s="48" t="inlineStr"/>
      <c r="W471" s="48" t="inlineStr"/>
      <c r="X471" s="14" t="inlineStr">
        <is>
          <t>2940220</t>
        </is>
      </c>
      <c r="Y471" s="14" t="inlineStr">
        <is>
          <t>V4</t>
        </is>
      </c>
      <c r="Z471" s="14" t="inlineStr">
        <is>
          <t>prior-2026-10-08-v1</t>
        </is>
      </c>
      <c r="AA471" s="14" t="inlineStr">
        <is>
          <t>B</t>
        </is>
      </c>
      <c r="AB471" s="14" t="n">
        <v>0.2847541127336167</v>
      </c>
      <c r="AC471" s="14" t="n">
        <v>0.5856186813199993</v>
      </c>
      <c r="AD471" s="14" t="n">
        <v>-0.25</v>
      </c>
      <c r="AE471" s="14" t="n"/>
      <c r="AF471" s="14" t="n"/>
      <c r="AG471" s="14" t="n">
        <v>0.2832960081467825</v>
      </c>
      <c r="AH471" s="14" t="n"/>
      <c r="AI471" s="14" t="n"/>
      <c r="AJ471" s="14" t="n">
        <v>0.2832960081467825</v>
      </c>
      <c r="AK471" s="14" t="n"/>
      <c r="AL471" s="14" t="n"/>
      <c r="AM471" s="14" t="n"/>
      <c r="AN471" s="14" t="inlineStr">
        <is>
          <t>EVALUATED</t>
        </is>
      </c>
      <c r="AO471" s="14" t="inlineStr">
        <is>
          <t>RECEIVING_VALIDATED_EDGE;BUCKET_PRIOR_ONLY;INTENT_INTERPRETATION_ONLY;FFL_OPTIONAL;EXPERT_MARKET</t>
        </is>
      </c>
      <c r="AP471" s="14" t="inlineStr">
        <is>
          <t>5e8755d16fbd49b535cf</t>
        </is>
      </c>
      <c r="AQ471" s="14" t="n">
        <v>0.25</v>
      </c>
      <c r="AR471" s="14" t="n">
        <v>0.97</v>
      </c>
      <c r="AS471" s="14" t="n">
        <v>-0.25</v>
      </c>
      <c r="AT471" s="14" t="n">
        <v>0.25</v>
      </c>
      <c r="AU471" s="14" t="n">
        <v>0.97</v>
      </c>
      <c r="AV471" s="14" t="n">
        <v>0.91</v>
      </c>
      <c r="AW471" s="14" t="inlineStr">
        <is>
          <t>2026-10-08T07:44:59.408325+08:00</t>
        </is>
      </c>
      <c r="AX471" s="14" t="inlineStr">
        <is>
          <t>Titan007/V4</t>
        </is>
      </c>
      <c r="AY471" s="14" t="inlineStr">
        <is>
          <t>Daily append；市场输入缺失时不生成决策</t>
        </is>
      </c>
    </row>
    <row r="472" ht="22" customHeight="1" s="39">
      <c r="A472" s="14" t="inlineStr">
        <is>
          <t>2026-10-08</t>
        </is>
      </c>
      <c r="B472" s="14" t="inlineStr">
        <is>
          <t>2026-10-08T21:00:00+08:00</t>
        </is>
      </c>
      <c r="C472" s="14" t="inlineStr">
        <is>
          <t>CLUB_LEAGUE</t>
        </is>
      </c>
      <c r="D472" s="14" t="inlineStr"/>
      <c r="E472" s="14" t="inlineStr">
        <is>
          <t>乌兹甲</t>
        </is>
      </c>
      <c r="F472" s="14" t="inlineStr">
        <is>
          <t>FK加扎尔肯特 vs 柏克塔哥B队</t>
        </is>
      </c>
      <c r="G472" s="26" t="n">
        <v>0.83</v>
      </c>
      <c r="H472" s="26" t="n">
        <v>2</v>
      </c>
      <c r="I472" s="26" t="n">
        <v>0.98</v>
      </c>
      <c r="J472" s="26" t="inlineStr">
        <is>
          <t>0.83/2.0/0.98</t>
        </is>
      </c>
      <c r="K472" s="14" t="inlineStr">
        <is>
          <t>V4-B</t>
        </is>
      </c>
      <c r="L472" s="14" t="inlineStr">
        <is>
          <t>FK加扎尔肯特</t>
        </is>
      </c>
      <c r="M472" s="47" t="n">
        <v>0.5173596373194396</v>
      </c>
      <c r="N472" s="14" t="inlineStr">
        <is>
          <t>V4 Shadow Only；real_money=false</t>
        </is>
      </c>
      <c r="O472" s="14" t="inlineStr">
        <is>
          <t>0-0</t>
        </is>
      </c>
      <c r="P472" s="14" t="inlineStr">
        <is>
          <t>EVALUATED</t>
        </is>
      </c>
      <c r="Q472" s="14" t="inlineStr"/>
      <c r="R472" s="48" t="n">
        <v>0.83</v>
      </c>
      <c r="S472" s="48" t="n"/>
      <c r="T472" s="14" t="inlineStr">
        <is>
          <t>D:\codex\outputs\football_odds_trader\decision_versions\2026-10-08\RUN_20261008_074649\slate_raw.csv</t>
        </is>
      </c>
      <c r="U472" s="14" t="inlineStr"/>
      <c r="V472" s="48" t="inlineStr"/>
      <c r="W472" s="48" t="inlineStr"/>
      <c r="X472" s="14" t="inlineStr">
        <is>
          <t>2971101</t>
        </is>
      </c>
      <c r="Y472" s="14" t="inlineStr">
        <is>
          <t>V4</t>
        </is>
      </c>
      <c r="Z472" s="14" t="inlineStr">
        <is>
          <t>prior-2026-10-08-v1</t>
        </is>
      </c>
      <c r="AA472" s="14" t="inlineStr">
        <is>
          <t>B</t>
        </is>
      </c>
      <c r="AB472" s="14" t="n">
        <v>0.5173596373194396</v>
      </c>
      <c r="AC472" s="14" t="n">
        <v>0.2467757587545319</v>
      </c>
      <c r="AD472" s="14" t="n">
        <v>3</v>
      </c>
      <c r="AE472" s="14" t="n"/>
      <c r="AF472" s="14" t="n"/>
      <c r="AG472" s="14" t="n">
        <v>0.1826327402206029</v>
      </c>
      <c r="AH472" s="14" t="n"/>
      <c r="AI472" s="14" t="n"/>
      <c r="AJ472" s="14" t="n">
        <v>0.1826327402206029</v>
      </c>
      <c r="AK472" s="14" t="n"/>
      <c r="AL472" s="14" t="n"/>
      <c r="AM472" s="14" t="n"/>
      <c r="AN472" s="14" t="inlineStr">
        <is>
          <t>EVALUATED</t>
        </is>
      </c>
      <c r="AO472" s="14" t="inlineStr">
        <is>
          <t>GIVING_VALIDATED_EDGE;BUCKET_PRIOR_ONLY;INTENT_INTERPRETATION_ONLY;FFL_OPTIONAL;EXPERT_MARKET</t>
        </is>
      </c>
      <c r="AP472" s="14" t="inlineStr">
        <is>
          <t>d76a38c0637de0eac1dc</t>
        </is>
      </c>
      <c r="AQ472" s="14" t="n">
        <v>-2</v>
      </c>
      <c r="AR472" s="14" t="n">
        <v>0.83</v>
      </c>
      <c r="AS472" s="14" t="n">
        <v>2</v>
      </c>
      <c r="AT472" s="14" t="n">
        <v>-2</v>
      </c>
      <c r="AU472" s="14" t="n">
        <v>0.83</v>
      </c>
      <c r="AV472" s="14" t="n">
        <v>0.98</v>
      </c>
      <c r="AW472" s="14" t="inlineStr">
        <is>
          <t>2026-10-08T07:44:59.408325+08:00</t>
        </is>
      </c>
      <c r="AX472" s="14" t="inlineStr">
        <is>
          <t>Titan007/V4</t>
        </is>
      </c>
      <c r="AY472" s="14" t="inlineStr">
        <is>
          <t>Daily append；市场输入缺失时不生成决策</t>
        </is>
      </c>
    </row>
    <row r="473" ht="22" customHeight="1" s="39">
      <c r="A473" s="14" t="inlineStr">
        <is>
          <t>2026-10-08</t>
        </is>
      </c>
      <c r="B473" s="14" t="inlineStr">
        <is>
          <t>2026-10-08T19:00:00+08:00</t>
        </is>
      </c>
      <c r="C473" s="14" t="inlineStr">
        <is>
          <t>CLUB_LEAGUE</t>
        </is>
      </c>
      <c r="D473" s="14" t="inlineStr"/>
      <c r="E473" s="14" t="inlineStr">
        <is>
          <t>乌兹甲</t>
        </is>
      </c>
      <c r="F473" s="14" t="inlineStr">
        <is>
          <t>卡塔库尔甘 vs 比克波德</t>
        </is>
      </c>
      <c r="G473" s="26" t="n">
        <v>0.89</v>
      </c>
      <c r="H473" s="26" t="n">
        <v>-0.25</v>
      </c>
      <c r="I473" s="26" t="n">
        <v>0.8100000000000001</v>
      </c>
      <c r="J473" s="26" t="inlineStr">
        <is>
          <t>0.89/-0.25/0.81</t>
        </is>
      </c>
      <c r="K473" s="14" t="inlineStr">
        <is>
          <t>V4-B</t>
        </is>
      </c>
      <c r="L473" s="14" t="inlineStr">
        <is>
          <t>卡塔库尔甘</t>
        </is>
      </c>
      <c r="M473" s="47" t="n">
        <v>0.2633968002019567</v>
      </c>
      <c r="N473" s="14" t="inlineStr">
        <is>
          <t>V4 Shadow Only；real_money=false</t>
        </is>
      </c>
      <c r="O473" s="14" t="inlineStr">
        <is>
          <t>0-0</t>
        </is>
      </c>
      <c r="P473" s="14" t="inlineStr">
        <is>
          <t>EVALUATED</t>
        </is>
      </c>
      <c r="Q473" s="14" t="inlineStr"/>
      <c r="R473" s="48" t="n">
        <v>0.89</v>
      </c>
      <c r="S473" s="48" t="n"/>
      <c r="T473" s="14" t="inlineStr">
        <is>
          <t>D:\codex\outputs\football_odds_trader\decision_versions\2026-10-08\RUN_20261008_074649\slate_raw.csv</t>
        </is>
      </c>
      <c r="U473" s="14" t="inlineStr"/>
      <c r="V473" s="48" t="inlineStr"/>
      <c r="W473" s="48" t="inlineStr"/>
      <c r="X473" s="14" t="inlineStr">
        <is>
          <t>2971102</t>
        </is>
      </c>
      <c r="Y473" s="14" t="inlineStr">
        <is>
          <t>V4</t>
        </is>
      </c>
      <c r="Z473" s="14" t="inlineStr">
        <is>
          <t>prior-2026-10-08-v1</t>
        </is>
      </c>
      <c r="AA473" s="14" t="inlineStr">
        <is>
          <t>B</t>
        </is>
      </c>
      <c r="AB473" s="14" t="n">
        <v>0.2633968002019567</v>
      </c>
      <c r="AC473" s="14" t="n">
        <v>0.6091006225424759</v>
      </c>
      <c r="AD473" s="14" t="n">
        <v>-0.5</v>
      </c>
      <c r="AE473" s="14" t="n"/>
      <c r="AF473" s="14" t="n"/>
      <c r="AG473" s="14" t="n">
        <v>0.2787027538608469</v>
      </c>
      <c r="AH473" s="14" t="n"/>
      <c r="AI473" s="14" t="n"/>
      <c r="AJ473" s="14" t="n">
        <v>0.2787027538608469</v>
      </c>
      <c r="AK473" s="14" t="n"/>
      <c r="AL473" s="14" t="n"/>
      <c r="AM473" s="14" t="n"/>
      <c r="AN473" s="14" t="inlineStr">
        <is>
          <t>EVALUATED</t>
        </is>
      </c>
      <c r="AO473" s="14" t="inlineStr">
        <is>
          <t>RECEIVING_VALIDATED_EDGE;BUCKET_PRIOR_ONLY;INTENT_INTERPRETATION_ONLY;FFL_OPTIONAL;EXPERT_MARKET</t>
        </is>
      </c>
      <c r="AP473" s="14" t="inlineStr">
        <is>
          <t>038b2e54eebb05a4107c</t>
        </is>
      </c>
      <c r="AQ473" s="14" t="n">
        <v>0.25</v>
      </c>
      <c r="AR473" s="14" t="n">
        <v>0.89</v>
      </c>
      <c r="AS473" s="14" t="n">
        <v>-0.25</v>
      </c>
      <c r="AT473" s="14" t="n">
        <v>0.25</v>
      </c>
      <c r="AU473" s="14" t="n">
        <v>0.89</v>
      </c>
      <c r="AV473" s="14" t="n">
        <v>0.8100000000000001</v>
      </c>
      <c r="AW473" s="14" t="inlineStr">
        <is>
          <t>2026-10-08T07:44:59.408325+08:00</t>
        </is>
      </c>
      <c r="AX473" s="14" t="inlineStr">
        <is>
          <t>Titan007/V4</t>
        </is>
      </c>
      <c r="AY473" s="14" t="inlineStr">
        <is>
          <t>Daily append；市场输入缺失时不生成决策</t>
        </is>
      </c>
    </row>
    <row r="474" ht="22" customHeight="1" s="39">
      <c r="A474" s="14" t="inlineStr">
        <is>
          <t>2026-10-08</t>
        </is>
      </c>
      <c r="B474" s="14" t="inlineStr">
        <is>
          <t>2026-10-08T18:30:00+08:00</t>
        </is>
      </c>
      <c r="C474" s="14" t="inlineStr">
        <is>
          <t>CLUB_LEAGUE</t>
        </is>
      </c>
      <c r="D474" s="14" t="inlineStr"/>
      <c r="E474" s="14" t="inlineStr">
        <is>
          <t>乌兹甲</t>
        </is>
      </c>
      <c r="F474" s="14" t="inlineStr">
        <is>
          <t>FA共和国 vs 雅潘FK</t>
        </is>
      </c>
      <c r="G474" s="26" t="n">
        <v>0.75</v>
      </c>
      <c r="H474" s="26" t="n">
        <v>0.75</v>
      </c>
      <c r="I474" s="26" t="n">
        <v>0.95</v>
      </c>
      <c r="J474" s="26" t="inlineStr">
        <is>
          <t>0.75/0.75/0.95</t>
        </is>
      </c>
      <c r="K474" s="14" t="inlineStr">
        <is>
          <t>V4-B</t>
        </is>
      </c>
      <c r="L474" s="14" t="inlineStr">
        <is>
          <t>FA共和国</t>
        </is>
      </c>
      <c r="M474" s="47" t="n">
        <v>0.5470425617584344</v>
      </c>
      <c r="N474" s="14" t="inlineStr">
        <is>
          <t>V4 Shadow Only；real_money=false</t>
        </is>
      </c>
      <c r="O474" s="14" t="inlineStr">
        <is>
          <t>0-0</t>
        </is>
      </c>
      <c r="P474" s="14" t="inlineStr">
        <is>
          <t>EVALUATED</t>
        </is>
      </c>
      <c r="Q474" s="14" t="inlineStr"/>
      <c r="R474" s="48" t="n">
        <v>0.75</v>
      </c>
      <c r="S474" s="48" t="n"/>
      <c r="T474" s="14" t="inlineStr">
        <is>
          <t>D:\codex\outputs\football_odds_trader\decision_versions\2026-10-08\RUN_20261008_074649\slate_raw.csv</t>
        </is>
      </c>
      <c r="U474" s="14" t="inlineStr"/>
      <c r="V474" s="48" t="inlineStr"/>
      <c r="W474" s="48" t="inlineStr"/>
      <c r="X474" s="14" t="inlineStr">
        <is>
          <t>2971104</t>
        </is>
      </c>
      <c r="Y474" s="14" t="inlineStr">
        <is>
          <t>V4</t>
        </is>
      </c>
      <c r="Z474" s="14" t="inlineStr">
        <is>
          <t>prior-2026-10-08-v1</t>
        </is>
      </c>
      <c r="AA474" s="14" t="inlineStr">
        <is>
          <t>B</t>
        </is>
      </c>
      <c r="AB474" s="14" t="n">
        <v>0.5470425617584344</v>
      </c>
      <c r="AC474" s="14" t="n">
        <v>0.3247136860019415</v>
      </c>
      <c r="AD474" s="14" t="n">
        <v>1.25</v>
      </c>
      <c r="AE474" s="14" t="n"/>
      <c r="AF474" s="14" t="n"/>
      <c r="AG474" s="14" t="n">
        <v>0.08556823531688423</v>
      </c>
      <c r="AH474" s="14" t="n"/>
      <c r="AI474" s="14" t="n"/>
      <c r="AJ474" s="14" t="n">
        <v>0.08556823531688423</v>
      </c>
      <c r="AK474" s="14" t="n"/>
      <c r="AL474" s="14" t="n"/>
      <c r="AM474" s="14" t="n"/>
      <c r="AN474" s="14" t="inlineStr">
        <is>
          <t>EVALUATED</t>
        </is>
      </c>
      <c r="AO474" s="14" t="inlineStr">
        <is>
          <t>GIVING_VALIDATED_EDGE;BUCKET_PRIOR_ONLY;INTENT_INTERPRETATION_ONLY;FFL_OPTIONAL;EXPERT_MARKET</t>
        </is>
      </c>
      <c r="AP474" s="14" t="inlineStr">
        <is>
          <t>ab97a1b509a975730a5e</t>
        </is>
      </c>
      <c r="AQ474" s="14" t="n">
        <v>-0.75</v>
      </c>
      <c r="AR474" s="14" t="n">
        <v>0.75</v>
      </c>
      <c r="AS474" s="14" t="n">
        <v>0.75</v>
      </c>
      <c r="AT474" s="14" t="n">
        <v>-0.75</v>
      </c>
      <c r="AU474" s="14" t="n">
        <v>0.75</v>
      </c>
      <c r="AV474" s="14" t="n">
        <v>0.95</v>
      </c>
      <c r="AW474" s="14" t="inlineStr">
        <is>
          <t>2026-10-08T07:44:59.408325+08:00</t>
        </is>
      </c>
      <c r="AX474" s="14" t="inlineStr">
        <is>
          <t>Titan007/V4</t>
        </is>
      </c>
      <c r="AY474" s="14" t="inlineStr">
        <is>
          <t>Daily append；市场输入缺失时不生成决策</t>
        </is>
      </c>
    </row>
    <row r="475" ht="22" customHeight="1" s="39">
      <c r="A475" s="14" t="inlineStr">
        <is>
          <t>2026-10-08</t>
        </is>
      </c>
      <c r="B475" s="14" t="inlineStr">
        <is>
          <t>2026-10-08T20:00:00+08:00</t>
        </is>
      </c>
      <c r="C475" s="14" t="inlineStr"/>
      <c r="D475" s="14" t="inlineStr"/>
      <c r="E475" s="14" t="inlineStr">
        <is>
          <t>东盟锦标</t>
        </is>
      </c>
      <c r="F475" s="14" t="inlineStr">
        <is>
          <t>柔佛 vs 柴桢</t>
        </is>
      </c>
      <c r="G475" s="26" t="n">
        <v>1.25</v>
      </c>
      <c r="H475" s="26" t="n">
        <v>2</v>
      </c>
      <c r="I475" s="26" t="n">
        <v>0.5</v>
      </c>
      <c r="J475" s="26" t="inlineStr">
        <is>
          <t>1.25/2.0/0.5</t>
        </is>
      </c>
      <c r="K475" s="14" t="inlineStr">
        <is>
          <t>V4-B</t>
        </is>
      </c>
      <c r="L475" s="14" t="inlineStr">
        <is>
          <t>柔佛</t>
        </is>
      </c>
      <c r="M475" s="47" t="n">
        <v>0.4131619535260843</v>
      </c>
      <c r="N475" s="14" t="inlineStr">
        <is>
          <t>V4 Shadow Only；real_money=false</t>
        </is>
      </c>
      <c r="O475" s="14" t="inlineStr">
        <is>
          <t>0-0</t>
        </is>
      </c>
      <c r="P475" s="14" t="inlineStr">
        <is>
          <t>EVALUATED</t>
        </is>
      </c>
      <c r="Q475" s="14" t="inlineStr"/>
      <c r="R475" s="48" t="n">
        <v>1.25</v>
      </c>
      <c r="S475" s="48" t="n"/>
      <c r="T475" s="14" t="inlineStr">
        <is>
          <t>D:\codex\outputs\football_odds_trader\decision_versions\2026-10-08\RUN_20261008_074649\slate_raw.csv</t>
        </is>
      </c>
      <c r="U475" s="14" t="inlineStr"/>
      <c r="V475" s="48" t="inlineStr"/>
      <c r="W475" s="48" t="inlineStr"/>
      <c r="X475" s="14" t="inlineStr">
        <is>
          <t>3006574</t>
        </is>
      </c>
      <c r="Y475" s="14" t="inlineStr">
        <is>
          <t>V4</t>
        </is>
      </c>
      <c r="Z475" s="14" t="inlineStr">
        <is>
          <t>prior-2026-10-08-v1</t>
        </is>
      </c>
      <c r="AA475" s="14" t="inlineStr">
        <is>
          <t>B</t>
        </is>
      </c>
      <c r="AB475" s="14" t="n">
        <v>0.4131619535260843</v>
      </c>
      <c r="AC475" s="14" t="n">
        <v>0.340572961735073</v>
      </c>
      <c r="AD475" s="14" t="n">
        <v>2.25</v>
      </c>
      <c r="AE475" s="14" t="n"/>
      <c r="AF475" s="14" t="n"/>
      <c r="AG475" s="14" t="n">
        <v>0.1758794801725324</v>
      </c>
      <c r="AH475" s="14" t="n"/>
      <c r="AI475" s="14" t="n"/>
      <c r="AJ475" s="14" t="n">
        <v>0.1758794801725324</v>
      </c>
      <c r="AK475" s="14" t="n"/>
      <c r="AL475" s="14" t="n"/>
      <c r="AM475" s="14" t="n"/>
      <c r="AN475" s="14" t="inlineStr">
        <is>
          <t>EVALUATED</t>
        </is>
      </c>
      <c r="AO475" s="14" t="inlineStr">
        <is>
          <t>GIVING_VALIDATED_EDGE;BUCKET_PRIOR_ONLY;INTENT_INTERPRETATION_ONLY;FFL_OPTIONAL;EXPERT_MARKET</t>
        </is>
      </c>
      <c r="AP475" s="14" t="inlineStr">
        <is>
          <t>752b509e51949974a20d</t>
        </is>
      </c>
      <c r="AQ475" s="14" t="n">
        <v>-2</v>
      </c>
      <c r="AR475" s="14" t="n">
        <v>1.25</v>
      </c>
      <c r="AS475" s="14" t="n">
        <v>2</v>
      </c>
      <c r="AT475" s="14" t="n">
        <v>-2</v>
      </c>
      <c r="AU475" s="14" t="n">
        <v>1.25</v>
      </c>
      <c r="AV475" s="14" t="n">
        <v>0.5</v>
      </c>
      <c r="AW475" s="14" t="inlineStr">
        <is>
          <t>2026-10-08T07:44:59.408325+08:00</t>
        </is>
      </c>
      <c r="AX475" s="14" t="inlineStr">
        <is>
          <t>Titan007/V4</t>
        </is>
      </c>
      <c r="AY475" s="14" t="inlineStr">
        <is>
          <t>Daily append；市场输入缺失时不生成决策</t>
        </is>
      </c>
    </row>
    <row r="476" ht="22" customHeight="1" s="39">
      <c r="A476" s="14" t="inlineStr">
        <is>
          <t>2026-10-08</t>
        </is>
      </c>
      <c r="B476" s="14" t="inlineStr">
        <is>
          <t>2026-10-09T04:30:00+08:00</t>
        </is>
      </c>
      <c r="C476" s="14" t="inlineStr">
        <is>
          <t>CLUB_LEAGUE</t>
        </is>
      </c>
      <c r="D476" s="14" t="inlineStr"/>
      <c r="E476" s="14" t="inlineStr">
        <is>
          <t>哥伦乙秋</t>
        </is>
      </c>
      <c r="F476" s="14" t="inlineStr">
        <is>
          <t>卡利竞技 vs 卡达根拿</t>
        </is>
      </c>
      <c r="G476" s="26" t="n">
        <v>0.75</v>
      </c>
      <c r="H476" s="26" t="n">
        <v>-1</v>
      </c>
      <c r="I476" s="26" t="n">
        <v>0.95</v>
      </c>
      <c r="J476" s="26" t="inlineStr">
        <is>
          <t>0.75/-1.0/0.95</t>
        </is>
      </c>
      <c r="K476" s="14" t="inlineStr">
        <is>
          <t>V4-B</t>
        </is>
      </c>
      <c r="L476" s="14" t="inlineStr">
        <is>
          <t>卡利竞技</t>
        </is>
      </c>
      <c r="M476" s="47" t="n">
        <v>0.02592061929907502</v>
      </c>
      <c r="N476" s="14" t="inlineStr">
        <is>
          <t>V4 Shadow Only；real_money=false</t>
        </is>
      </c>
      <c r="O476" s="14" t="inlineStr">
        <is>
          <t>0-0</t>
        </is>
      </c>
      <c r="P476" s="14" t="inlineStr">
        <is>
          <t>EVALUATED</t>
        </is>
      </c>
      <c r="Q476" s="14" t="inlineStr"/>
      <c r="R476" s="48" t="n">
        <v>0.75</v>
      </c>
      <c r="S476" s="48" t="n"/>
      <c r="T476" s="14" t="inlineStr">
        <is>
          <t>D:\codex\outputs\football_odds_trader\decision_versions\2026-10-08\RUN_20261008_074649\slate_raw.csv</t>
        </is>
      </c>
      <c r="U476" s="14" t="inlineStr"/>
      <c r="V476" s="48" t="inlineStr"/>
      <c r="W476" s="48" t="inlineStr"/>
      <c r="X476" s="14" t="inlineStr">
        <is>
          <t>3012154</t>
        </is>
      </c>
      <c r="Y476" s="14" t="inlineStr">
        <is>
          <t>V4</t>
        </is>
      </c>
      <c r="Z476" s="14" t="inlineStr">
        <is>
          <t>prior-2026-10-08-v1</t>
        </is>
      </c>
      <c r="AA476" s="14" t="inlineStr">
        <is>
          <t>B</t>
        </is>
      </c>
      <c r="AB476" s="14" t="n">
        <v>0.02592061929907502</v>
      </c>
      <c r="AC476" s="14" t="n">
        <v>0.8936009344729309</v>
      </c>
      <c r="AD476" s="14" t="n">
        <v>-1.25</v>
      </c>
      <c r="AE476" s="14" t="n"/>
      <c r="AF476" s="14" t="n"/>
      <c r="AG476" s="14" t="n">
        <v>0.6442800815556231</v>
      </c>
      <c r="AH476" s="14" t="n"/>
      <c r="AI476" s="14" t="n"/>
      <c r="AJ476" s="14" t="n">
        <v>0.6442800815556231</v>
      </c>
      <c r="AK476" s="14" t="n"/>
      <c r="AL476" s="14" t="n"/>
      <c r="AM476" s="14" t="n"/>
      <c r="AN476" s="14" t="inlineStr">
        <is>
          <t>EVALUATED</t>
        </is>
      </c>
      <c r="AO476" s="14" t="inlineStr">
        <is>
          <t>RECEIVING_VALIDATED_EDGE;BUCKET_PRIOR_ONLY;INTENT_INTERPRETATION_ONLY;FFL_OPTIONAL;EXPERT_MARKET</t>
        </is>
      </c>
      <c r="AP476" s="14" t="inlineStr">
        <is>
          <t>c78a14b364a8b3fd146e</t>
        </is>
      </c>
      <c r="AQ476" s="14" t="n">
        <v>1</v>
      </c>
      <c r="AR476" s="14" t="n">
        <v>0.75</v>
      </c>
      <c r="AS476" s="14" t="n">
        <v>-1</v>
      </c>
      <c r="AT476" s="14" t="n">
        <v>1</v>
      </c>
      <c r="AU476" s="14" t="n">
        <v>0.75</v>
      </c>
      <c r="AV476" s="14" t="n">
        <v>0.95</v>
      </c>
      <c r="AW476" s="14" t="inlineStr">
        <is>
          <t>2026-10-08T07:44:59.408325+08:00</t>
        </is>
      </c>
      <c r="AX476" s="14" t="inlineStr">
        <is>
          <t>Titan007/V4</t>
        </is>
      </c>
      <c r="AY476" s="14" t="inlineStr">
        <is>
          <t>Daily append；市场输入缺失时不生成决策</t>
        </is>
      </c>
    </row>
    <row r="477" ht="22" customHeight="1" s="39">
      <c r="A477" s="14" t="inlineStr">
        <is>
          <t>2026-10-08</t>
        </is>
      </c>
      <c r="B477" s="14" t="inlineStr">
        <is>
          <t>2026-10-09T09:00:00+08:00</t>
        </is>
      </c>
      <c r="C477" s="14" t="inlineStr"/>
      <c r="D477" s="14" t="inlineStr"/>
      <c r="E477" s="14" t="inlineStr">
        <is>
          <t>墨西甲春</t>
        </is>
      </c>
      <c r="F477" s="14" t="inlineStr">
        <is>
          <t>瓦哈卡 vs 克雷卡米诺斯</t>
        </is>
      </c>
      <c r="G477" s="26" t="n">
        <v>0.84</v>
      </c>
      <c r="H477" s="26" t="n">
        <v>-0.5</v>
      </c>
      <c r="I477" s="26" t="n">
        <v>0.98</v>
      </c>
      <c r="J477" s="26" t="inlineStr">
        <is>
          <t>0.84/-0.5/0.98</t>
        </is>
      </c>
      <c r="K477" s="14" t="inlineStr">
        <is>
          <t>V4-A</t>
        </is>
      </c>
      <c r="L477" s="14" t="inlineStr">
        <is>
          <t>瓦哈卡</t>
        </is>
      </c>
      <c r="M477" s="47" t="n">
        <v>0.231774160992744</v>
      </c>
      <c r="N477" s="14" t="inlineStr">
        <is>
          <t>V4 Shadow Only；real_money=false</t>
        </is>
      </c>
      <c r="O477" s="14" t="inlineStr">
        <is>
          <t>0-0</t>
        </is>
      </c>
      <c r="P477" s="14" t="inlineStr">
        <is>
          <t>EVALUATED</t>
        </is>
      </c>
      <c r="Q477" s="14" t="inlineStr"/>
      <c r="R477" s="48" t="n">
        <v>0.84</v>
      </c>
      <c r="S477" s="48" t="n"/>
      <c r="T477" s="14" t="inlineStr">
        <is>
          <t>D:\codex\outputs\football_odds_trader\decision_versions\2026-10-08\RUN_20261008_074649\slate_raw.csv</t>
        </is>
      </c>
      <c r="U477" s="14" t="inlineStr"/>
      <c r="V477" s="48" t="inlineStr"/>
      <c r="W477" s="48" t="inlineStr"/>
      <c r="X477" s="14" t="inlineStr">
        <is>
          <t>3024477</t>
        </is>
      </c>
      <c r="Y477" s="14" t="inlineStr">
        <is>
          <t>V4</t>
        </is>
      </c>
      <c r="Z477" s="14" t="inlineStr">
        <is>
          <t>prior-2026-10-08-v1</t>
        </is>
      </c>
      <c r="AA477" s="14" t="inlineStr">
        <is>
          <t>A</t>
        </is>
      </c>
      <c r="AB477" s="14" t="n">
        <v>0.231774160992744</v>
      </c>
      <c r="AC477" s="14" t="n">
        <v>0.7682258390072559</v>
      </c>
      <c r="AD477" s="14" t="n">
        <v>-0.75</v>
      </c>
      <c r="AE477" s="14" t="n"/>
      <c r="AF477" s="14" t="n"/>
      <c r="AG477" s="14" t="n">
        <v>0.4135355437733509</v>
      </c>
      <c r="AH477" s="14" t="n"/>
      <c r="AI477" s="14" t="n"/>
      <c r="AJ477" s="14" t="n">
        <v>0.4135355437733509</v>
      </c>
      <c r="AK477" s="14" t="n"/>
      <c r="AL477" s="14" t="n"/>
      <c r="AM477" s="14" t="n"/>
      <c r="AN477" s="14" t="inlineStr">
        <is>
          <t>EVALUATED</t>
        </is>
      </c>
      <c r="AO477" s="14" t="inlineStr">
        <is>
          <t>RECEIVING_VALIDATED_EDGE;BUCKET_PRIOR_ONLY;INTENT_INTERPRETATION_ONLY;FFL_OPTIONAL;EXPERT_MARKET</t>
        </is>
      </c>
      <c r="AP477" s="14" t="inlineStr">
        <is>
          <t>f94de7053a80ea6b5265</t>
        </is>
      </c>
      <c r="AQ477" s="14" t="n">
        <v>0.5</v>
      </c>
      <c r="AR477" s="14" t="n">
        <v>0.84</v>
      </c>
      <c r="AS477" s="14" t="n">
        <v>-0.5</v>
      </c>
      <c r="AT477" s="14" t="n">
        <v>0.5</v>
      </c>
      <c r="AU477" s="14" t="n">
        <v>0.84</v>
      </c>
      <c r="AV477" s="14" t="n">
        <v>0.98</v>
      </c>
      <c r="AW477" s="14" t="inlineStr">
        <is>
          <t>2026-10-08T07:44:59.408325+08:00</t>
        </is>
      </c>
      <c r="AX477" s="14" t="inlineStr">
        <is>
          <t>Titan007/V4</t>
        </is>
      </c>
      <c r="AY477" s="14" t="inlineStr">
        <is>
          <t>Daily append；市场输入缺失时不生成决策</t>
        </is>
      </c>
    </row>
    <row r="478" ht="22" customHeight="1" s="39">
      <c r="A478" s="14" t="inlineStr">
        <is>
          <t>2026-10-08</t>
        </is>
      </c>
      <c r="B478" s="14" t="inlineStr">
        <is>
          <t>2026-10-09T03:00:00+08:00</t>
        </is>
      </c>
      <c r="C478" s="14" t="inlineStr"/>
      <c r="D478" s="14" t="inlineStr"/>
      <c r="E478" s="14" t="inlineStr">
        <is>
          <t>阿尔甲</t>
        </is>
      </c>
      <c r="F478" s="14" t="inlineStr">
        <is>
          <t>MC奥兰 vs 塞堤夫</t>
        </is>
      </c>
      <c r="G478" s="26" t="n">
        <v>0.98</v>
      </c>
      <c r="H478" s="26" t="n">
        <v>0.5</v>
      </c>
      <c r="I478" s="26" t="n">
        <v>0.72</v>
      </c>
      <c r="J478" s="26" t="inlineStr">
        <is>
          <t>0.98/0.5/0.72</t>
        </is>
      </c>
      <c r="K478" s="14" t="inlineStr">
        <is>
          <t>V4-A</t>
        </is>
      </c>
      <c r="L478" s="14" t="inlineStr">
        <is>
          <t>MC奥兰</t>
        </is>
      </c>
      <c r="M478" s="47" t="n">
        <v>0.5701524786038196</v>
      </c>
      <c r="N478" s="14" t="inlineStr">
        <is>
          <t>V4 Shadow Only；real_money=false</t>
        </is>
      </c>
      <c r="O478" s="14" t="inlineStr">
        <is>
          <t>0-0</t>
        </is>
      </c>
      <c r="P478" s="14" t="inlineStr">
        <is>
          <t>EVALUATED</t>
        </is>
      </c>
      <c r="Q478" s="14" t="inlineStr"/>
      <c r="R478" s="48" t="n">
        <v>0.98</v>
      </c>
      <c r="S478" s="48" t="n"/>
      <c r="T478" s="14" t="inlineStr">
        <is>
          <t>D:\codex\outputs\football_odds_trader\decision_versions\2026-10-08\RUN_20261008_074649\slate_raw.csv</t>
        </is>
      </c>
      <c r="U478" s="14" t="inlineStr"/>
      <c r="V478" s="48" t="inlineStr"/>
      <c r="W478" s="48" t="inlineStr"/>
      <c r="X478" s="14" t="inlineStr">
        <is>
          <t>3056763</t>
        </is>
      </c>
      <c r="Y478" s="14" t="inlineStr">
        <is>
          <t>V4</t>
        </is>
      </c>
      <c r="Z478" s="14" t="inlineStr">
        <is>
          <t>prior-2026-10-08-v1</t>
        </is>
      </c>
      <c r="AA478" s="14" t="inlineStr">
        <is>
          <t>A</t>
        </is>
      </c>
      <c r="AB478" s="14" t="n">
        <v>0.5701524786038196</v>
      </c>
      <c r="AC478" s="14" t="n">
        <v>0.4298475213961804</v>
      </c>
      <c r="AD478" s="14" t="n">
        <v>0.75</v>
      </c>
      <c r="AE478" s="14" t="n"/>
      <c r="AF478" s="14" t="n"/>
      <c r="AG478" s="14" t="n">
        <v>0.1289019076355628</v>
      </c>
      <c r="AH478" s="14" t="n"/>
      <c r="AI478" s="14" t="n"/>
      <c r="AJ478" s="14" t="n">
        <v>0.1289019076355628</v>
      </c>
      <c r="AK478" s="14" t="n"/>
      <c r="AL478" s="14" t="n"/>
      <c r="AM478" s="14" t="n"/>
      <c r="AN478" s="14" t="inlineStr">
        <is>
          <t>EVALUATED</t>
        </is>
      </c>
      <c r="AO478" s="14" t="inlineStr">
        <is>
          <t>GIVING_VALIDATED_EDGE;BUCKET_PRIOR_ONLY;INTENT_INTERPRETATION_ONLY;FFL_OPTIONAL;EXPERT_MARKET</t>
        </is>
      </c>
      <c r="AP478" s="14" t="inlineStr">
        <is>
          <t>0e00281cdfa9687463b1</t>
        </is>
      </c>
      <c r="AQ478" s="14" t="n">
        <v>-0.5</v>
      </c>
      <c r="AR478" s="14" t="n">
        <v>0.98</v>
      </c>
      <c r="AS478" s="14" t="n">
        <v>0.5</v>
      </c>
      <c r="AT478" s="14" t="n">
        <v>-0.5</v>
      </c>
      <c r="AU478" s="14" t="n">
        <v>0.98</v>
      </c>
      <c r="AV478" s="14" t="n">
        <v>0.72</v>
      </c>
      <c r="AW478" s="14" t="inlineStr">
        <is>
          <t>2026-10-08T07:44:59.408325+08:00</t>
        </is>
      </c>
      <c r="AX478" s="14" t="inlineStr">
        <is>
          <t>Titan007/V4</t>
        </is>
      </c>
      <c r="AY478" s="14" t="inlineStr">
        <is>
          <t>Daily append；市场输入缺失时不生成决策</t>
        </is>
      </c>
    </row>
    <row r="479" ht="22" customHeight="1" s="39">
      <c r="A479" s="14" t="inlineStr">
        <is>
          <t>2026-10-08</t>
        </is>
      </c>
      <c r="B479" s="14" t="inlineStr">
        <is>
          <t>2026-10-09T01:00:00+08:00</t>
        </is>
      </c>
      <c r="C479" s="14" t="inlineStr"/>
      <c r="D479" s="14" t="inlineStr"/>
      <c r="E479" s="14" t="inlineStr">
        <is>
          <t>阿尔甲</t>
        </is>
      </c>
      <c r="F479" s="14" t="inlineStr">
        <is>
          <t>圣罗拉 vs 奥德阿库</t>
        </is>
      </c>
      <c r="G479" s="26" t="n">
        <v>0.84</v>
      </c>
      <c r="H479" s="26" t="n">
        <v>0.5</v>
      </c>
      <c r="I479" s="26" t="n">
        <v>0.86</v>
      </c>
      <c r="J479" s="26" t="inlineStr">
        <is>
          <t>0.84/0.5/0.86</t>
        </is>
      </c>
      <c r="K479" s="14" t="inlineStr">
        <is>
          <t>V4-A</t>
        </is>
      </c>
      <c r="L479" s="14" t="inlineStr">
        <is>
          <t>圣罗拉</t>
        </is>
      </c>
      <c r="M479" s="47" t="n">
        <v>0.6277464897964813</v>
      </c>
      <c r="N479" s="14" t="inlineStr">
        <is>
          <t>V4 Shadow Only；real_money=false</t>
        </is>
      </c>
      <c r="O479" s="14" t="inlineStr">
        <is>
          <t>0-0</t>
        </is>
      </c>
      <c r="P479" s="14" t="inlineStr">
        <is>
          <t>EVALUATED</t>
        </is>
      </c>
      <c r="Q479" s="14" t="inlineStr"/>
      <c r="R479" s="48" t="n">
        <v>0.84</v>
      </c>
      <c r="S479" s="48" t="n"/>
      <c r="T479" s="14" t="inlineStr">
        <is>
          <t>D:\codex\outputs\football_odds_trader\decision_versions\2026-10-08\RUN_20261008_074649\slate_raw.csv</t>
        </is>
      </c>
      <c r="U479" s="14" t="inlineStr"/>
      <c r="V479" s="48" t="inlineStr"/>
      <c r="W479" s="48" t="inlineStr"/>
      <c r="X479" s="14" t="inlineStr">
        <is>
          <t>3056765</t>
        </is>
      </c>
      <c r="Y479" s="14" t="inlineStr">
        <is>
          <t>V4</t>
        </is>
      </c>
      <c r="Z479" s="14" t="inlineStr">
        <is>
          <t>prior-2026-10-08-v1</t>
        </is>
      </c>
      <c r="AA479" s="14" t="inlineStr">
        <is>
          <t>A</t>
        </is>
      </c>
      <c r="AB479" s="14" t="n">
        <v>0.6277464897964813</v>
      </c>
      <c r="AC479" s="14" t="n">
        <v>0.3722535102035187</v>
      </c>
      <c r="AD479" s="14" t="n">
        <v>1</v>
      </c>
      <c r="AE479" s="14" t="n"/>
      <c r="AF479" s="14" t="n"/>
      <c r="AG479" s="14" t="n">
        <v>0.1550535412255255</v>
      </c>
      <c r="AH479" s="14" t="n"/>
      <c r="AI479" s="14" t="n"/>
      <c r="AJ479" s="14" t="n">
        <v>0.1550535412255255</v>
      </c>
      <c r="AK479" s="14" t="n"/>
      <c r="AL479" s="14" t="n"/>
      <c r="AM479" s="14" t="n"/>
      <c r="AN479" s="14" t="inlineStr">
        <is>
          <t>EVALUATED</t>
        </is>
      </c>
      <c r="AO479" s="14" t="inlineStr">
        <is>
          <t>GIVING_VALIDATED_EDGE;BUCKET_PRIOR_ONLY;INTENT_INTERPRETATION_ONLY;FFL_OPTIONAL;EXPERT_MARKET</t>
        </is>
      </c>
      <c r="AP479" s="14" t="inlineStr">
        <is>
          <t>db4b152848d5aa361e8a</t>
        </is>
      </c>
      <c r="AQ479" s="14" t="n">
        <v>-0.5</v>
      </c>
      <c r="AR479" s="14" t="n">
        <v>0.84</v>
      </c>
      <c r="AS479" s="14" t="n">
        <v>0.5</v>
      </c>
      <c r="AT479" s="14" t="n">
        <v>-0.5</v>
      </c>
      <c r="AU479" s="14" t="n">
        <v>0.84</v>
      </c>
      <c r="AV479" s="14" t="n">
        <v>0.86</v>
      </c>
      <c r="AW479" s="14" t="inlineStr">
        <is>
          <t>2026-10-08T07:44:59.408325+08:00</t>
        </is>
      </c>
      <c r="AX479" s="14" t="inlineStr">
        <is>
          <t>Titan007/V4</t>
        </is>
      </c>
      <c r="AY479" s="14" t="inlineStr">
        <is>
          <t>Daily append；市场输入缺失时不生成决策</t>
        </is>
      </c>
    </row>
    <row r="480" ht="22" customHeight="1" s="39">
      <c r="A480" s="14" t="inlineStr">
        <is>
          <t>2026-10-08</t>
        </is>
      </c>
      <c r="B480" s="14" t="inlineStr">
        <is>
          <t>2026-10-09T01:30:00+08:00</t>
        </is>
      </c>
      <c r="C480" s="14" t="inlineStr">
        <is>
          <t>UNKNOWN</t>
        </is>
      </c>
      <c r="D480" s="14" t="inlineStr"/>
      <c r="E480" s="14" t="inlineStr">
        <is>
          <t>伊拉联</t>
        </is>
      </c>
      <c r="F480" s="14" t="inlineStr">
        <is>
          <t>塔拉巴 vs 巴格达警察</t>
        </is>
      </c>
      <c r="G480" s="26" t="n">
        <v>1.03</v>
      </c>
      <c r="H480" s="26" t="n">
        <v>-0.25</v>
      </c>
      <c r="I480" s="26" t="n">
        <v>0.78</v>
      </c>
      <c r="J480" s="26" t="inlineStr">
        <is>
          <t>1.03/-0.25/0.78</t>
        </is>
      </c>
      <c r="K480" s="14" t="inlineStr">
        <is>
          <t>V4-B</t>
        </is>
      </c>
      <c r="L480" s="14" t="inlineStr">
        <is>
          <t>塔拉巴</t>
        </is>
      </c>
      <c r="M480" s="47" t="n">
        <v>0.2427120597752949</v>
      </c>
      <c r="N480" s="14" t="inlineStr">
        <is>
          <t>V4 Shadow Only；real_money=false</t>
        </is>
      </c>
      <c r="O480" s="14" t="inlineStr">
        <is>
          <t>0-0</t>
        </is>
      </c>
      <c r="P480" s="14" t="inlineStr">
        <is>
          <t>EVALUATED</t>
        </is>
      </c>
      <c r="Q480" s="14" t="inlineStr"/>
      <c r="R480" s="48" t="n">
        <v>1.03</v>
      </c>
      <c r="S480" s="48" t="n"/>
      <c r="T480" s="14" t="inlineStr">
        <is>
          <t>D:\codex\outputs\football_odds_trader\decision_versions\2026-10-08\RUN_20261008_074649\slate_raw.csv</t>
        </is>
      </c>
      <c r="U480" s="14" t="inlineStr"/>
      <c r="V480" s="48" t="inlineStr"/>
      <c r="W480" s="48" t="inlineStr"/>
      <c r="X480" s="14" t="inlineStr">
        <is>
          <t>3071923</t>
        </is>
      </c>
      <c r="Y480" s="14" t="inlineStr">
        <is>
          <t>V4</t>
        </is>
      </c>
      <c r="Z480" s="14" t="inlineStr">
        <is>
          <t>prior-2026-10-08-v1</t>
        </is>
      </c>
      <c r="AA480" s="14" t="inlineStr">
        <is>
          <t>B</t>
        </is>
      </c>
      <c r="AB480" s="14" t="n">
        <v>0.2427120597752949</v>
      </c>
      <c r="AC480" s="14" t="n">
        <v>0.6308666649038913</v>
      </c>
      <c r="AD480" s="14" t="n">
        <v>-0.5</v>
      </c>
      <c r="AE480" s="14" t="n"/>
      <c r="AF480" s="14" t="n"/>
      <c r="AG480" s="14" t="n">
        <v>0.4070806050757132</v>
      </c>
      <c r="AH480" s="14" t="n"/>
      <c r="AI480" s="14" t="n"/>
      <c r="AJ480" s="14" t="n">
        <v>0.4070806050757132</v>
      </c>
      <c r="AK480" s="14" t="n"/>
      <c r="AL480" s="14" t="n"/>
      <c r="AM480" s="14" t="n"/>
      <c r="AN480" s="14" t="inlineStr">
        <is>
          <t>EVALUATED</t>
        </is>
      </c>
      <c r="AO480" s="14" t="inlineStr">
        <is>
          <t>RECEIVING_VALIDATED_EDGE;BUCKET_PRIOR_ONLY;INTENT_INTERPRETATION_ONLY;FFL_OPTIONAL;EXPERT_MARKET</t>
        </is>
      </c>
      <c r="AP480" s="14" t="inlineStr">
        <is>
          <t>cb60a5a065dbe46693ab</t>
        </is>
      </c>
      <c r="AQ480" s="14" t="n">
        <v>0.25</v>
      </c>
      <c r="AR480" s="14" t="n">
        <v>1.03</v>
      </c>
      <c r="AS480" s="14" t="n">
        <v>-0.25</v>
      </c>
      <c r="AT480" s="14" t="n">
        <v>0.25</v>
      </c>
      <c r="AU480" s="14" t="n">
        <v>1.03</v>
      </c>
      <c r="AV480" s="14" t="n">
        <v>0.78</v>
      </c>
      <c r="AW480" s="14" t="inlineStr">
        <is>
          <t>2026-10-08T07:44:59.408325+08:00</t>
        </is>
      </c>
      <c r="AX480" s="14" t="inlineStr">
        <is>
          <t>Titan007/V4</t>
        </is>
      </c>
      <c r="AY480" s="14" t="inlineStr">
        <is>
          <t>Daily append；市场输入缺失时不生成决策</t>
        </is>
      </c>
    </row>
    <row r="481" ht="22" customHeight="1" s="39">
      <c r="A481" s="14" t="inlineStr">
        <is>
          <t>2026-10-08</t>
        </is>
      </c>
      <c r="B481" s="14" t="inlineStr">
        <is>
          <t>2026-10-08T23:00:00+08:00</t>
        </is>
      </c>
      <c r="C481" s="14" t="inlineStr">
        <is>
          <t>UNKNOWN</t>
        </is>
      </c>
      <c r="D481" s="14" t="inlineStr"/>
      <c r="E481" s="14" t="inlineStr">
        <is>
          <t>伊拉联</t>
        </is>
      </c>
      <c r="F481" s="14" t="inlineStr">
        <is>
          <t>杜赫克 vs 扎瓦拉</t>
        </is>
      </c>
      <c r="G481" s="26" t="n">
        <v>0.98</v>
      </c>
      <c r="H481" s="26" t="n">
        <v>-0.25</v>
      </c>
      <c r="I481" s="26" t="n">
        <v>0.83</v>
      </c>
      <c r="J481" s="26" t="inlineStr">
        <is>
          <t>0.98/-0.25/0.83</t>
        </is>
      </c>
      <c r="K481" s="14" t="inlineStr">
        <is>
          <t>V4-B</t>
        </is>
      </c>
      <c r="L481" s="14" t="inlineStr">
        <is>
          <t>杜赫克</t>
        </is>
      </c>
      <c r="M481" s="47" t="n">
        <v>0.2778739452876121</v>
      </c>
      <c r="N481" s="14" t="inlineStr">
        <is>
          <t>V4 Shadow Only；real_money=false</t>
        </is>
      </c>
      <c r="O481" s="14" t="inlineStr">
        <is>
          <t>0-0</t>
        </is>
      </c>
      <c r="P481" s="14" t="inlineStr">
        <is>
          <t>EVALUATED</t>
        </is>
      </c>
      <c r="Q481" s="14" t="inlineStr"/>
      <c r="R481" s="48" t="n">
        <v>0.98</v>
      </c>
      <c r="S481" s="48" t="n"/>
      <c r="T481" s="14" t="inlineStr">
        <is>
          <t>D:\codex\outputs\football_odds_trader\decision_versions\2026-10-08\RUN_20261008_074649\slate_raw.csv</t>
        </is>
      </c>
      <c r="U481" s="14" t="inlineStr"/>
      <c r="V481" s="48" t="inlineStr"/>
      <c r="W481" s="48" t="inlineStr"/>
      <c r="X481" s="14" t="inlineStr">
        <is>
          <t>3071924</t>
        </is>
      </c>
      <c r="Y481" s="14" t="inlineStr">
        <is>
          <t>V4</t>
        </is>
      </c>
      <c r="Z481" s="14" t="inlineStr">
        <is>
          <t>prior-2026-10-08-v1</t>
        </is>
      </c>
      <c r="AA481" s="14" t="inlineStr">
        <is>
          <t>B</t>
        </is>
      </c>
      <c r="AB481" s="14" t="n">
        <v>0.2778739452876121</v>
      </c>
      <c r="AC481" s="14" t="n">
        <v>0.5924806712793991</v>
      </c>
      <c r="AD481" s="14" t="n">
        <v>-0.5</v>
      </c>
      <c r="AE481" s="14" t="n"/>
      <c r="AF481" s="14" t="n"/>
      <c r="AG481" s="14" t="n">
        <v>0.302757112566199</v>
      </c>
      <c r="AH481" s="14" t="n"/>
      <c r="AI481" s="14" t="n"/>
      <c r="AJ481" s="14" t="n">
        <v>0.302757112566199</v>
      </c>
      <c r="AK481" s="14" t="n"/>
      <c r="AL481" s="14" t="n"/>
      <c r="AM481" s="14" t="n"/>
      <c r="AN481" s="14" t="inlineStr">
        <is>
          <t>EVALUATED</t>
        </is>
      </c>
      <c r="AO481" s="14" t="inlineStr">
        <is>
          <t>RECEIVING_VALIDATED_EDGE;BUCKET_PRIOR_ONLY;INTENT_INTERPRETATION_ONLY;FFL_OPTIONAL;EXPERT_MARKET</t>
        </is>
      </c>
      <c r="AP481" s="14" t="inlineStr">
        <is>
          <t>ac348c5d6923d53ed310</t>
        </is>
      </c>
      <c r="AQ481" s="14" t="n">
        <v>0.25</v>
      </c>
      <c r="AR481" s="14" t="n">
        <v>0.98</v>
      </c>
      <c r="AS481" s="14" t="n">
        <v>-0.25</v>
      </c>
      <c r="AT481" s="14" t="n">
        <v>0.25</v>
      </c>
      <c r="AU481" s="14" t="n">
        <v>0.98</v>
      </c>
      <c r="AV481" s="14" t="n">
        <v>0.83</v>
      </c>
      <c r="AW481" s="14" t="inlineStr">
        <is>
          <t>2026-10-08T07:44:59.408325+08:00</t>
        </is>
      </c>
      <c r="AX481" s="14" t="inlineStr">
        <is>
          <t>Titan007/V4</t>
        </is>
      </c>
      <c r="AY481" s="14" t="inlineStr">
        <is>
          <t>Daily append；市场输入缺失时不生成决策</t>
        </is>
      </c>
    </row>
    <row r="482" ht="22" customHeight="1" s="39">
      <c r="A482" s="14" t="inlineStr">
        <is>
          <t>2026-10-08</t>
        </is>
      </c>
      <c r="B482" s="14" t="inlineStr">
        <is>
          <t>2026-10-08T23:45:00+08:00</t>
        </is>
      </c>
      <c r="C482" s="14" t="inlineStr">
        <is>
          <t>UNKNOWN</t>
        </is>
      </c>
      <c r="D482" s="14" t="inlineStr"/>
      <c r="E482" s="14" t="inlineStr">
        <is>
          <t>伊拉联</t>
        </is>
      </c>
      <c r="F482" s="14" t="inlineStr">
        <is>
          <t>纳夫特米桑 vs 阿比尔</t>
        </is>
      </c>
      <c r="G482" s="26" t="n">
        <v>0.88</v>
      </c>
      <c r="H482" s="26" t="n">
        <v>-0.5</v>
      </c>
      <c r="I482" s="26" t="n">
        <v>0.93</v>
      </c>
      <c r="J482" s="26" t="inlineStr">
        <is>
          <t>0.88/-0.5/0.93</t>
        </is>
      </c>
      <c r="K482" s="14" t="inlineStr">
        <is>
          <t>V4-B</t>
        </is>
      </c>
      <c r="L482" s="14" t="inlineStr">
        <is>
          <t>纳夫特米桑</t>
        </is>
      </c>
      <c r="M482" s="47" t="n">
        <v>0.2062265810749986</v>
      </c>
      <c r="N482" s="14" t="inlineStr">
        <is>
          <t>V4 Shadow Only；real_money=false</t>
        </is>
      </c>
      <c r="O482" s="14" t="inlineStr">
        <is>
          <t>0-0</t>
        </is>
      </c>
      <c r="P482" s="14" t="inlineStr">
        <is>
          <t>EVALUATED</t>
        </is>
      </c>
      <c r="Q482" s="14" t="inlineStr"/>
      <c r="R482" s="48" t="n">
        <v>0.88</v>
      </c>
      <c r="S482" s="48" t="n"/>
      <c r="T482" s="14" t="inlineStr">
        <is>
          <t>D:\codex\outputs\football_odds_trader\decision_versions\2026-10-08\RUN_20261008_074649\slate_raw.csv</t>
        </is>
      </c>
      <c r="U482" s="14" t="inlineStr"/>
      <c r="V482" s="48" t="inlineStr"/>
      <c r="W482" s="48" t="inlineStr"/>
      <c r="X482" s="14" t="inlineStr">
        <is>
          <t>3071926</t>
        </is>
      </c>
      <c r="Y482" s="14" t="inlineStr">
        <is>
          <t>V4</t>
        </is>
      </c>
      <c r="Z482" s="14" t="inlineStr">
        <is>
          <t>prior-2026-10-08-v1</t>
        </is>
      </c>
      <c r="AA482" s="14" t="inlineStr">
        <is>
          <t>B</t>
        </is>
      </c>
      <c r="AB482" s="14" t="n">
        <v>0.2062265810749986</v>
      </c>
      <c r="AC482" s="14" t="n">
        <v>0.7937734189250014</v>
      </c>
      <c r="AD482" s="14" t="n">
        <v>-0.75</v>
      </c>
      <c r="AE482" s="14" t="n"/>
      <c r="AF482" s="14" t="n"/>
      <c r="AG482" s="14" t="n">
        <v>0.4922940275790026</v>
      </c>
      <c r="AH482" s="14" t="n"/>
      <c r="AI482" s="14" t="n"/>
      <c r="AJ482" s="14" t="n">
        <v>0.4922940275790026</v>
      </c>
      <c r="AK482" s="14" t="n"/>
      <c r="AL482" s="14" t="n"/>
      <c r="AM482" s="14" t="n"/>
      <c r="AN482" s="14" t="inlineStr">
        <is>
          <t>EVALUATED</t>
        </is>
      </c>
      <c r="AO482" s="14" t="inlineStr">
        <is>
          <t>RECEIVING_VALIDATED_EDGE;BUCKET_PRIOR_ONLY;INTENT_INTERPRETATION_ONLY;FFL_OPTIONAL;EXPERT_MARKET</t>
        </is>
      </c>
      <c r="AP482" s="14" t="inlineStr">
        <is>
          <t>9b1bf59d5ddc8beeb9df</t>
        </is>
      </c>
      <c r="AQ482" s="14" t="n">
        <v>0.5</v>
      </c>
      <c r="AR482" s="14" t="n">
        <v>0.88</v>
      </c>
      <c r="AS482" s="14" t="n">
        <v>-0.5</v>
      </c>
      <c r="AT482" s="14" t="n">
        <v>0.5</v>
      </c>
      <c r="AU482" s="14" t="n">
        <v>0.88</v>
      </c>
      <c r="AV482" s="14" t="n">
        <v>0.93</v>
      </c>
      <c r="AW482" s="14" t="inlineStr">
        <is>
          <t>2026-10-08T07:44:59.408325+08:00</t>
        </is>
      </c>
      <c r="AX482" s="14" t="inlineStr">
        <is>
          <t>Titan007/V4</t>
        </is>
      </c>
      <c r="AY482" s="14" t="inlineStr">
        <is>
          <t>Daily append；市场输入缺失时不生成决策</t>
        </is>
      </c>
    </row>
    <row r="483" ht="22" customHeight="1" s="39">
      <c r="A483" s="14" t="inlineStr">
        <is>
          <t>2026-10-08</t>
        </is>
      </c>
      <c r="B483" s="14" t="inlineStr">
        <is>
          <t>2026-10-08T21:00:00+08:00</t>
        </is>
      </c>
      <c r="C483" s="14" t="inlineStr"/>
      <c r="D483" s="14" t="inlineStr"/>
      <c r="E483" s="14" t="inlineStr">
        <is>
          <t>乌干超</t>
        </is>
      </c>
      <c r="F483" s="14" t="inlineStr">
        <is>
          <t>布莱克电力 vs 毒蛇</t>
        </is>
      </c>
      <c r="G483" s="26" t="n">
        <v>0.93</v>
      </c>
      <c r="H483" s="26" t="n">
        <v>-1</v>
      </c>
      <c r="I483" s="26" t="n">
        <v>0.88</v>
      </c>
      <c r="J483" s="26" t="inlineStr">
        <is>
          <t>0.93/-1.0/0.88</t>
        </is>
      </c>
      <c r="K483" s="14" t="inlineStr">
        <is>
          <t>V4-A</t>
        </is>
      </c>
      <c r="L483" s="14" t="inlineStr">
        <is>
          <t>布莱克电力</t>
        </is>
      </c>
      <c r="M483" s="47" t="n">
        <v>0.009179548217935969</v>
      </c>
      <c r="N483" s="14" t="inlineStr">
        <is>
          <t>V4 Shadow Only；real_money=false</t>
        </is>
      </c>
      <c r="O483" s="14" t="inlineStr">
        <is>
          <t>0-0</t>
        </is>
      </c>
      <c r="P483" s="14" t="inlineStr">
        <is>
          <t>EVALUATED</t>
        </is>
      </c>
      <c r="Q483" s="14" t="inlineStr"/>
      <c r="R483" s="48" t="n">
        <v>0.93</v>
      </c>
      <c r="S483" s="48" t="n"/>
      <c r="T483" s="14" t="inlineStr">
        <is>
          <t>D:\codex\outputs\football_odds_trader\decision_versions\2026-10-08\RUN_20261008_074649\slate_raw.csv</t>
        </is>
      </c>
      <c r="U483" s="14" t="inlineStr"/>
      <c r="V483" s="48" t="inlineStr"/>
      <c r="W483" s="48" t="inlineStr"/>
      <c r="X483" s="14" t="inlineStr">
        <is>
          <t>3074488</t>
        </is>
      </c>
      <c r="Y483" s="14" t="inlineStr">
        <is>
          <t>V4</t>
        </is>
      </c>
      <c r="Z483" s="14" t="inlineStr">
        <is>
          <t>prior-2026-10-08-v1</t>
        </is>
      </c>
      <c r="AA483" s="14" t="inlineStr">
        <is>
          <t>A</t>
        </is>
      </c>
      <c r="AB483" s="14" t="n">
        <v>0.009179548217935969</v>
      </c>
      <c r="AC483" s="14" t="n">
        <v>0.9456457251911793</v>
      </c>
      <c r="AD483" s="14" t="n">
        <v>-1.75</v>
      </c>
      <c r="AE483" s="14" t="n"/>
      <c r="AF483" s="14" t="n"/>
      <c r="AG483" s="14" t="n">
        <v>0.8702709762098608</v>
      </c>
      <c r="AH483" s="14" t="n"/>
      <c r="AI483" s="14" t="n"/>
      <c r="AJ483" s="14" t="n">
        <v>0.8702709762098608</v>
      </c>
      <c r="AK483" s="14" t="n"/>
      <c r="AL483" s="14" t="n"/>
      <c r="AM483" s="14" t="n"/>
      <c r="AN483" s="14" t="inlineStr">
        <is>
          <t>EVALUATED</t>
        </is>
      </c>
      <c r="AO483" s="14" t="inlineStr">
        <is>
          <t>RECEIVING_VALIDATED_EDGE;BUCKET_PRIOR_ONLY;INTENT_INTERPRETATION_ONLY;FFL_OPTIONAL;EXPERT_MARKET</t>
        </is>
      </c>
      <c r="AP483" s="14" t="inlineStr">
        <is>
          <t>0291d4730343e4d07d45</t>
        </is>
      </c>
      <c r="AQ483" s="14" t="n">
        <v>1</v>
      </c>
      <c r="AR483" s="14" t="n">
        <v>0.93</v>
      </c>
      <c r="AS483" s="14" t="n">
        <v>-1</v>
      </c>
      <c r="AT483" s="14" t="n">
        <v>1</v>
      </c>
      <c r="AU483" s="14" t="n">
        <v>0.93</v>
      </c>
      <c r="AV483" s="14" t="n">
        <v>0.88</v>
      </c>
      <c r="AW483" s="14" t="inlineStr">
        <is>
          <t>2026-10-08T07:44:59.408325+08:00</t>
        </is>
      </c>
      <c r="AX483" s="14" t="inlineStr">
        <is>
          <t>Titan007/V4</t>
        </is>
      </c>
      <c r="AY483" s="14" t="inlineStr">
        <is>
          <t>Daily append；市场输入缺失时不生成决策</t>
        </is>
      </c>
    </row>
    <row r="484" ht="22" customHeight="1" s="39">
      <c r="A484" s="14" t="inlineStr">
        <is>
          <t>2026-10-08</t>
        </is>
      </c>
      <c r="B484" s="14" t="inlineStr">
        <is>
          <t>2026-10-08T21:00:00+08:00</t>
        </is>
      </c>
      <c r="C484" s="14" t="inlineStr"/>
      <c r="D484" s="14" t="inlineStr"/>
      <c r="E484" s="14" t="inlineStr">
        <is>
          <t>乌干超</t>
        </is>
      </c>
      <c r="F484" s="14" t="inlineStr">
        <is>
          <t>人民国防军 vs 布尔比德科</t>
        </is>
      </c>
      <c r="G484" s="26" t="n">
        <v>0.88</v>
      </c>
      <c r="H484" s="26" t="n">
        <v>-0.5</v>
      </c>
      <c r="I484" s="26" t="n">
        <v>0.93</v>
      </c>
      <c r="J484" s="26" t="inlineStr">
        <is>
          <t>0.88/-0.5/0.93</t>
        </is>
      </c>
      <c r="K484" s="14" t="inlineStr">
        <is>
          <t>V4-A</t>
        </is>
      </c>
      <c r="L484" s="14" t="inlineStr">
        <is>
          <t>人民国防军</t>
        </is>
      </c>
      <c r="M484" s="47" t="n">
        <v>0.183523267140563</v>
      </c>
      <c r="N484" s="14" t="inlineStr">
        <is>
          <t>V4 Shadow Only；real_money=false</t>
        </is>
      </c>
      <c r="O484" s="14" t="inlineStr">
        <is>
          <t>0-0</t>
        </is>
      </c>
      <c r="P484" s="14" t="inlineStr">
        <is>
          <t>EVALUATED</t>
        </is>
      </c>
      <c r="Q484" s="14" t="inlineStr"/>
      <c r="R484" s="48" t="n">
        <v>0.88</v>
      </c>
      <c r="S484" s="48" t="n"/>
      <c r="T484" s="14" t="inlineStr">
        <is>
          <t>D:\codex\outputs\football_odds_trader\decision_versions\2026-10-08\RUN_20261008_074649\slate_raw.csv</t>
        </is>
      </c>
      <c r="U484" s="14" t="inlineStr"/>
      <c r="V484" s="48" t="inlineStr"/>
      <c r="W484" s="48" t="inlineStr"/>
      <c r="X484" s="14" t="inlineStr">
        <is>
          <t>3074490</t>
        </is>
      </c>
      <c r="Y484" s="14" t="inlineStr">
        <is>
          <t>V4</t>
        </is>
      </c>
      <c r="Z484" s="14" t="inlineStr">
        <is>
          <t>prior-2026-10-08-v1</t>
        </is>
      </c>
      <c r="AA484" s="14" t="inlineStr">
        <is>
          <t>A</t>
        </is>
      </c>
      <c r="AB484" s="14" t="n">
        <v>0.183523267140563</v>
      </c>
      <c r="AC484" s="14" t="n">
        <v>0.8164767328594371</v>
      </c>
      <c r="AD484" s="14" t="n">
        <v>-0.75</v>
      </c>
      <c r="AE484" s="14" t="n"/>
      <c r="AF484" s="14" t="n"/>
      <c r="AG484" s="14" t="n">
        <v>0.5349762577757416</v>
      </c>
      <c r="AH484" s="14" t="n"/>
      <c r="AI484" s="14" t="n"/>
      <c r="AJ484" s="14" t="n">
        <v>0.5349762577757416</v>
      </c>
      <c r="AK484" s="14" t="n"/>
      <c r="AL484" s="14" t="n"/>
      <c r="AM484" s="14" t="n"/>
      <c r="AN484" s="14" t="inlineStr">
        <is>
          <t>EVALUATED</t>
        </is>
      </c>
      <c r="AO484" s="14" t="inlineStr">
        <is>
          <t>RECEIVING_VALIDATED_EDGE;BUCKET_PRIOR_ONLY;INTENT_INTERPRETATION_ONLY;FFL_OPTIONAL;EXPERT_MARKET</t>
        </is>
      </c>
      <c r="AP484" s="14" t="inlineStr">
        <is>
          <t>0d73f3a2d89c6f0b7776</t>
        </is>
      </c>
      <c r="AQ484" s="14" t="n">
        <v>0.5</v>
      </c>
      <c r="AR484" s="14" t="n">
        <v>0.88</v>
      </c>
      <c r="AS484" s="14" t="n">
        <v>-0.5</v>
      </c>
      <c r="AT484" s="14" t="n">
        <v>0.5</v>
      </c>
      <c r="AU484" s="14" t="n">
        <v>0.88</v>
      </c>
      <c r="AV484" s="14" t="n">
        <v>0.93</v>
      </c>
      <c r="AW484" s="14" t="inlineStr">
        <is>
          <t>2026-10-08T07:44:59.408325+08:00</t>
        </is>
      </c>
      <c r="AX484" s="14" t="inlineStr">
        <is>
          <t>Titan007/V4</t>
        </is>
      </c>
      <c r="AY484" s="14" t="inlineStr">
        <is>
          <t>Daily append；市场输入缺失时不生成决策</t>
        </is>
      </c>
    </row>
    <row r="485" ht="22" customHeight="1" s="39">
      <c r="A485" s="14" t="inlineStr">
        <is>
          <t>2026-10-08</t>
        </is>
      </c>
      <c r="B485" s="14" t="inlineStr">
        <is>
          <t>2026-10-08T21:00:00+08:00</t>
        </is>
      </c>
      <c r="C485" s="14" t="inlineStr"/>
      <c r="D485" s="14" t="inlineStr"/>
      <c r="E485" s="14" t="inlineStr">
        <is>
          <t>乌干超</t>
        </is>
      </c>
      <c r="F485" s="14" t="inlineStr">
        <is>
          <t>布戈洛比 vs 艾斯帕勒斯</t>
        </is>
      </c>
      <c r="G485" s="26" t="n">
        <v>0.88</v>
      </c>
      <c r="H485" s="26" t="n">
        <v>1.25</v>
      </c>
      <c r="I485" s="26" t="n">
        <v>0.93</v>
      </c>
      <c r="J485" s="26" t="inlineStr">
        <is>
          <t>0.88/1.25/0.93</t>
        </is>
      </c>
      <c r="K485" s="14" t="inlineStr">
        <is>
          <t>V4-A</t>
        </is>
      </c>
      <c r="L485" s="14" t="inlineStr">
        <is>
          <t>布戈洛比</t>
        </is>
      </c>
      <c r="M485" s="47" t="n">
        <v>0.6339277569636228</v>
      </c>
      <c r="N485" s="14" t="inlineStr">
        <is>
          <t>V4 Shadow Only；real_money=false</t>
        </is>
      </c>
      <c r="O485" s="14" t="inlineStr">
        <is>
          <t>0-0</t>
        </is>
      </c>
      <c r="P485" s="14" t="inlineStr">
        <is>
          <t>EVALUATED</t>
        </is>
      </c>
      <c r="Q485" s="14" t="inlineStr"/>
      <c r="R485" s="48" t="n">
        <v>0.88</v>
      </c>
      <c r="S485" s="48" t="n"/>
      <c r="T485" s="14" t="inlineStr">
        <is>
          <t>D:\codex\outputs\football_odds_trader\decision_versions\2026-10-08\RUN_20261008_074649\slate_raw.csv</t>
        </is>
      </c>
      <c r="U485" s="14" t="inlineStr"/>
      <c r="V485" s="48" t="inlineStr"/>
      <c r="W485" s="48" t="inlineStr"/>
      <c r="X485" s="14" t="inlineStr">
        <is>
          <t>3074491</t>
        </is>
      </c>
      <c r="Y485" s="14" t="inlineStr">
        <is>
          <t>V4</t>
        </is>
      </c>
      <c r="Z485" s="14" t="inlineStr">
        <is>
          <t>prior-2026-10-08-v1</t>
        </is>
      </c>
      <c r="AA485" s="14" t="inlineStr">
        <is>
          <t>A</t>
        </is>
      </c>
      <c r="AB485" s="14" t="n">
        <v>0.6339277569636228</v>
      </c>
      <c r="AC485" s="14" t="n">
        <v>0.2537322516297458</v>
      </c>
      <c r="AD485" s="14" t="n">
        <v>2.25</v>
      </c>
      <c r="AE485" s="14" t="n"/>
      <c r="AF485" s="14" t="n"/>
      <c r="AG485" s="14" t="n">
        <v>0.3041241744982423</v>
      </c>
      <c r="AH485" s="14" t="n"/>
      <c r="AI485" s="14" t="n"/>
      <c r="AJ485" s="14" t="n">
        <v>0.3041241744982423</v>
      </c>
      <c r="AK485" s="14" t="n"/>
      <c r="AL485" s="14" t="n"/>
      <c r="AM485" s="14" t="n"/>
      <c r="AN485" s="14" t="inlineStr">
        <is>
          <t>EVALUATED</t>
        </is>
      </c>
      <c r="AO485" s="14" t="inlineStr">
        <is>
          <t>GIVING_VALIDATED_EDGE;BUCKET_PRIOR_ONLY;INTENT_INTERPRETATION_ONLY;FFL_OPTIONAL;EXPERT_MARKET</t>
        </is>
      </c>
      <c r="AP485" s="14" t="inlineStr">
        <is>
          <t>2370820fa14cd310d1c2</t>
        </is>
      </c>
      <c r="AQ485" s="14" t="n">
        <v>-1.25</v>
      </c>
      <c r="AR485" s="14" t="n">
        <v>0.88</v>
      </c>
      <c r="AS485" s="14" t="n">
        <v>1.25</v>
      </c>
      <c r="AT485" s="14" t="n">
        <v>-1.25</v>
      </c>
      <c r="AU485" s="14" t="n">
        <v>0.88</v>
      </c>
      <c r="AV485" s="14" t="n">
        <v>0.93</v>
      </c>
      <c r="AW485" s="14" t="inlineStr">
        <is>
          <t>2026-10-08T07:44:59.408325+08:00</t>
        </is>
      </c>
      <c r="AX485" s="14" t="inlineStr">
        <is>
          <t>Titan007/V4</t>
        </is>
      </c>
      <c r="AY485" s="14" t="inlineStr">
        <is>
          <t>Daily append；市场输入缺失时不生成决策</t>
        </is>
      </c>
    </row>
    <row r="486" ht="22" customHeight="1" s="39">
      <c r="A486" s="14" t="inlineStr">
        <is>
          <t>2026-10-08</t>
        </is>
      </c>
      <c r="B486" s="14" t="inlineStr">
        <is>
          <t>2026-10-08T23:00:00+08:00</t>
        </is>
      </c>
      <c r="C486" s="14" t="inlineStr"/>
      <c r="D486" s="14" t="inlineStr"/>
      <c r="E486" s="14" t="inlineStr">
        <is>
          <t>芬超冠</t>
        </is>
      </c>
      <c r="F486" s="14" t="inlineStr">
        <is>
          <t>赫尔辛基 vs VPS瓦萨</t>
        </is>
      </c>
      <c r="G486" s="26" t="n">
        <v>1.01</v>
      </c>
      <c r="H486" s="26" t="n">
        <v>1</v>
      </c>
      <c r="I486" s="26" t="n">
        <v>0.87</v>
      </c>
      <c r="J486" s="26" t="inlineStr">
        <is>
          <t>1.01/1.0/0.87</t>
        </is>
      </c>
      <c r="K486" s="14" t="inlineStr">
        <is>
          <t>V4-A</t>
        </is>
      </c>
      <c r="L486" s="14" t="inlineStr">
        <is>
          <t>赫尔辛基</t>
        </is>
      </c>
      <c r="M486" s="47" t="n">
        <v>0.44228017915601</v>
      </c>
      <c r="N486" s="14" t="inlineStr">
        <is>
          <t>V4 Shadow Only；real_money=false</t>
        </is>
      </c>
      <c r="O486" s="14" t="inlineStr">
        <is>
          <t>0-0</t>
        </is>
      </c>
      <c r="P486" s="14" t="inlineStr">
        <is>
          <t>EVALUATED</t>
        </is>
      </c>
      <c r="Q486" s="14" t="inlineStr"/>
      <c r="R486" s="48" t="n">
        <v>1.01</v>
      </c>
      <c r="S486" s="48" t="n"/>
      <c r="T486" s="14" t="inlineStr">
        <is>
          <t>D:\codex\outputs\football_odds_trader\decision_versions\2026-10-08\RUN_20261008_074649\slate_raw.csv</t>
        </is>
      </c>
      <c r="U486" s="14" t="inlineStr"/>
      <c r="V486" s="48" t="inlineStr"/>
      <c r="W486" s="48" t="inlineStr"/>
      <c r="X486" s="14" t="inlineStr">
        <is>
          <t>3085211</t>
        </is>
      </c>
      <c r="Y486" s="14" t="inlineStr">
        <is>
          <t>V4</t>
        </is>
      </c>
      <c r="Z486" s="14" t="inlineStr">
        <is>
          <t>prior-2026-10-08-v1</t>
        </is>
      </c>
      <c r="AA486" s="14" t="inlineStr">
        <is>
          <t>A</t>
        </is>
      </c>
      <c r="AB486" s="14" t="n">
        <v>0.44228017915601</v>
      </c>
      <c r="AC486" s="14" t="n">
        <v>0.3021885291618083</v>
      </c>
      <c r="AD486" s="14" t="n">
        <v>1.25</v>
      </c>
      <c r="AE486" s="14" t="n"/>
      <c r="AF486" s="14" t="n"/>
      <c r="AG486" s="14" t="n">
        <v>0.1445144517857618</v>
      </c>
      <c r="AH486" s="14" t="n"/>
      <c r="AI486" s="14" t="n"/>
      <c r="AJ486" s="14" t="n">
        <v>0.1445144517857618</v>
      </c>
      <c r="AK486" s="14" t="n"/>
      <c r="AL486" s="14" t="n"/>
      <c r="AM486" s="14" t="n"/>
      <c r="AN486" s="14" t="inlineStr">
        <is>
          <t>EVALUATED</t>
        </is>
      </c>
      <c r="AO486" s="14" t="inlineStr">
        <is>
          <t>GIVING_VALIDATED_EDGE;BUCKET_PRIOR_ONLY;INTENT_INTERPRETATION_ONLY;FFL_OPTIONAL;EXPERT_MARKET</t>
        </is>
      </c>
      <c r="AP486" s="14" t="inlineStr">
        <is>
          <t>89763f7972a51c2d3018</t>
        </is>
      </c>
      <c r="AQ486" s="14" t="n">
        <v>-1</v>
      </c>
      <c r="AR486" s="14" t="n">
        <v>1.01</v>
      </c>
      <c r="AS486" s="14" t="n">
        <v>1</v>
      </c>
      <c r="AT486" s="14" t="n">
        <v>-1</v>
      </c>
      <c r="AU486" s="14" t="n">
        <v>1.01</v>
      </c>
      <c r="AV486" s="14" t="n">
        <v>0.87</v>
      </c>
      <c r="AW486" s="14" t="inlineStr">
        <is>
          <t>2026-10-08T07:44:59.408325+08:00</t>
        </is>
      </c>
      <c r="AX486" s="14" t="inlineStr">
        <is>
          <t>Titan007/V4</t>
        </is>
      </c>
      <c r="AY486" s="14" t="inlineStr">
        <is>
          <t>Daily append；市场输入缺失时不生成决策</t>
        </is>
      </c>
    </row>
    <row r="487" ht="22" customHeight="1" s="39">
      <c r="A487" s="14" t="inlineStr">
        <is>
          <t>2026-10-08</t>
        </is>
      </c>
      <c r="B487" s="14" t="inlineStr">
        <is>
          <t>2026-10-09T00:00:00+08:00</t>
        </is>
      </c>
      <c r="C487" s="14" t="inlineStr"/>
      <c r="D487" s="14" t="inlineStr"/>
      <c r="E487" s="14" t="inlineStr">
        <is>
          <t>芬超冠</t>
        </is>
      </c>
      <c r="F487" s="14" t="inlineStr">
        <is>
          <t>古比斯 vs 奥卢</t>
        </is>
      </c>
      <c r="G487" s="26" t="n">
        <v>1.07</v>
      </c>
      <c r="H487" s="26" t="n">
        <v>1</v>
      </c>
      <c r="I487" s="26" t="n">
        <v>0.8100000000000001</v>
      </c>
      <c r="J487" s="26" t="inlineStr">
        <is>
          <t>1.07/1.0/0.81</t>
        </is>
      </c>
      <c r="K487" s="14" t="inlineStr">
        <is>
          <t>V4-A</t>
        </is>
      </c>
      <c r="L487" s="14" t="inlineStr">
        <is>
          <t>古比斯</t>
        </is>
      </c>
      <c r="M487" s="47" t="n">
        <v>0.4549760207146677</v>
      </c>
      <c r="N487" s="14" t="inlineStr">
        <is>
          <t>V4 Shadow Only；real_money=false</t>
        </is>
      </c>
      <c r="O487" s="14" t="inlineStr">
        <is>
          <t>0-0</t>
        </is>
      </c>
      <c r="P487" s="14" t="inlineStr">
        <is>
          <t>EVALUATED</t>
        </is>
      </c>
      <c r="Q487" s="14" t="inlineStr"/>
      <c r="R487" s="48" t="n">
        <v>1.07</v>
      </c>
      <c r="S487" s="48" t="n"/>
      <c r="T487" s="14" t="inlineStr">
        <is>
          <t>D:\codex\outputs\football_odds_trader\decision_versions\2026-10-08\RUN_20261008_074649\slate_raw.csv</t>
        </is>
      </c>
      <c r="U487" s="14" t="inlineStr"/>
      <c r="V487" s="48" t="inlineStr"/>
      <c r="W487" s="48" t="inlineStr"/>
      <c r="X487" s="14" t="inlineStr">
        <is>
          <t>3085212</t>
        </is>
      </c>
      <c r="Y487" s="14" t="inlineStr">
        <is>
          <t>V4</t>
        </is>
      </c>
      <c r="Z487" s="14" t="inlineStr">
        <is>
          <t>prior-2026-10-08-v1</t>
        </is>
      </c>
      <c r="AA487" s="14" t="inlineStr">
        <is>
          <t>A</t>
        </is>
      </c>
      <c r="AB487" s="14" t="n">
        <v>0.4549760207146677</v>
      </c>
      <c r="AC487" s="14" t="n">
        <v>0.2895840897013301</v>
      </c>
      <c r="AD487" s="14" t="n">
        <v>1.5</v>
      </c>
      <c r="AE487" s="14" t="n"/>
      <c r="AF487" s="14" t="n"/>
      <c r="AG487" s="14" t="n">
        <v>0.1972402524633644</v>
      </c>
      <c r="AH487" s="14" t="n"/>
      <c r="AI487" s="14" t="n"/>
      <c r="AJ487" s="14" t="n">
        <v>0.1972402524633644</v>
      </c>
      <c r="AK487" s="14" t="n"/>
      <c r="AL487" s="14" t="n"/>
      <c r="AM487" s="14" t="n"/>
      <c r="AN487" s="14" t="inlineStr">
        <is>
          <t>EVALUATED</t>
        </is>
      </c>
      <c r="AO487" s="14" t="inlineStr">
        <is>
          <t>GIVING_VALIDATED_EDGE;BUCKET_PRIOR_ONLY;INTENT_INTERPRETATION_ONLY;FFL_OPTIONAL;EXPERT_MARKET</t>
        </is>
      </c>
      <c r="AP487" s="14" t="inlineStr">
        <is>
          <t>78b372218c64fc9c5489</t>
        </is>
      </c>
      <c r="AQ487" s="14" t="n">
        <v>-1</v>
      </c>
      <c r="AR487" s="14" t="n">
        <v>1.07</v>
      </c>
      <c r="AS487" s="14" t="n">
        <v>1</v>
      </c>
      <c r="AT487" s="14" t="n">
        <v>-1</v>
      </c>
      <c r="AU487" s="14" t="n">
        <v>1.07</v>
      </c>
      <c r="AV487" s="14" t="n">
        <v>0.8100000000000001</v>
      </c>
      <c r="AW487" s="14" t="inlineStr">
        <is>
          <t>2026-10-08T07:44:59.408325+08:00</t>
        </is>
      </c>
      <c r="AX487" s="14" t="inlineStr">
        <is>
          <t>Titan007/V4</t>
        </is>
      </c>
      <c r="AY487" s="14" t="inlineStr">
        <is>
          <t>Daily append；市场输入缺失时不生成决策</t>
        </is>
      </c>
    </row>
    <row r="488" ht="22" customHeight="1" s="39">
      <c r="A488" s="14" t="inlineStr">
        <is>
          <t>2026-10-08</t>
        </is>
      </c>
      <c r="B488" s="14" t="inlineStr">
        <is>
          <t>2026-10-08T22:00:00+08:00</t>
        </is>
      </c>
      <c r="C488" s="14" t="inlineStr">
        <is>
          <t>CLUB_CUP</t>
        </is>
      </c>
      <c r="D488" s="14" t="inlineStr"/>
      <c r="E488" s="14" t="inlineStr">
        <is>
          <t>土杯</t>
        </is>
      </c>
      <c r="F488" s="14" t="inlineStr">
        <is>
          <t>德尼兹利伊古雷勒 vs 塞里克</t>
        </is>
      </c>
      <c r="G488" s="26" t="n">
        <v>0.9</v>
      </c>
      <c r="H488" s="26" t="n">
        <v>-1.5</v>
      </c>
      <c r="I488" s="26" t="n">
        <v>0.9</v>
      </c>
      <c r="J488" s="26" t="inlineStr">
        <is>
          <t>0.9/-1.5/0.9</t>
        </is>
      </c>
      <c r="K488" s="14" t="inlineStr">
        <is>
          <t>V4-B</t>
        </is>
      </c>
      <c r="L488" s="14" t="inlineStr">
        <is>
          <t>德尼兹利伊古雷勒</t>
        </is>
      </c>
      <c r="M488" s="47" t="n">
        <v>0.003867771791865175</v>
      </c>
      <c r="N488" s="14" t="inlineStr">
        <is>
          <t>V4 Shadow Only；real_money=false</t>
        </is>
      </c>
      <c r="O488" s="14" t="inlineStr">
        <is>
          <t>0-0</t>
        </is>
      </c>
      <c r="P488" s="14" t="inlineStr">
        <is>
          <t>EVALUATED</t>
        </is>
      </c>
      <c r="Q488" s="14" t="inlineStr"/>
      <c r="R488" s="48" t="n">
        <v>0.9</v>
      </c>
      <c r="S488" s="48" t="n"/>
      <c r="T488" s="14" t="inlineStr">
        <is>
          <t>D:\codex\outputs\football_odds_trader\decision_versions\2026-10-08\RUN_20261008_074649\slate_raw.csv</t>
        </is>
      </c>
      <c r="U488" s="14" t="inlineStr"/>
      <c r="V488" s="48" t="inlineStr"/>
      <c r="W488" s="48" t="inlineStr"/>
      <c r="X488" s="14" t="inlineStr">
        <is>
          <t>3094012</t>
        </is>
      </c>
      <c r="Y488" s="14" t="inlineStr">
        <is>
          <t>V4</t>
        </is>
      </c>
      <c r="Z488" s="14" t="inlineStr">
        <is>
          <t>prior-2026-10-08-v1</t>
        </is>
      </c>
      <c r="AA488" s="14" t="inlineStr">
        <is>
          <t>B</t>
        </is>
      </c>
      <c r="AB488" s="14" t="n">
        <v>0.003867771791865175</v>
      </c>
      <c r="AC488" s="14" t="n">
        <v>0.9961322282081349</v>
      </c>
      <c r="AD488" s="14" t="n">
        <v>-2</v>
      </c>
      <c r="AE488" s="14" t="n"/>
      <c r="AF488" s="14" t="n"/>
      <c r="AG488" s="14" t="n">
        <v>0.8926512335954563</v>
      </c>
      <c r="AH488" s="14" t="n"/>
      <c r="AI488" s="14" t="n"/>
      <c r="AJ488" s="14" t="n">
        <v>0.8926512335954563</v>
      </c>
      <c r="AK488" s="14" t="n"/>
      <c r="AL488" s="14" t="n"/>
      <c r="AM488" s="14" t="n"/>
      <c r="AN488" s="14" t="inlineStr">
        <is>
          <t>EVALUATED</t>
        </is>
      </c>
      <c r="AO488" s="14" t="inlineStr">
        <is>
          <t>RECEIVING_VALIDATED_EDGE;BUCKET_PRIOR_ONLY;INTENT_INTERPRETATION_ONLY;FFL_OPTIONAL;EXPERT_MARKET</t>
        </is>
      </c>
      <c r="AP488" s="14" t="inlineStr">
        <is>
          <t>114805b511ca5ae84455</t>
        </is>
      </c>
      <c r="AQ488" s="14" t="n">
        <v>1.5</v>
      </c>
      <c r="AR488" s="14" t="n">
        <v>0.9</v>
      </c>
      <c r="AS488" s="14" t="n">
        <v>-1.5</v>
      </c>
      <c r="AT488" s="14" t="n">
        <v>1.5</v>
      </c>
      <c r="AU488" s="14" t="n">
        <v>0.9</v>
      </c>
      <c r="AV488" s="14" t="n">
        <v>0.9</v>
      </c>
      <c r="AW488" s="14" t="inlineStr">
        <is>
          <t>2026-10-08T07:44:59.408325+08:00</t>
        </is>
      </c>
      <c r="AX488" s="14" t="inlineStr">
        <is>
          <t>Titan007/V4</t>
        </is>
      </c>
      <c r="AY488" s="14" t="inlineStr">
        <is>
          <t>Daily append；市场输入缺失时不生成决策</t>
        </is>
      </c>
    </row>
    <row r="489" ht="22" customHeight="1" s="39">
      <c r="A489" s="14" t="inlineStr">
        <is>
          <t>2026-10-08</t>
        </is>
      </c>
      <c r="B489" s="14" t="inlineStr">
        <is>
          <t>2026-10-08T19:00:00+08:00</t>
        </is>
      </c>
      <c r="C489" s="14" t="inlineStr">
        <is>
          <t>CLUB_CUP</t>
        </is>
      </c>
      <c r="D489" s="14" t="inlineStr"/>
      <c r="E489" s="14" t="inlineStr">
        <is>
          <t>土杯</t>
        </is>
      </c>
      <c r="F489" s="14" t="inlineStr">
        <is>
          <t>埃西亚斯38 vs 卡赫塔士邦</t>
        </is>
      </c>
      <c r="G489" s="26" t="n">
        <v>0.57</v>
      </c>
      <c r="H489" s="26" t="n">
        <v>1.5</v>
      </c>
      <c r="I489" s="26" t="n">
        <v>1.2</v>
      </c>
      <c r="J489" s="26" t="inlineStr">
        <is>
          <t>0.57/1.5/1.2</t>
        </is>
      </c>
      <c r="K489" s="14" t="inlineStr">
        <is>
          <t>V4-B</t>
        </is>
      </c>
      <c r="L489" s="14" t="inlineStr">
        <is>
          <t>埃西亚斯38</t>
        </is>
      </c>
      <c r="M489" s="47" t="n">
        <v>0.7332203021961924</v>
      </c>
      <c r="N489" s="14" t="inlineStr">
        <is>
          <t>V4 Shadow Only；real_money=false</t>
        </is>
      </c>
      <c r="O489" s="14" t="inlineStr">
        <is>
          <t>0-0</t>
        </is>
      </c>
      <c r="P489" s="14" t="inlineStr">
        <is>
          <t>EVALUATED</t>
        </is>
      </c>
      <c r="Q489" s="14" t="inlineStr"/>
      <c r="R489" s="48" t="n">
        <v>0.57</v>
      </c>
      <c r="S489" s="48" t="n"/>
      <c r="T489" s="14" t="inlineStr">
        <is>
          <t>D:\codex\outputs\football_odds_trader\decision_versions\2026-10-08\RUN_20261008_074649\slate_raw.csv</t>
        </is>
      </c>
      <c r="U489" s="14" t="inlineStr"/>
      <c r="V489" s="48" t="inlineStr"/>
      <c r="W489" s="48" t="inlineStr"/>
      <c r="X489" s="14" t="inlineStr">
        <is>
          <t>3094013</t>
        </is>
      </c>
      <c r="Y489" s="14" t="inlineStr">
        <is>
          <t>V4</t>
        </is>
      </c>
      <c r="Z489" s="14" t="inlineStr">
        <is>
          <t>prior-2026-10-08-v1</t>
        </is>
      </c>
      <c r="AA489" s="14" t="inlineStr">
        <is>
          <t>B</t>
        </is>
      </c>
      <c r="AB489" s="14" t="n">
        <v>0.7332203021961924</v>
      </c>
      <c r="AC489" s="14" t="n">
        <v>0.2667796978038077</v>
      </c>
      <c r="AD489" s="14" t="n">
        <v>2.75</v>
      </c>
      <c r="AE489" s="14" t="n"/>
      <c r="AF489" s="14" t="n"/>
      <c r="AG489" s="14" t="n">
        <v>0.151155874448022</v>
      </c>
      <c r="AH489" s="14" t="n"/>
      <c r="AI489" s="14" t="n"/>
      <c r="AJ489" s="14" t="n">
        <v>0.151155874448022</v>
      </c>
      <c r="AK489" s="14" t="n"/>
      <c r="AL489" s="14" t="n"/>
      <c r="AM489" s="14" t="n"/>
      <c r="AN489" s="14" t="inlineStr">
        <is>
          <t>EVALUATED</t>
        </is>
      </c>
      <c r="AO489" s="14" t="inlineStr">
        <is>
          <t>GIVING_VALIDATED_EDGE;BUCKET_PRIOR_ONLY;INTENT_INTERPRETATION_ONLY;FFL_OPTIONAL;EXPERT_MARKET</t>
        </is>
      </c>
      <c r="AP489" s="14" t="inlineStr">
        <is>
          <t>bbf4fcb44a9d8683807a</t>
        </is>
      </c>
      <c r="AQ489" s="14" t="n">
        <v>-1.5</v>
      </c>
      <c r="AR489" s="14" t="n">
        <v>0.57</v>
      </c>
      <c r="AS489" s="14" t="n">
        <v>1.5</v>
      </c>
      <c r="AT489" s="14" t="n">
        <v>-1.5</v>
      </c>
      <c r="AU489" s="14" t="n">
        <v>0.57</v>
      </c>
      <c r="AV489" s="14" t="n">
        <v>1.2</v>
      </c>
      <c r="AW489" s="14" t="inlineStr">
        <is>
          <t>2026-10-08T07:44:59.408325+08:00</t>
        </is>
      </c>
      <c r="AX489" s="14" t="inlineStr">
        <is>
          <t>Titan007/V4</t>
        </is>
      </c>
      <c r="AY489" s="14" t="inlineStr">
        <is>
          <t>Daily append；市场输入缺失时不生成决策</t>
        </is>
      </c>
    </row>
    <row r="490" ht="22" customHeight="1" s="39">
      <c r="A490" s="14" t="inlineStr">
        <is>
          <t>2026-10-08</t>
        </is>
      </c>
      <c r="B490" s="14" t="inlineStr">
        <is>
          <t>2026-10-09T01:00:00+08:00</t>
        </is>
      </c>
      <c r="C490" s="14" t="inlineStr">
        <is>
          <t>CLUB_CUP</t>
        </is>
      </c>
      <c r="D490" s="14" t="inlineStr"/>
      <c r="E490" s="14" t="inlineStr">
        <is>
          <t>埃及联杯</t>
        </is>
      </c>
      <c r="F490" s="14" t="inlineStr">
        <is>
          <t>现代体育(中) vs 国家银行俱乐部</t>
        </is>
      </c>
      <c r="G490" s="26" t="n">
        <v>0.9</v>
      </c>
      <c r="H490" s="26" t="n">
        <v>-0.25</v>
      </c>
      <c r="I490" s="26" t="n">
        <v>0.92</v>
      </c>
      <c r="J490" s="26" t="inlineStr">
        <is>
          <t>0.9/-0.25/0.92</t>
        </is>
      </c>
      <c r="K490" s="14" t="inlineStr">
        <is>
          <t>V4-B</t>
        </is>
      </c>
      <c r="L490" s="14" t="inlineStr">
        <is>
          <t>现代体育(中)</t>
        </is>
      </c>
      <c r="M490" s="47" t="n">
        <v>0.2537749780897647</v>
      </c>
      <c r="N490" s="14" t="inlineStr">
        <is>
          <t>V4 Shadow Only；real_money=false</t>
        </is>
      </c>
      <c r="O490" s="14" t="inlineStr">
        <is>
          <t>0-0</t>
        </is>
      </c>
      <c r="P490" s="14" t="inlineStr">
        <is>
          <t>EVALUATED</t>
        </is>
      </c>
      <c r="Q490" s="14" t="inlineStr"/>
      <c r="R490" s="48" t="n">
        <v>0.9</v>
      </c>
      <c r="S490" s="48" t="n"/>
      <c r="T490" s="14" t="inlineStr">
        <is>
          <t>D:\codex\outputs\football_odds_trader\decision_versions\2026-10-08\RUN_20261008_074649\slate_raw.csv</t>
        </is>
      </c>
      <c r="U490" s="14" t="inlineStr"/>
      <c r="V490" s="48" t="inlineStr"/>
      <c r="W490" s="48" t="inlineStr"/>
      <c r="X490" s="14" t="inlineStr">
        <is>
          <t>3094156</t>
        </is>
      </c>
      <c r="Y490" s="14" t="inlineStr">
        <is>
          <t>V4</t>
        </is>
      </c>
      <c r="Z490" s="14" t="inlineStr">
        <is>
          <t>prior-2026-10-08-v1</t>
        </is>
      </c>
      <c r="AA490" s="14" t="inlineStr">
        <is>
          <t>B</t>
        </is>
      </c>
      <c r="AB490" s="14" t="n">
        <v>0.2537749780897647</v>
      </c>
      <c r="AC490" s="14" t="n">
        <v>0.6180756855890087</v>
      </c>
      <c r="AD490" s="14" t="n">
        <v>-0.5</v>
      </c>
      <c r="AE490" s="14" t="n"/>
      <c r="AF490" s="14" t="n"/>
      <c r="AG490" s="14" t="n">
        <v>0.3024931389403432</v>
      </c>
      <c r="AH490" s="14" t="n"/>
      <c r="AI490" s="14" t="n"/>
      <c r="AJ490" s="14" t="n">
        <v>0.3024931389403432</v>
      </c>
      <c r="AK490" s="14" t="n"/>
      <c r="AL490" s="14" t="n"/>
      <c r="AM490" s="14" t="n"/>
      <c r="AN490" s="14" t="inlineStr">
        <is>
          <t>EVALUATED</t>
        </is>
      </c>
      <c r="AO490" s="14" t="inlineStr">
        <is>
          <t>RECEIVING_VALIDATED_EDGE;BUCKET_PRIOR_ONLY;INTENT_INTERPRETATION_ONLY;FFL_OPTIONAL;EXPERT_MARKET</t>
        </is>
      </c>
      <c r="AP490" s="14" t="inlineStr">
        <is>
          <t>4ca9b873fdd532b4b0b9</t>
        </is>
      </c>
      <c r="AQ490" s="14" t="n">
        <v>0.25</v>
      </c>
      <c r="AR490" s="14" t="n">
        <v>0.9</v>
      </c>
      <c r="AS490" s="14" t="n">
        <v>-0.25</v>
      </c>
      <c r="AT490" s="14" t="n">
        <v>0.25</v>
      </c>
      <c r="AU490" s="14" t="n">
        <v>0.9</v>
      </c>
      <c r="AV490" s="14" t="n">
        <v>0.92</v>
      </c>
      <c r="AW490" s="14" t="inlineStr">
        <is>
          <t>2026-10-08T07:44:59.408325+08:00</t>
        </is>
      </c>
      <c r="AX490" s="14" t="inlineStr">
        <is>
          <t>Titan007/V4</t>
        </is>
      </c>
      <c r="AY490" s="14" t="inlineStr">
        <is>
          <t>Daily append；市场输入缺失时不生成决策</t>
        </is>
      </c>
    </row>
    <row r="491" ht="22" customHeight="1" s="39">
      <c r="A491" s="14" t="inlineStr">
        <is>
          <t>2026-10-08</t>
        </is>
      </c>
      <c r="B491" s="14" t="inlineStr">
        <is>
          <t>2026-10-08T22:00:00+08:00</t>
        </is>
      </c>
      <c r="C491" s="14" t="inlineStr">
        <is>
          <t>CLUB_CUP</t>
        </is>
      </c>
      <c r="D491" s="14" t="inlineStr"/>
      <c r="E491" s="14" t="inlineStr">
        <is>
          <t>埃及联杯</t>
        </is>
      </c>
      <c r="F491" s="14" t="inlineStr">
        <is>
          <t>阿拉伯建筑 vs 艾尔格纳</t>
        </is>
      </c>
      <c r="G491" s="26" t="n">
        <v>0.82</v>
      </c>
      <c r="H491" s="26" t="n">
        <v>0.5</v>
      </c>
      <c r="I491" s="26" t="n">
        <v>1</v>
      </c>
      <c r="J491" s="26" t="inlineStr">
        <is>
          <t>0.82/0.5/1.0</t>
        </is>
      </c>
      <c r="K491" s="14" t="inlineStr">
        <is>
          <t>V4-B</t>
        </is>
      </c>
      <c r="L491" s="14" t="inlineStr">
        <is>
          <t>阿拉伯建筑</t>
        </is>
      </c>
      <c r="M491" s="47" t="n">
        <v>0.6523533956400533</v>
      </c>
      <c r="N491" s="14" t="inlineStr">
        <is>
          <t>V4 Shadow Only；real_money=false</t>
        </is>
      </c>
      <c r="O491" s="14" t="inlineStr">
        <is>
          <t>0-0</t>
        </is>
      </c>
      <c r="P491" s="14" t="inlineStr">
        <is>
          <t>EVALUATED</t>
        </is>
      </c>
      <c r="Q491" s="14" t="inlineStr"/>
      <c r="R491" s="48" t="n">
        <v>0.82</v>
      </c>
      <c r="S491" s="48" t="n"/>
      <c r="T491" s="14" t="inlineStr">
        <is>
          <t>D:\codex\outputs\football_odds_trader\decision_versions\2026-10-08\RUN_20261008_074649\slate_raw.csv</t>
        </is>
      </c>
      <c r="U491" s="14" t="inlineStr"/>
      <c r="V491" s="48" t="inlineStr"/>
      <c r="W491" s="48" t="inlineStr"/>
      <c r="X491" s="14" t="inlineStr">
        <is>
          <t>3094166</t>
        </is>
      </c>
      <c r="Y491" s="14" t="inlineStr">
        <is>
          <t>V4</t>
        </is>
      </c>
      <c r="Z491" s="14" t="inlineStr">
        <is>
          <t>prior-2026-10-08-v1</t>
        </is>
      </c>
      <c r="AA491" s="14" t="inlineStr">
        <is>
          <t>B</t>
        </is>
      </c>
      <c r="AB491" s="14" t="n">
        <v>0.6523533956400533</v>
      </c>
      <c r="AC491" s="14" t="n">
        <v>0.3476466043599467</v>
      </c>
      <c r="AD491" s="14" t="n">
        <v>1.25</v>
      </c>
      <c r="AE491" s="14" t="n"/>
      <c r="AF491" s="14" t="n"/>
      <c r="AG491" s="14" t="n">
        <v>0.187283180064897</v>
      </c>
      <c r="AH491" s="14" t="n"/>
      <c r="AI491" s="14" t="n"/>
      <c r="AJ491" s="14" t="n">
        <v>0.187283180064897</v>
      </c>
      <c r="AK491" s="14" t="n"/>
      <c r="AL491" s="14" t="n"/>
      <c r="AM491" s="14" t="n"/>
      <c r="AN491" s="14" t="inlineStr">
        <is>
          <t>EVALUATED</t>
        </is>
      </c>
      <c r="AO491" s="14" t="inlineStr">
        <is>
          <t>GIVING_VALIDATED_EDGE;BUCKET_PRIOR_ONLY;INTENT_INTERPRETATION_ONLY;FFL_OPTIONAL;EXPERT_MARKET</t>
        </is>
      </c>
      <c r="AP491" s="14" t="inlineStr">
        <is>
          <t>2fb209e23c0ba4ae6e7b</t>
        </is>
      </c>
      <c r="AQ491" s="14" t="n">
        <v>-0.5</v>
      </c>
      <c r="AR491" s="14" t="n">
        <v>0.82</v>
      </c>
      <c r="AS491" s="14" t="n">
        <v>0.5</v>
      </c>
      <c r="AT491" s="14" t="n">
        <v>-0.5</v>
      </c>
      <c r="AU491" s="14" t="n">
        <v>0.82</v>
      </c>
      <c r="AV491" s="14" t="n">
        <v>1</v>
      </c>
      <c r="AW491" s="14" t="inlineStr">
        <is>
          <t>2026-10-08T07:44:59.408325+08:00</t>
        </is>
      </c>
      <c r="AX491" s="14" t="inlineStr">
        <is>
          <t>Titan007/V4</t>
        </is>
      </c>
      <c r="AY491" s="14" t="inlineStr">
        <is>
          <t>Daily append；市场输入缺失时不生成决策</t>
        </is>
      </c>
    </row>
    <row r="492" ht="22" customHeight="1" s="39">
      <c r="A492" s="14" t="inlineStr">
        <is>
          <t>2026-10-08</t>
        </is>
      </c>
      <c r="B492" s="14" t="inlineStr">
        <is>
          <t>2026-10-08T22:00:00+08:00</t>
        </is>
      </c>
      <c r="C492" s="14" t="inlineStr">
        <is>
          <t>CLUB_CUP</t>
        </is>
      </c>
      <c r="D492" s="14" t="inlineStr"/>
      <c r="E492" s="14" t="inlineStr">
        <is>
          <t>女挪威杯</t>
        </is>
      </c>
      <c r="F492" s="14" t="inlineStr">
        <is>
          <t>布莱尼女足 vs 侯治森华特女足</t>
        </is>
      </c>
      <c r="G492" s="26" t="n">
        <v>1.05</v>
      </c>
      <c r="H492" s="26" t="n">
        <v>-2</v>
      </c>
      <c r="I492" s="26" t="n">
        <v>0.65</v>
      </c>
      <c r="J492" s="26" t="inlineStr">
        <is>
          <t>1.05/-2.0/0.65</t>
        </is>
      </c>
      <c r="K492" s="14" t="inlineStr">
        <is>
          <t>V4-B</t>
        </is>
      </c>
      <c r="L492" s="14" t="inlineStr">
        <is>
          <t>布莱尼女足</t>
        </is>
      </c>
      <c r="M492" s="47" t="n">
        <v>5.697371452922552e-06</v>
      </c>
      <c r="N492" s="14" t="inlineStr">
        <is>
          <t>V4 Shadow Only；real_money=false</t>
        </is>
      </c>
      <c r="O492" s="14" t="inlineStr">
        <is>
          <t>0-0</t>
        </is>
      </c>
      <c r="P492" s="14" t="inlineStr">
        <is>
          <t>EVALUATED</t>
        </is>
      </c>
      <c r="Q492" s="14" t="inlineStr"/>
      <c r="R492" s="48" t="n">
        <v>1.05</v>
      </c>
      <c r="S492" s="48" t="n"/>
      <c r="T492" s="14" t="inlineStr">
        <is>
          <t>D:\codex\outputs\football_odds_trader\decision_versions\2026-10-08\RUN_20261008_074649\slate_raw.csv</t>
        </is>
      </c>
      <c r="U492" s="14" t="inlineStr"/>
      <c r="V492" s="48" t="inlineStr"/>
      <c r="W492" s="48" t="inlineStr"/>
      <c r="X492" s="14" t="inlineStr">
        <is>
          <t>3096221</t>
        </is>
      </c>
      <c r="Y492" s="14" t="inlineStr">
        <is>
          <t>V4</t>
        </is>
      </c>
      <c r="Z492" s="14" t="inlineStr">
        <is>
          <t>prior-2026-10-08-v1</t>
        </is>
      </c>
      <c r="AA492" s="14" t="inlineStr">
        <is>
          <t>B</t>
        </is>
      </c>
      <c r="AB492" s="14" t="n">
        <v>5.697371452922552e-06</v>
      </c>
      <c r="AC492" s="14" t="n">
        <v>0.9997811314374928</v>
      </c>
      <c r="AD492" s="14" t="n">
        <v>-2.75</v>
      </c>
      <c r="AE492" s="14" t="n"/>
      <c r="AF492" s="14" t="n"/>
      <c r="AG492" s="14" t="n">
        <v>1.049764490637915</v>
      </c>
      <c r="AH492" s="14" t="n"/>
      <c r="AI492" s="14" t="n"/>
      <c r="AJ492" s="14" t="n">
        <v>1.049764490637915</v>
      </c>
      <c r="AK492" s="14" t="n"/>
      <c r="AL492" s="14" t="n"/>
      <c r="AM492" s="14" t="n"/>
      <c r="AN492" s="14" t="inlineStr">
        <is>
          <t>EVALUATED</t>
        </is>
      </c>
      <c r="AO492" s="14" t="inlineStr">
        <is>
          <t>RECEIVING_VALIDATED_EDGE;BUCKET_PRIOR_ONLY;INTENT_INTERPRETATION_ONLY;FFL_OPTIONAL;EXPERT_MARKET</t>
        </is>
      </c>
      <c r="AP492" s="14" t="inlineStr">
        <is>
          <t>942aece8762aa692ed18</t>
        </is>
      </c>
      <c r="AQ492" s="14" t="n">
        <v>2</v>
      </c>
      <c r="AR492" s="14" t="n">
        <v>1.05</v>
      </c>
      <c r="AS492" s="14" t="n">
        <v>-2</v>
      </c>
      <c r="AT492" s="14" t="n">
        <v>2</v>
      </c>
      <c r="AU492" s="14" t="n">
        <v>1.05</v>
      </c>
      <c r="AV492" s="14" t="n">
        <v>0.65</v>
      </c>
      <c r="AW492" s="14" t="inlineStr">
        <is>
          <t>2026-10-08T07:44:59.408325+08:00</t>
        </is>
      </c>
      <c r="AX492" s="14" t="inlineStr">
        <is>
          <t>Titan007/V4</t>
        </is>
      </c>
      <c r="AY492" s="14" t="inlineStr">
        <is>
          <t>Daily append；市场输入缺失时不生成决策</t>
        </is>
      </c>
    </row>
    <row r="493" ht="22" customHeight="1" s="39">
      <c r="A493" s="14" t="inlineStr">
        <is>
          <t>2026-10-08</t>
        </is>
      </c>
      <c r="B493" s="14" t="inlineStr">
        <is>
          <t>2026-10-08T22:30:00+08:00</t>
        </is>
      </c>
      <c r="C493" s="14" t="inlineStr">
        <is>
          <t>CLUB_CUP</t>
        </is>
      </c>
      <c r="D493" s="14" t="inlineStr"/>
      <c r="E493" s="14" t="inlineStr">
        <is>
          <t>女挪威杯</t>
        </is>
      </c>
      <c r="F493" s="14" t="inlineStr">
        <is>
          <t>格雷女足 vs 罗亚女足</t>
        </is>
      </c>
      <c r="G493" s="26" t="n">
        <v>0.9</v>
      </c>
      <c r="H493" s="26" t="n">
        <v>-1.5</v>
      </c>
      <c r="I493" s="26" t="n">
        <v>0.9</v>
      </c>
      <c r="J493" s="26" t="inlineStr">
        <is>
          <t>0.9/-1.5/0.9</t>
        </is>
      </c>
      <c r="K493" s="14" t="inlineStr">
        <is>
          <t>V4-B</t>
        </is>
      </c>
      <c r="L493" s="14" t="inlineStr">
        <is>
          <t>格雷女足</t>
        </is>
      </c>
      <c r="M493" s="47" t="n">
        <v>0.002790430503229436</v>
      </c>
      <c r="N493" s="14" t="inlineStr">
        <is>
          <t>V4 Shadow Only；real_money=false</t>
        </is>
      </c>
      <c r="O493" s="14" t="inlineStr">
        <is>
          <t>0-0</t>
        </is>
      </c>
      <c r="P493" s="14" t="inlineStr">
        <is>
          <t>EVALUATED</t>
        </is>
      </c>
      <c r="Q493" s="14" t="inlineStr"/>
      <c r="R493" s="48" t="n">
        <v>0.9</v>
      </c>
      <c r="S493" s="48" t="n"/>
      <c r="T493" s="14" t="inlineStr">
        <is>
          <t>D:\codex\outputs\football_odds_trader\decision_versions\2026-10-08\RUN_20261008_074649\slate_raw.csv</t>
        </is>
      </c>
      <c r="U493" s="14" t="inlineStr"/>
      <c r="V493" s="48" t="inlineStr"/>
      <c r="W493" s="48" t="inlineStr"/>
      <c r="X493" s="14" t="inlineStr">
        <is>
          <t>3096223</t>
        </is>
      </c>
      <c r="Y493" s="14" t="inlineStr">
        <is>
          <t>V4</t>
        </is>
      </c>
      <c r="Z493" s="14" t="inlineStr">
        <is>
          <t>prior-2026-10-08-v1</t>
        </is>
      </c>
      <c r="AA493" s="14" t="inlineStr">
        <is>
          <t>B</t>
        </is>
      </c>
      <c r="AB493" s="14" t="n">
        <v>0.002790430503229436</v>
      </c>
      <c r="AC493" s="14" t="n">
        <v>0.9972095694967706</v>
      </c>
      <c r="AD493" s="14" t="n">
        <v>-2.25</v>
      </c>
      <c r="AE493" s="14" t="n"/>
      <c r="AF493" s="14" t="n"/>
      <c r="AG493" s="14" t="n">
        <v>0.8946981820438641</v>
      </c>
      <c r="AH493" s="14" t="n"/>
      <c r="AI493" s="14" t="n"/>
      <c r="AJ493" s="14" t="n">
        <v>0.8946981820438641</v>
      </c>
      <c r="AK493" s="14" t="n"/>
      <c r="AL493" s="14" t="n"/>
      <c r="AM493" s="14" t="n"/>
      <c r="AN493" s="14" t="inlineStr">
        <is>
          <t>EVALUATED</t>
        </is>
      </c>
      <c r="AO493" s="14" t="inlineStr">
        <is>
          <t>RECEIVING_VALIDATED_EDGE;BUCKET_PRIOR_ONLY;INTENT_INTERPRETATION_ONLY;FFL_OPTIONAL;EXPERT_MARKET</t>
        </is>
      </c>
      <c r="AP493" s="14" t="inlineStr">
        <is>
          <t>b942d29154053d4e10fa</t>
        </is>
      </c>
      <c r="AQ493" s="14" t="n">
        <v>1.5</v>
      </c>
      <c r="AR493" s="14" t="n">
        <v>0.9</v>
      </c>
      <c r="AS493" s="14" t="n">
        <v>-1.5</v>
      </c>
      <c r="AT493" s="14" t="n">
        <v>1.5</v>
      </c>
      <c r="AU493" s="14" t="n">
        <v>0.9</v>
      </c>
      <c r="AV493" s="14" t="n">
        <v>0.9</v>
      </c>
      <c r="AW493" s="14" t="inlineStr">
        <is>
          <t>2026-10-08T07:44:59.408325+08:00</t>
        </is>
      </c>
      <c r="AX493" s="14" t="inlineStr">
        <is>
          <t>Titan007/V4</t>
        </is>
      </c>
      <c r="AY493" s="14" t="inlineStr">
        <is>
          <t>Daily append；市场输入缺失时不生成决策</t>
        </is>
      </c>
    </row>
    <row r="494" ht="22" customHeight="1" s="39">
      <c r="A494" s="14" t="inlineStr">
        <is>
          <t>2026-10-08</t>
        </is>
      </c>
      <c r="B494" s="14" t="inlineStr">
        <is>
          <t>2026-10-08T21:10:00+08:00</t>
        </is>
      </c>
      <c r="C494" s="14" t="inlineStr">
        <is>
          <t>CLUB_CUP</t>
        </is>
      </c>
      <c r="D494" s="14" t="inlineStr"/>
      <c r="E494" s="14" t="inlineStr">
        <is>
          <t>阿联酋杯</t>
        </is>
      </c>
      <c r="F494" s="14" t="inlineStr">
        <is>
          <t>艾因 vs 伊蒂哈德卡尔巴</t>
        </is>
      </c>
      <c r="G494" s="26" t="n">
        <v>0.92</v>
      </c>
      <c r="H494" s="26" t="n">
        <v>1.75</v>
      </c>
      <c r="I494" s="26" t="n">
        <v>0.84</v>
      </c>
      <c r="J494" s="26" t="inlineStr">
        <is>
          <t>0.92/1.75/0.84</t>
        </is>
      </c>
      <c r="K494" s="14" t="inlineStr">
        <is>
          <t>V4-B</t>
        </is>
      </c>
      <c r="L494" s="14" t="inlineStr">
        <is>
          <t>艾因</t>
        </is>
      </c>
      <c r="M494" s="47" t="n">
        <v>0.5076838257589696</v>
      </c>
      <c r="N494" s="14" t="inlineStr">
        <is>
          <t>V4 Shadow Only；real_money=false</t>
        </is>
      </c>
      <c r="O494" s="14" t="inlineStr">
        <is>
          <t>0-0</t>
        </is>
      </c>
      <c r="P494" s="14" t="inlineStr">
        <is>
          <t>EVALUATED</t>
        </is>
      </c>
      <c r="Q494" s="14" t="inlineStr"/>
      <c r="R494" s="48" t="n">
        <v>0.92</v>
      </c>
      <c r="S494" s="48" t="n"/>
      <c r="T494" s="14" t="inlineStr">
        <is>
          <t>D:\codex\outputs\football_odds_trader\decision_versions\2026-10-08\RUN_20261008_074649\slate_raw.csv</t>
        </is>
      </c>
      <c r="U494" s="14" t="inlineStr"/>
      <c r="V494" s="48" t="inlineStr"/>
      <c r="W494" s="48" t="inlineStr"/>
      <c r="X494" s="14" t="inlineStr">
        <is>
          <t>3096234</t>
        </is>
      </c>
      <c r="Y494" s="14" t="inlineStr">
        <is>
          <t>V4</t>
        </is>
      </c>
      <c r="Z494" s="14" t="inlineStr">
        <is>
          <t>prior-2026-10-08-v1</t>
        </is>
      </c>
      <c r="AA494" s="14" t="inlineStr">
        <is>
          <t>B</t>
        </is>
      </c>
      <c r="AB494" s="14" t="n">
        <v>0.5076838257589696</v>
      </c>
      <c r="AC494" s="14" t="n">
        <v>0.3697400318671149</v>
      </c>
      <c r="AD494" s="14" t="n">
        <v>2.25</v>
      </c>
      <c r="AE494" s="14" t="n"/>
      <c r="AF494" s="14" t="n"/>
      <c r="AG494" s="14" t="n">
        <v>0.09732908783113714</v>
      </c>
      <c r="AH494" s="14" t="n"/>
      <c r="AI494" s="14" t="n"/>
      <c r="AJ494" s="14" t="n">
        <v>0.09732908783113714</v>
      </c>
      <c r="AK494" s="14" t="n"/>
      <c r="AL494" s="14" t="n"/>
      <c r="AM494" s="14" t="n"/>
      <c r="AN494" s="14" t="inlineStr">
        <is>
          <t>EVALUATED</t>
        </is>
      </c>
      <c r="AO494" s="14" t="inlineStr">
        <is>
          <t>GIVING_VALIDATED_EDGE;BUCKET_PRIOR_ONLY;INTENT_INTERPRETATION_ONLY;FFL_OPTIONAL;EXPERT_MARKET</t>
        </is>
      </c>
      <c r="AP494" s="14" t="inlineStr">
        <is>
          <t>83927550c81aa725dc22</t>
        </is>
      </c>
      <c r="AQ494" s="14" t="n">
        <v>-1.75</v>
      </c>
      <c r="AR494" s="14" t="n">
        <v>0.92</v>
      </c>
      <c r="AS494" s="14" t="n">
        <v>1.75</v>
      </c>
      <c r="AT494" s="14" t="n">
        <v>-1.75</v>
      </c>
      <c r="AU494" s="14" t="n">
        <v>0.92</v>
      </c>
      <c r="AV494" s="14" t="n">
        <v>0.84</v>
      </c>
      <c r="AW494" s="14" t="inlineStr">
        <is>
          <t>2026-10-08T07:44:59.408325+08:00</t>
        </is>
      </c>
      <c r="AX494" s="14" t="inlineStr">
        <is>
          <t>Titan007/V4</t>
        </is>
      </c>
      <c r="AY494" s="14" t="inlineStr">
        <is>
          <t>Daily append；市场输入缺失时不生成决策</t>
        </is>
      </c>
    </row>
    <row r="495" ht="22" customHeight="1" s="39">
      <c r="A495" s="14" t="inlineStr">
        <is>
          <t>2026-10-08</t>
        </is>
      </c>
      <c r="B495" s="14" t="inlineStr">
        <is>
          <t>2026-10-08T21:10:00+08:00</t>
        </is>
      </c>
      <c r="C495" s="14" t="inlineStr"/>
      <c r="D495" s="14" t="inlineStr"/>
      <c r="E495" s="14" t="inlineStr">
        <is>
          <t>阿联酋杯</t>
        </is>
      </c>
      <c r="F495" s="14" t="inlineStr">
        <is>
          <t>迪拜青年国民 vs 迪拜联合</t>
        </is>
      </c>
      <c r="G495" s="26" t="n">
        <v>0.7</v>
      </c>
      <c r="H495" s="26" t="n">
        <v>1.5</v>
      </c>
      <c r="I495" s="26" t="n">
        <v>1.06</v>
      </c>
      <c r="J495" s="26" t="inlineStr">
        <is>
          <t>0.7/1.5/1.06</t>
        </is>
      </c>
      <c r="K495" s="14" t="inlineStr">
        <is>
          <t>V4-B</t>
        </is>
      </c>
      <c r="L495" s="14" t="inlineStr">
        <is>
          <t>迪拜青年国民</t>
        </is>
      </c>
      <c r="M495" s="47" t="n">
        <v>0.6488325664964105</v>
      </c>
      <c r="N495" s="14" t="inlineStr">
        <is>
          <t>V4 Shadow Only；real_money=false</t>
        </is>
      </c>
      <c r="O495" s="14" t="inlineStr">
        <is>
          <t>0-0</t>
        </is>
      </c>
      <c r="P495" s="14" t="inlineStr">
        <is>
          <t>EVALUATED</t>
        </is>
      </c>
      <c r="Q495" s="14" t="inlineStr"/>
      <c r="R495" s="48" t="n">
        <v>0.7</v>
      </c>
      <c r="S495" s="48" t="n"/>
      <c r="T495" s="14" t="inlineStr">
        <is>
          <t>D:\codex\outputs\football_odds_trader\decision_versions\2026-10-08\RUN_20261008_074649\slate_raw.csv</t>
        </is>
      </c>
      <c r="U495" s="14" t="inlineStr"/>
      <c r="V495" s="48" t="inlineStr"/>
      <c r="W495" s="48" t="inlineStr"/>
      <c r="X495" s="14" t="inlineStr">
        <is>
          <t>3096235</t>
        </is>
      </c>
      <c r="Y495" s="14" t="inlineStr">
        <is>
          <t>V4</t>
        </is>
      </c>
      <c r="Z495" s="14" t="inlineStr">
        <is>
          <t>prior-2026-10-08-v1</t>
        </is>
      </c>
      <c r="AA495" s="14" t="inlineStr">
        <is>
          <t>B</t>
        </is>
      </c>
      <c r="AB495" s="14" t="n">
        <v>0.6488325664964105</v>
      </c>
      <c r="AC495" s="14" t="n">
        <v>0.3511674335035895</v>
      </c>
      <c r="AD495" s="14" t="n">
        <v>2.25</v>
      </c>
      <c r="AE495" s="14" t="n"/>
      <c r="AF495" s="14" t="n"/>
      <c r="AG495" s="14" t="n">
        <v>0.1030153630438978</v>
      </c>
      <c r="AH495" s="14" t="n"/>
      <c r="AI495" s="14" t="n"/>
      <c r="AJ495" s="14" t="n">
        <v>0.1030153630438978</v>
      </c>
      <c r="AK495" s="14" t="n"/>
      <c r="AL495" s="14" t="n"/>
      <c r="AM495" s="14" t="n"/>
      <c r="AN495" s="14" t="inlineStr">
        <is>
          <t>EVALUATED</t>
        </is>
      </c>
      <c r="AO495" s="14" t="inlineStr">
        <is>
          <t>GIVING_VALIDATED_EDGE;BUCKET_PRIOR_ONLY;INTENT_INTERPRETATION_ONLY;FFL_OPTIONAL;EXPERT_MARKET</t>
        </is>
      </c>
      <c r="AP495" s="14" t="inlineStr">
        <is>
          <t>c75ced1ecea2bc8cf3bd</t>
        </is>
      </c>
      <c r="AQ495" s="14" t="n">
        <v>-1.5</v>
      </c>
      <c r="AR495" s="14" t="n">
        <v>0.7</v>
      </c>
      <c r="AS495" s="14" t="n">
        <v>1.5</v>
      </c>
      <c r="AT495" s="14" t="n">
        <v>-1.5</v>
      </c>
      <c r="AU495" s="14" t="n">
        <v>0.7</v>
      </c>
      <c r="AV495" s="14" t="n">
        <v>1.06</v>
      </c>
      <c r="AW495" s="14" t="inlineStr">
        <is>
          <t>2026-10-08T07:44:59.408325+08:00</t>
        </is>
      </c>
      <c r="AX495" s="14" t="inlineStr">
        <is>
          <t>Titan007/V4</t>
        </is>
      </c>
      <c r="AY495" s="14" t="inlineStr">
        <is>
          <t>Daily append；市场输入缺失时不生成决策</t>
        </is>
      </c>
    </row>
    <row r="496" ht="22" customHeight="1" s="39">
      <c r="A496" s="14" t="inlineStr">
        <is>
          <t>2026-10-08</t>
        </is>
      </c>
      <c r="B496" s="14" t="inlineStr">
        <is>
          <t>2026-10-08T23:45:00+08:00</t>
        </is>
      </c>
      <c r="C496" s="14" t="inlineStr">
        <is>
          <t>CLUB_CUP</t>
        </is>
      </c>
      <c r="D496" s="14" t="inlineStr"/>
      <c r="E496" s="14" t="inlineStr">
        <is>
          <t>阿联酋杯</t>
        </is>
      </c>
      <c r="F496" s="14" t="inlineStr">
        <is>
          <t>豪尔费坎 vs 迪拜祈祷</t>
        </is>
      </c>
      <c r="G496" s="26" t="n">
        <v>0.6</v>
      </c>
      <c r="H496" s="26" t="n">
        <v>-1.75</v>
      </c>
      <c r="I496" s="26" t="n">
        <v>1.19</v>
      </c>
      <c r="J496" s="26" t="inlineStr">
        <is>
          <t>0.6/-1.75/1.19</t>
        </is>
      </c>
      <c r="K496" s="14" t="inlineStr">
        <is>
          <t>V4-B</t>
        </is>
      </c>
      <c r="L496" s="14" t="inlineStr">
        <is>
          <t>豪尔费坎</t>
        </is>
      </c>
      <c r="M496" s="47" t="n">
        <v>0.005627599086834958</v>
      </c>
      <c r="N496" s="14" t="inlineStr">
        <is>
          <t>V4 Shadow Only；real_money=false</t>
        </is>
      </c>
      <c r="O496" s="14" t="inlineStr">
        <is>
          <t>0-0</t>
        </is>
      </c>
      <c r="P496" s="14" t="inlineStr">
        <is>
          <t>EVALUATED</t>
        </is>
      </c>
      <c r="Q496" s="14" t="inlineStr"/>
      <c r="R496" s="48" t="n">
        <v>0.6</v>
      </c>
      <c r="S496" s="48" t="n"/>
      <c r="T496" s="14" t="inlineStr">
        <is>
          <t>D:\codex\outputs\football_odds_trader\decision_versions\2026-10-08\RUN_20261008_074649\slate_raw.csv</t>
        </is>
      </c>
      <c r="U496" s="14" t="inlineStr"/>
      <c r="V496" s="48" t="inlineStr"/>
      <c r="W496" s="48" t="inlineStr"/>
      <c r="X496" s="14" t="inlineStr">
        <is>
          <t>3096236</t>
        </is>
      </c>
      <c r="Y496" s="14" t="inlineStr">
        <is>
          <t>V4</t>
        </is>
      </c>
      <c r="Z496" s="14" t="inlineStr">
        <is>
          <t>prior-2026-10-08-v1</t>
        </is>
      </c>
      <c r="AA496" s="14" t="inlineStr">
        <is>
          <t>B</t>
        </is>
      </c>
      <c r="AB496" s="14" t="n">
        <v>0.005627599086834958</v>
      </c>
      <c r="AC496" s="14" t="n">
        <v>0.9900312813879079</v>
      </c>
      <c r="AD496" s="14" t="n">
        <v>-1.75</v>
      </c>
      <c r="AE496" s="14" t="n"/>
      <c r="AF496" s="14" t="n"/>
      <c r="AG496" s="14" t="n">
        <v>0.5883911697459098</v>
      </c>
      <c r="AH496" s="14" t="n"/>
      <c r="AI496" s="14" t="n"/>
      <c r="AJ496" s="14" t="n">
        <v>0.5883911697459098</v>
      </c>
      <c r="AK496" s="14" t="n"/>
      <c r="AL496" s="14" t="n"/>
      <c r="AM496" s="14" t="n"/>
      <c r="AN496" s="14" t="inlineStr">
        <is>
          <t>EVALUATED</t>
        </is>
      </c>
      <c r="AO496" s="14" t="inlineStr">
        <is>
          <t>RECEIVING_VALIDATED_EDGE;BUCKET_PRIOR_ONLY;INTENT_INTERPRETATION_ONLY;FFL_OPTIONAL;EXPERT_MARKET</t>
        </is>
      </c>
      <c r="AP496" s="14" t="inlineStr">
        <is>
          <t>7c1684fd45f1dedafb38</t>
        </is>
      </c>
      <c r="AQ496" s="14" t="n">
        <v>1.75</v>
      </c>
      <c r="AR496" s="14" t="n">
        <v>0.6</v>
      </c>
      <c r="AS496" s="14" t="n">
        <v>-1.75</v>
      </c>
      <c r="AT496" s="14" t="n">
        <v>1.75</v>
      </c>
      <c r="AU496" s="14" t="n">
        <v>0.6</v>
      </c>
      <c r="AV496" s="14" t="n">
        <v>1.19</v>
      </c>
      <c r="AW496" s="14" t="inlineStr">
        <is>
          <t>2026-10-08T07:44:59.408325+08:00</t>
        </is>
      </c>
      <c r="AX496" s="14" t="inlineStr">
        <is>
          <t>Titan007/V4</t>
        </is>
      </c>
      <c r="AY496" s="14" t="inlineStr">
        <is>
          <t>Daily append；市场输入缺失时不生成决策</t>
        </is>
      </c>
    </row>
    <row r="497" ht="22" customHeight="1" s="39">
      <c r="A497" s="14" t="inlineStr">
        <is>
          <t>2026-10-08</t>
        </is>
      </c>
      <c r="B497" s="14" t="inlineStr">
        <is>
          <t>2026-10-08T23:45:00+08:00</t>
        </is>
      </c>
      <c r="C497" s="14" t="inlineStr">
        <is>
          <t>CLUB_CUP</t>
        </is>
      </c>
      <c r="D497" s="14" t="inlineStr"/>
      <c r="E497" s="14" t="inlineStr">
        <is>
          <t>阿联酋杯</t>
        </is>
      </c>
      <c r="F497" s="14" t="inlineStr">
        <is>
          <t>迪拜胜利 vs 哈塔</t>
        </is>
      </c>
      <c r="G497" s="26" t="n">
        <v>0.91</v>
      </c>
      <c r="H497" s="26" t="n">
        <v>1.25</v>
      </c>
      <c r="I497" s="26" t="n">
        <v>0.85</v>
      </c>
      <c r="J497" s="26" t="inlineStr">
        <is>
          <t>0.91/1.25/0.85</t>
        </is>
      </c>
      <c r="K497" s="14" t="inlineStr">
        <is>
          <t>V4-B</t>
        </is>
      </c>
      <c r="L497" s="14" t="inlineStr">
        <is>
          <t>迪拜胜利</t>
        </is>
      </c>
      <c r="M497" s="47" t="n">
        <v>0.5233749346361859</v>
      </c>
      <c r="N497" s="14" t="inlineStr">
        <is>
          <t>V4 Shadow Only；real_money=false</t>
        </is>
      </c>
      <c r="O497" s="14" t="inlineStr">
        <is>
          <t>0-0</t>
        </is>
      </c>
      <c r="P497" s="14" t="inlineStr">
        <is>
          <t>EVALUATED</t>
        </is>
      </c>
      <c r="Q497" s="14" t="inlineStr"/>
      <c r="R497" s="48" t="n">
        <v>0.91</v>
      </c>
      <c r="S497" s="48" t="n"/>
      <c r="T497" s="14" t="inlineStr">
        <is>
          <t>D:\codex\outputs\football_odds_trader\decision_versions\2026-10-08\RUN_20261008_074649\slate_raw.csv</t>
        </is>
      </c>
      <c r="U497" s="14" t="inlineStr"/>
      <c r="V497" s="48" t="inlineStr"/>
      <c r="W497" s="48" t="inlineStr"/>
      <c r="X497" s="14" t="inlineStr">
        <is>
          <t>3096237</t>
        </is>
      </c>
      <c r="Y497" s="14" t="inlineStr">
        <is>
          <t>V4</t>
        </is>
      </c>
      <c r="Z497" s="14" t="inlineStr">
        <is>
          <t>prior-2026-10-08-v1</t>
        </is>
      </c>
      <c r="AA497" s="14" t="inlineStr">
        <is>
          <t>B</t>
        </is>
      </c>
      <c r="AB497" s="14" t="n">
        <v>0.5233749346361859</v>
      </c>
      <c r="AC497" s="14" t="n">
        <v>0.3533174918313698</v>
      </c>
      <c r="AD497" s="14" t="n">
        <v>1.75</v>
      </c>
      <c r="AE497" s="14" t="n"/>
      <c r="AF497" s="14" t="n"/>
      <c r="AG497" s="14" t="n">
        <v>0.1229536986875594</v>
      </c>
      <c r="AH497" s="14" t="n"/>
      <c r="AI497" s="14" t="n"/>
      <c r="AJ497" s="14" t="n">
        <v>0.1229536986875594</v>
      </c>
      <c r="AK497" s="14" t="n"/>
      <c r="AL497" s="14" t="n"/>
      <c r="AM497" s="14" t="n"/>
      <c r="AN497" s="14" t="inlineStr">
        <is>
          <t>EVALUATED</t>
        </is>
      </c>
      <c r="AO497" s="14" t="inlineStr">
        <is>
          <t>GIVING_VALIDATED_EDGE;BUCKET_PRIOR_ONLY;INTENT_INTERPRETATION_ONLY;FFL_OPTIONAL;EXPERT_MARKET</t>
        </is>
      </c>
      <c r="AP497" s="14" t="inlineStr">
        <is>
          <t>887f09b8cbb30030d714</t>
        </is>
      </c>
      <c r="AQ497" s="14" t="n">
        <v>-1.25</v>
      </c>
      <c r="AR497" s="14" t="n">
        <v>0.91</v>
      </c>
      <c r="AS497" s="14" t="n">
        <v>1.25</v>
      </c>
      <c r="AT497" s="14" t="n">
        <v>-1.25</v>
      </c>
      <c r="AU497" s="14" t="n">
        <v>0.91</v>
      </c>
      <c r="AV497" s="14" t="n">
        <v>0.85</v>
      </c>
      <c r="AW497" s="14" t="inlineStr">
        <is>
          <t>2026-10-08T07:44:59.408325+08:00</t>
        </is>
      </c>
      <c r="AX497" s="14" t="inlineStr">
        <is>
          <t>Titan007/V4</t>
        </is>
      </c>
      <c r="AY497" s="14" t="inlineStr">
        <is>
          <t>Daily append；市场输入缺失时不生成决策</t>
        </is>
      </c>
    </row>
    <row r="498" ht="22" customHeight="1" s="39">
      <c r="A498" s="14" t="inlineStr">
        <is>
          <t>2026-10-08</t>
        </is>
      </c>
      <c r="B498" s="14" t="inlineStr">
        <is>
          <t>2026-10-08T21:00:00+08:00</t>
        </is>
      </c>
      <c r="C498" s="14" t="inlineStr">
        <is>
          <t>CLUB_CUP</t>
        </is>
      </c>
      <c r="D498" s="14" t="inlineStr"/>
      <c r="E498" s="14" t="inlineStr">
        <is>
          <t>约旦杯</t>
        </is>
      </c>
      <c r="F498" s="14" t="inlineStr">
        <is>
          <t>哈伊阿米尔哈桑 vs 阿尔托拉</t>
        </is>
      </c>
      <c r="G498" s="26" t="n">
        <v>1</v>
      </c>
      <c r="H498" s="26" t="n">
        <v>0.75</v>
      </c>
      <c r="I498" s="26" t="n">
        <v>0.8</v>
      </c>
      <c r="J498" s="26" t="inlineStr">
        <is>
          <t>1.0/0.75/0.8</t>
        </is>
      </c>
      <c r="K498" s="14" t="inlineStr">
        <is>
          <t>V4-B</t>
        </is>
      </c>
      <c r="L498" s="14" t="inlineStr">
        <is>
          <t>哈伊阿米尔哈桑</t>
        </is>
      </c>
      <c r="M498" s="47" t="n">
        <v>0.4760704952460447</v>
      </c>
      <c r="N498" s="14" t="inlineStr">
        <is>
          <t>V4 Shadow Only；real_money=false</t>
        </is>
      </c>
      <c r="O498" s="14" t="inlineStr">
        <is>
          <t>0-0</t>
        </is>
      </c>
      <c r="P498" s="14" t="inlineStr">
        <is>
          <t>EVALUATED</t>
        </is>
      </c>
      <c r="Q498" s="14" t="inlineStr"/>
      <c r="R498" s="48" t="n">
        <v>1</v>
      </c>
      <c r="S498" s="48" t="n"/>
      <c r="T498" s="14" t="inlineStr">
        <is>
          <t>D:\codex\outputs\football_odds_trader\decision_versions\2026-10-08\RUN_20261008_074649\slate_raw.csv</t>
        </is>
      </c>
      <c r="U498" s="14" t="inlineStr"/>
      <c r="V498" s="48" t="inlineStr"/>
      <c r="W498" s="48" t="inlineStr"/>
      <c r="X498" s="14" t="inlineStr">
        <is>
          <t>3096851</t>
        </is>
      </c>
      <c r="Y498" s="14" t="inlineStr">
        <is>
          <t>V4</t>
        </is>
      </c>
      <c r="Z498" s="14" t="inlineStr">
        <is>
          <t>prior-2026-10-08-v1</t>
        </is>
      </c>
      <c r="AA498" s="14" t="inlineStr">
        <is>
          <t>B</t>
        </is>
      </c>
      <c r="AB498" s="14" t="n">
        <v>0.4760704952460447</v>
      </c>
      <c r="AC498" s="14" t="n">
        <v>0.3965520727480744</v>
      </c>
      <c r="AD498" s="14" t="n">
        <v>1</v>
      </c>
      <c r="AE498" s="14" t="n"/>
      <c r="AF498" s="14" t="n"/>
      <c r="AG498" s="14" t="n">
        <v>0.07951842249797031</v>
      </c>
      <c r="AH498" s="14" t="n"/>
      <c r="AI498" s="14" t="n"/>
      <c r="AJ498" s="14" t="n">
        <v>0.07951842249797031</v>
      </c>
      <c r="AK498" s="14" t="n"/>
      <c r="AL498" s="14" t="n"/>
      <c r="AM498" s="14" t="n"/>
      <c r="AN498" s="14" t="inlineStr">
        <is>
          <t>EVALUATED</t>
        </is>
      </c>
      <c r="AO498" s="14" t="inlineStr">
        <is>
          <t>GIVING_VALIDATED_EDGE;BUCKET_PRIOR_ONLY;INTENT_INTERPRETATION_ONLY;FFL_OPTIONAL;EXPERT_MARKET</t>
        </is>
      </c>
      <c r="AP498" s="14" t="inlineStr">
        <is>
          <t>c6ea3bbf509511a3774c</t>
        </is>
      </c>
      <c r="AQ498" s="14" t="n">
        <v>-0.75</v>
      </c>
      <c r="AR498" s="14" t="n">
        <v>1</v>
      </c>
      <c r="AS498" s="14" t="n">
        <v>0.75</v>
      </c>
      <c r="AT498" s="14" t="n">
        <v>-0.75</v>
      </c>
      <c r="AU498" s="14" t="n">
        <v>1</v>
      </c>
      <c r="AV498" s="14" t="n">
        <v>0.8</v>
      </c>
      <c r="AW498" s="14" t="inlineStr">
        <is>
          <t>2026-10-08T07:44:59.408325+08:00</t>
        </is>
      </c>
      <c r="AX498" s="14" t="inlineStr">
        <is>
          <t>Titan007/V4</t>
        </is>
      </c>
      <c r="AY498" s="14" t="inlineStr">
        <is>
          <t>Daily append；市场输入缺失时不生成决策</t>
        </is>
      </c>
    </row>
    <row r="499" ht="22" customHeight="1" s="39">
      <c r="A499" s="14" t="inlineStr">
        <is>
          <t>2026-10-08</t>
        </is>
      </c>
      <c r="B499" s="14" t="inlineStr">
        <is>
          <t>2026-10-08T22:00:00+08:00</t>
        </is>
      </c>
      <c r="C499" s="14" t="inlineStr">
        <is>
          <t>CLUB_CUP</t>
        </is>
      </c>
      <c r="D499" s="14" t="inlineStr"/>
      <c r="E499" s="14" t="inlineStr">
        <is>
          <t>约旦杯</t>
        </is>
      </c>
      <c r="F499" s="14" t="inlineStr">
        <is>
          <t>雅莫科 vs 马恩</t>
        </is>
      </c>
      <c r="G499" s="26" t="n">
        <v>1</v>
      </c>
      <c r="H499" s="26" t="n">
        <v>-0.25</v>
      </c>
      <c r="I499" s="26" t="n">
        <v>0.8</v>
      </c>
      <c r="J499" s="26" t="inlineStr">
        <is>
          <t>1.0/-0.25/0.8</t>
        </is>
      </c>
      <c r="K499" s="14" t="inlineStr">
        <is>
          <t>V4-B</t>
        </is>
      </c>
      <c r="L499" s="14" t="inlineStr">
        <is>
          <t>雅莫科</t>
        </is>
      </c>
      <c r="M499" s="47" t="n">
        <v>0.2499660626564769</v>
      </c>
      <c r="N499" s="14" t="inlineStr">
        <is>
          <t>V4 Shadow Only；real_money=false</t>
        </is>
      </c>
      <c r="O499" s="14" t="inlineStr">
        <is>
          <t>0-0</t>
        </is>
      </c>
      <c r="P499" s="14" t="inlineStr">
        <is>
          <t>EVALUATED</t>
        </is>
      </c>
      <c r="Q499" s="14" t="inlineStr"/>
      <c r="R499" s="48" t="n">
        <v>1</v>
      </c>
      <c r="S499" s="48" t="n"/>
      <c r="T499" s="14" t="inlineStr">
        <is>
          <t>D:\codex\outputs\football_odds_trader\decision_versions\2026-10-08\RUN_20261008_074649\slate_raw.csv</t>
        </is>
      </c>
      <c r="U499" s="14" t="inlineStr"/>
      <c r="V499" s="48" t="inlineStr"/>
      <c r="W499" s="48" t="inlineStr"/>
      <c r="X499" s="14" t="inlineStr">
        <is>
          <t>3096852</t>
        </is>
      </c>
      <c r="Y499" s="14" t="inlineStr">
        <is>
          <t>V4</t>
        </is>
      </c>
      <c r="Z499" s="14" t="inlineStr">
        <is>
          <t>prior-2026-10-08-v1</t>
        </is>
      </c>
      <c r="AA499" s="14" t="inlineStr">
        <is>
          <t>B</t>
        </is>
      </c>
      <c r="AB499" s="14" t="n">
        <v>0.2499660626564769</v>
      </c>
      <c r="AC499" s="14" t="n">
        <v>0.6237227581893614</v>
      </c>
      <c r="AD499" s="14" t="n">
        <v>-0.5</v>
      </c>
      <c r="AE499" s="14" t="n"/>
      <c r="AF499" s="14" t="n"/>
      <c r="AG499" s="14" t="n">
        <v>0.3737566955328845</v>
      </c>
      <c r="AH499" s="14" t="n"/>
      <c r="AI499" s="14" t="n"/>
      <c r="AJ499" s="14" t="n">
        <v>0.3737566955328845</v>
      </c>
      <c r="AK499" s="14" t="n"/>
      <c r="AL499" s="14" t="n"/>
      <c r="AM499" s="14" t="n"/>
      <c r="AN499" s="14" t="inlineStr">
        <is>
          <t>EVALUATED</t>
        </is>
      </c>
      <c r="AO499" s="14" t="inlineStr">
        <is>
          <t>RECEIVING_VALIDATED_EDGE;BUCKET_PRIOR_ONLY;INTENT_INTERPRETATION_ONLY;FFL_OPTIONAL;EXPERT_MARKET</t>
        </is>
      </c>
      <c r="AP499" s="14" t="inlineStr">
        <is>
          <t>173cebacb2e45baf8087</t>
        </is>
      </c>
      <c r="AQ499" s="14" t="n">
        <v>0.25</v>
      </c>
      <c r="AR499" s="14" t="n">
        <v>1</v>
      </c>
      <c r="AS499" s="14" t="n">
        <v>-0.25</v>
      </c>
      <c r="AT499" s="14" t="n">
        <v>0.25</v>
      </c>
      <c r="AU499" s="14" t="n">
        <v>1</v>
      </c>
      <c r="AV499" s="14" t="n">
        <v>0.8</v>
      </c>
      <c r="AW499" s="14" t="inlineStr">
        <is>
          <t>2026-10-08T07:44:59.408325+08:00</t>
        </is>
      </c>
      <c r="AX499" s="14" t="inlineStr">
        <is>
          <t>Titan007/V4</t>
        </is>
      </c>
      <c r="AY499" s="14" t="inlineStr">
        <is>
          <t>Daily append；市场输入缺失时不生成决策</t>
        </is>
      </c>
    </row>
    <row r="500" ht="22" customHeight="1" s="39">
      <c r="A500" s="14" t="inlineStr">
        <is>
          <t>2026-10-08</t>
        </is>
      </c>
      <c r="B500" s="14" t="inlineStr">
        <is>
          <t>2026-10-08T20:30:00+08:00</t>
        </is>
      </c>
      <c r="C500" s="14" t="inlineStr"/>
      <c r="D500" s="14" t="inlineStr"/>
      <c r="E500" s="14" t="inlineStr">
        <is>
          <t>埃及甲</t>
        </is>
      </c>
      <c r="F500" s="14" t="inlineStr">
        <is>
          <t>开罗纳萨 vs 普斯SC</t>
        </is>
      </c>
      <c r="G500" s="26" t="n">
        <v>0.7</v>
      </c>
      <c r="H500" s="26" t="n">
        <v>0.5</v>
      </c>
      <c r="I500" s="26" t="n">
        <v>1</v>
      </c>
      <c r="J500" s="26" t="inlineStr">
        <is>
          <t>0.7/0.5/1.0</t>
        </is>
      </c>
      <c r="K500" s="14" t="inlineStr">
        <is>
          <t>V4-B</t>
        </is>
      </c>
      <c r="L500" s="14" t="inlineStr">
        <is>
          <t>开罗纳萨</t>
        </is>
      </c>
      <c r="M500" s="47" t="n">
        <v>0.6723598691100833</v>
      </c>
      <c r="N500" s="14" t="inlineStr">
        <is>
          <t>V4 Shadow Only；real_money=false</t>
        </is>
      </c>
      <c r="O500" s="14" t="inlineStr">
        <is>
          <t>0-0</t>
        </is>
      </c>
      <c r="P500" s="14" t="inlineStr">
        <is>
          <t>EVALUATED</t>
        </is>
      </c>
      <c r="Q500" s="14" t="inlineStr"/>
      <c r="R500" s="48" t="n">
        <v>0.7</v>
      </c>
      <c r="S500" s="48" t="n"/>
      <c r="T500" s="14" t="inlineStr">
        <is>
          <t>D:\codex\outputs\football_odds_trader\decision_versions\2026-10-08\RUN_20261008_074649\slate_raw.csv</t>
        </is>
      </c>
      <c r="U500" s="14" t="inlineStr"/>
      <c r="V500" s="48" t="inlineStr"/>
      <c r="W500" s="48" t="inlineStr"/>
      <c r="X500" s="14" t="inlineStr">
        <is>
          <t>3097900</t>
        </is>
      </c>
      <c r="Y500" s="14" t="inlineStr">
        <is>
          <t>V4</t>
        </is>
      </c>
      <c r="Z500" s="14" t="inlineStr">
        <is>
          <t>prior-2026-10-08-v1</t>
        </is>
      </c>
      <c r="AA500" s="14" t="inlineStr">
        <is>
          <t>B</t>
        </is>
      </c>
      <c r="AB500" s="14" t="n">
        <v>0.6723598691100833</v>
      </c>
      <c r="AC500" s="14" t="n">
        <v>0.3276401308899168</v>
      </c>
      <c r="AD500" s="14" t="n">
        <v>1.25</v>
      </c>
      <c r="AE500" s="14" t="n"/>
      <c r="AF500" s="14" t="n"/>
      <c r="AG500" s="14" t="n">
        <v>0.1430117774871415</v>
      </c>
      <c r="AH500" s="14" t="n"/>
      <c r="AI500" s="14" t="n"/>
      <c r="AJ500" s="14" t="n">
        <v>0.1430117774871415</v>
      </c>
      <c r="AK500" s="14" t="n"/>
      <c r="AL500" s="14" t="n"/>
      <c r="AM500" s="14" t="n"/>
      <c r="AN500" s="14" t="inlineStr">
        <is>
          <t>EVALUATED</t>
        </is>
      </c>
      <c r="AO500" s="14" t="inlineStr">
        <is>
          <t>GIVING_VALIDATED_EDGE;BUCKET_PRIOR_ONLY;INTENT_INTERPRETATION_ONLY;FFL_OPTIONAL;EXPERT_MARKET</t>
        </is>
      </c>
      <c r="AP500" s="14" t="inlineStr">
        <is>
          <t>7ac1e9c10e10fce5179e</t>
        </is>
      </c>
      <c r="AQ500" s="14" t="n">
        <v>-0.5</v>
      </c>
      <c r="AR500" s="14" t="n">
        <v>0.7</v>
      </c>
      <c r="AS500" s="14" t="n">
        <v>0.5</v>
      </c>
      <c r="AT500" s="14" t="n">
        <v>-0.5</v>
      </c>
      <c r="AU500" s="14" t="n">
        <v>0.7</v>
      </c>
      <c r="AV500" s="14" t="n">
        <v>1</v>
      </c>
      <c r="AW500" s="14" t="inlineStr">
        <is>
          <t>2026-10-08T07:44:59.408325+08:00</t>
        </is>
      </c>
      <c r="AX500" s="14" t="inlineStr">
        <is>
          <t>Titan007/V4</t>
        </is>
      </c>
      <c r="AY500" s="14" t="inlineStr">
        <is>
          <t>Daily append；市场输入缺失时不生成决策</t>
        </is>
      </c>
    </row>
    <row r="501" ht="22" customHeight="1" s="39">
      <c r="A501" s="14" t="inlineStr">
        <is>
          <t>2026-10-08</t>
        </is>
      </c>
      <c r="B501" s="14" t="inlineStr">
        <is>
          <t>2026-10-08T20:30:00+08:00</t>
        </is>
      </c>
      <c r="C501" s="14" t="inlineStr"/>
      <c r="D501" s="14" t="inlineStr"/>
      <c r="E501" s="14" t="inlineStr">
        <is>
          <t>埃及甲</t>
        </is>
      </c>
      <c r="F501" s="14" t="inlineStr">
        <is>
          <t>哈伊赫多 vs 斯卡哈迪德</t>
        </is>
      </c>
      <c r="G501" s="26" t="n">
        <v>0.87</v>
      </c>
      <c r="H501" s="26" t="n">
        <v>0.75</v>
      </c>
      <c r="I501" s="26" t="n">
        <v>0.83</v>
      </c>
      <c r="J501" s="26" t="inlineStr">
        <is>
          <t>0.87/0.75/0.83</t>
        </is>
      </c>
      <c r="K501" s="14" t="inlineStr">
        <is>
          <t>V4-B</t>
        </is>
      </c>
      <c r="L501" s="14" t="inlineStr">
        <is>
          <t>哈伊赫多</t>
        </is>
      </c>
      <c r="M501" s="47" t="n">
        <v>0.5860433599104609</v>
      </c>
      <c r="N501" s="14" t="inlineStr">
        <is>
          <t>V4 Shadow Only；real_money=false</t>
        </is>
      </c>
      <c r="O501" s="14" t="inlineStr">
        <is>
          <t>0-0</t>
        </is>
      </c>
      <c r="P501" s="14" t="inlineStr">
        <is>
          <t>EVALUATED</t>
        </is>
      </c>
      <c r="Q501" s="14" t="inlineStr"/>
      <c r="R501" s="48" t="n">
        <v>0.87</v>
      </c>
      <c r="S501" s="48" t="n"/>
      <c r="T501" s="14" t="inlineStr">
        <is>
          <t>D:\codex\outputs\football_odds_trader\decision_versions\2026-10-08\RUN_20261008_074649\slate_raw.csv</t>
        </is>
      </c>
      <c r="U501" s="14" t="inlineStr"/>
      <c r="V501" s="48" t="inlineStr"/>
      <c r="W501" s="48" t="inlineStr"/>
      <c r="X501" s="14" t="inlineStr">
        <is>
          <t>3097901</t>
        </is>
      </c>
      <c r="Y501" s="14" t="inlineStr">
        <is>
          <t>V4</t>
        </is>
      </c>
      <c r="Z501" s="14" t="inlineStr">
        <is>
          <t>prior-2026-10-08-v1</t>
        </is>
      </c>
      <c r="AA501" s="14" t="inlineStr">
        <is>
          <t>B</t>
        </is>
      </c>
      <c r="AB501" s="14" t="n">
        <v>0.5860433599104609</v>
      </c>
      <c r="AC501" s="14" t="n">
        <v>0.28512469901218</v>
      </c>
      <c r="AD501" s="14" t="n">
        <v>1.5</v>
      </c>
      <c r="AE501" s="14" t="n"/>
      <c r="AF501" s="14" t="n"/>
      <c r="AG501" s="14" t="n">
        <v>0.2247330241099209</v>
      </c>
      <c r="AH501" s="14" t="n"/>
      <c r="AI501" s="14" t="n"/>
      <c r="AJ501" s="14" t="n">
        <v>0.2247330241099209</v>
      </c>
      <c r="AK501" s="14" t="n"/>
      <c r="AL501" s="14" t="n"/>
      <c r="AM501" s="14" t="n"/>
      <c r="AN501" s="14" t="inlineStr">
        <is>
          <t>EVALUATED</t>
        </is>
      </c>
      <c r="AO501" s="14" t="inlineStr">
        <is>
          <t>GIVING_VALIDATED_EDGE;BUCKET_PRIOR_ONLY;INTENT_INTERPRETATION_ONLY;FFL_OPTIONAL;EXPERT_MARKET</t>
        </is>
      </c>
      <c r="AP501" s="14" t="inlineStr">
        <is>
          <t>97058fa5a3ad16b5a2c0</t>
        </is>
      </c>
      <c r="AQ501" s="14" t="n">
        <v>-0.75</v>
      </c>
      <c r="AR501" s="14" t="n">
        <v>0.87</v>
      </c>
      <c r="AS501" s="14" t="n">
        <v>0.75</v>
      </c>
      <c r="AT501" s="14" t="n">
        <v>-0.75</v>
      </c>
      <c r="AU501" s="14" t="n">
        <v>0.87</v>
      </c>
      <c r="AV501" s="14" t="n">
        <v>0.83</v>
      </c>
      <c r="AW501" s="14" t="inlineStr">
        <is>
          <t>2026-10-08T07:44:59.408325+08:00</t>
        </is>
      </c>
      <c r="AX501" s="14" t="inlineStr">
        <is>
          <t>Titan007/V4</t>
        </is>
      </c>
      <c r="AY501" s="14" t="inlineStr">
        <is>
          <t>Daily append；市场输入缺失时不生成决策</t>
        </is>
      </c>
    </row>
    <row r="502" ht="22" customHeight="1" s="39">
      <c r="A502" s="14" t="inlineStr">
        <is>
          <t>2026-10-08</t>
        </is>
      </c>
      <c r="B502" s="14" t="inlineStr">
        <is>
          <t>2026-10-08T20:30:00+08:00</t>
        </is>
      </c>
      <c r="C502" s="14" t="inlineStr"/>
      <c r="D502" s="14" t="inlineStr"/>
      <c r="E502" s="14" t="inlineStr">
        <is>
          <t>埃及甲</t>
        </is>
      </c>
      <c r="F502" s="14" t="inlineStr">
        <is>
          <t>马萨尔FC vs El达克尔野</t>
        </is>
      </c>
      <c r="G502" s="26" t="n">
        <v>0.95</v>
      </c>
      <c r="H502" s="26" t="n">
        <v>1</v>
      </c>
      <c r="I502" s="26" t="n">
        <v>0.75</v>
      </c>
      <c r="J502" s="26" t="inlineStr">
        <is>
          <t>0.95/1.0/0.75</t>
        </is>
      </c>
      <c r="K502" s="14" t="inlineStr">
        <is>
          <t>V4-B</t>
        </is>
      </c>
      <c r="L502" s="14" t="inlineStr">
        <is>
          <t>马萨尔FC</t>
        </is>
      </c>
      <c r="M502" s="47" t="n">
        <v>0.5155290751876198</v>
      </c>
      <c r="N502" s="14" t="inlineStr">
        <is>
          <t>V4 Shadow Only；real_money=false</t>
        </is>
      </c>
      <c r="O502" s="14" t="inlineStr">
        <is>
          <t>0-0</t>
        </is>
      </c>
      <c r="P502" s="14" t="inlineStr">
        <is>
          <t>EVALUATED</t>
        </is>
      </c>
      <c r="Q502" s="14" t="inlineStr"/>
      <c r="R502" s="48" t="n">
        <v>0.95</v>
      </c>
      <c r="S502" s="48" t="n"/>
      <c r="T502" s="14" t="inlineStr">
        <is>
          <t>D:\codex\outputs\football_odds_trader\decision_versions\2026-10-08\RUN_20261008_074649\slate_raw.csv</t>
        </is>
      </c>
      <c r="U502" s="14" t="inlineStr"/>
      <c r="V502" s="48" t="inlineStr"/>
      <c r="W502" s="48" t="inlineStr"/>
      <c r="X502" s="14" t="inlineStr">
        <is>
          <t>3097902</t>
        </is>
      </c>
      <c r="Y502" s="14" t="inlineStr">
        <is>
          <t>V4</t>
        </is>
      </c>
      <c r="Z502" s="14" t="inlineStr">
        <is>
          <t>prior-2026-10-08-v1</t>
        </is>
      </c>
      <c r="AA502" s="14" t="inlineStr">
        <is>
          <t>B</t>
        </is>
      </c>
      <c r="AB502" s="14" t="n">
        <v>0.5155290751876198</v>
      </c>
      <c r="AC502" s="14" t="n">
        <v>0.2345685272400153</v>
      </c>
      <c r="AD502" s="14" t="n">
        <v>1.75</v>
      </c>
      <c r="AE502" s="14" t="n"/>
      <c r="AF502" s="14" t="n"/>
      <c r="AG502" s="14" t="n">
        <v>0.2551840941882235</v>
      </c>
      <c r="AH502" s="14" t="n"/>
      <c r="AI502" s="14" t="n"/>
      <c r="AJ502" s="14" t="n">
        <v>0.2551840941882235</v>
      </c>
      <c r="AK502" s="14" t="n"/>
      <c r="AL502" s="14" t="n"/>
      <c r="AM502" s="14" t="n"/>
      <c r="AN502" s="14" t="inlineStr">
        <is>
          <t>EVALUATED</t>
        </is>
      </c>
      <c r="AO502" s="14" t="inlineStr">
        <is>
          <t>GIVING_VALIDATED_EDGE;BUCKET_PRIOR_ONLY;INTENT_INTERPRETATION_ONLY;FFL_OPTIONAL;EXPERT_MARKET</t>
        </is>
      </c>
      <c r="AP502" s="14" t="inlineStr">
        <is>
          <t>8bd125be0acfc8fc2463</t>
        </is>
      </c>
      <c r="AQ502" s="14" t="n">
        <v>-1</v>
      </c>
      <c r="AR502" s="14" t="n">
        <v>0.95</v>
      </c>
      <c r="AS502" s="14" t="n">
        <v>1</v>
      </c>
      <c r="AT502" s="14" t="n">
        <v>-1</v>
      </c>
      <c r="AU502" s="14" t="n">
        <v>0.95</v>
      </c>
      <c r="AV502" s="14" t="n">
        <v>0.75</v>
      </c>
      <c r="AW502" s="14" t="inlineStr">
        <is>
          <t>2026-10-08T07:44:59.408325+08:00</t>
        </is>
      </c>
      <c r="AX502" s="14" t="inlineStr">
        <is>
          <t>Titan007/V4</t>
        </is>
      </c>
      <c r="AY502" s="14" t="inlineStr">
        <is>
          <t>Daily append；市场输入缺失时不生成决策</t>
        </is>
      </c>
    </row>
    <row r="503" ht="22" customHeight="1" s="39">
      <c r="A503" s="14" t="inlineStr">
        <is>
          <t>2026-10-08</t>
        </is>
      </c>
      <c r="B503" s="14" t="inlineStr">
        <is>
          <t>2026-10-08T20:30:00+08:00</t>
        </is>
      </c>
      <c r="C503" s="14" t="inlineStr"/>
      <c r="D503" s="14" t="inlineStr"/>
      <c r="E503" s="14" t="inlineStr">
        <is>
          <t>埃及甲</t>
        </is>
      </c>
      <c r="F503" s="14" t="inlineStr">
        <is>
          <t>三角洲联 vs 达雅洛特</t>
        </is>
      </c>
      <c r="G503" s="26" t="n">
        <v>0.8</v>
      </c>
      <c r="H503" s="26" t="n">
        <v>0.5</v>
      </c>
      <c r="I503" s="26" t="n">
        <v>0.9</v>
      </c>
      <c r="J503" s="26" t="inlineStr">
        <is>
          <t>0.8/0.5/0.9</t>
        </is>
      </c>
      <c r="K503" s="14" t="inlineStr">
        <is>
          <t>V4-B</t>
        </is>
      </c>
      <c r="L503" s="14" t="inlineStr">
        <is>
          <t>三角洲联</t>
        </is>
      </c>
      <c r="M503" s="47" t="n">
        <v>0.5996334069381647</v>
      </c>
      <c r="N503" s="14" t="inlineStr">
        <is>
          <t>V4 Shadow Only；real_money=false</t>
        </is>
      </c>
      <c r="O503" s="14" t="inlineStr">
        <is>
          <t>0-0</t>
        </is>
      </c>
      <c r="P503" s="14" t="inlineStr">
        <is>
          <t>EVALUATED</t>
        </is>
      </c>
      <c r="Q503" s="14" t="inlineStr"/>
      <c r="R503" s="48" t="n">
        <v>0.8</v>
      </c>
      <c r="S503" s="48" t="n"/>
      <c r="T503" s="14" t="inlineStr">
        <is>
          <t>D:\codex\outputs\football_odds_trader\decision_versions\2026-10-08\RUN_20261008_074649\slate_raw.csv</t>
        </is>
      </c>
      <c r="U503" s="14" t="inlineStr"/>
      <c r="V503" s="48" t="inlineStr"/>
      <c r="W503" s="48" t="inlineStr"/>
      <c r="X503" s="14" t="inlineStr">
        <is>
          <t>3097903</t>
        </is>
      </c>
      <c r="Y503" s="14" t="inlineStr">
        <is>
          <t>V4</t>
        </is>
      </c>
      <c r="Z503" s="14" t="inlineStr">
        <is>
          <t>prior-2026-10-08-v1</t>
        </is>
      </c>
      <c r="AA503" s="14" t="inlineStr">
        <is>
          <t>B</t>
        </is>
      </c>
      <c r="AB503" s="14" t="n">
        <v>0.5996334069381647</v>
      </c>
      <c r="AC503" s="14" t="n">
        <v>0.4003665930618354</v>
      </c>
      <c r="AD503" s="14" t="n">
        <v>1</v>
      </c>
      <c r="AE503" s="14" t="n"/>
      <c r="AF503" s="14" t="n"/>
      <c r="AG503" s="14" t="n">
        <v>0.07934013248869642</v>
      </c>
      <c r="AH503" s="14" t="n"/>
      <c r="AI503" s="14" t="n"/>
      <c r="AJ503" s="14" t="n">
        <v>0.07934013248869642</v>
      </c>
      <c r="AK503" s="14" t="n"/>
      <c r="AL503" s="14" t="n"/>
      <c r="AM503" s="14" t="n"/>
      <c r="AN503" s="14" t="inlineStr">
        <is>
          <t>EVALUATED</t>
        </is>
      </c>
      <c r="AO503" s="14" t="inlineStr">
        <is>
          <t>GIVING_VALIDATED_EDGE;BUCKET_PRIOR_ONLY;INTENT_INTERPRETATION_ONLY;FFL_OPTIONAL;EXPERT_MARKET</t>
        </is>
      </c>
      <c r="AP503" s="14" t="inlineStr">
        <is>
          <t>8e2b10ac6e1afb325b06</t>
        </is>
      </c>
      <c r="AQ503" s="14" t="n">
        <v>-0.5</v>
      </c>
      <c r="AR503" s="14" t="n">
        <v>0.8</v>
      </c>
      <c r="AS503" s="14" t="n">
        <v>0.5</v>
      </c>
      <c r="AT503" s="14" t="n">
        <v>-0.5</v>
      </c>
      <c r="AU503" s="14" t="n">
        <v>0.8</v>
      </c>
      <c r="AV503" s="14" t="n">
        <v>0.9</v>
      </c>
      <c r="AW503" s="14" t="inlineStr">
        <is>
          <t>2026-10-08T07:44:59.408325+08:00</t>
        </is>
      </c>
      <c r="AX503" s="14" t="inlineStr">
        <is>
          <t>Titan007/V4</t>
        </is>
      </c>
      <c r="AY503" s="14" t="inlineStr">
        <is>
          <t>Daily append；市场输入缺失时不生成决策</t>
        </is>
      </c>
    </row>
    <row r="504" ht="22" customHeight="1" s="39">
      <c r="A504" s="14" t="inlineStr">
        <is>
          <t>2026-10-08</t>
        </is>
      </c>
      <c r="B504" s="14" t="inlineStr">
        <is>
          <t>2026-10-08T20:30:00+08:00</t>
        </is>
      </c>
      <c r="C504" s="14" t="inlineStr"/>
      <c r="D504" s="14" t="inlineStr"/>
      <c r="E504" s="14" t="inlineStr">
        <is>
          <t>埃及甲</t>
        </is>
      </c>
      <c r="F504" s="14" t="inlineStr">
        <is>
          <t>特萨纳体育 vs 卡巴阿斯玛利</t>
        </is>
      </c>
      <c r="G504" s="26" t="n">
        <v>0.7</v>
      </c>
      <c r="H504" s="26" t="n">
        <v>-0.25</v>
      </c>
      <c r="I504" s="26" t="n">
        <v>1</v>
      </c>
      <c r="J504" s="26" t="inlineStr">
        <is>
          <t>0.7/-0.25/1.0</t>
        </is>
      </c>
      <c r="K504" s="14" t="inlineStr">
        <is>
          <t>V4-B</t>
        </is>
      </c>
      <c r="L504" s="14" t="inlineStr">
        <is>
          <t>特萨纳体育</t>
        </is>
      </c>
      <c r="M504" s="47" t="n">
        <v>0.2524960209133132</v>
      </c>
      <c r="N504" s="14" t="inlineStr">
        <is>
          <t>V4 Shadow Only；real_money=false</t>
        </is>
      </c>
      <c r="O504" s="14" t="inlineStr">
        <is>
          <t>0-0</t>
        </is>
      </c>
      <c r="P504" s="14" t="inlineStr">
        <is>
          <t>EVALUATED</t>
        </is>
      </c>
      <c r="Q504" s="14" t="inlineStr"/>
      <c r="R504" s="48" t="n">
        <v>0.7</v>
      </c>
      <c r="S504" s="48" t="n"/>
      <c r="T504" s="14" t="inlineStr">
        <is>
          <t>D:\codex\outputs\football_odds_trader\decision_versions\2026-10-08\RUN_20261008_074649\slate_raw.csv</t>
        </is>
      </c>
      <c r="U504" s="14" t="inlineStr"/>
      <c r="V504" s="48" t="inlineStr"/>
      <c r="W504" s="48" t="inlineStr"/>
      <c r="X504" s="14" t="inlineStr">
        <is>
          <t>3097904</t>
        </is>
      </c>
      <c r="Y504" s="14" t="inlineStr">
        <is>
          <t>V4</t>
        </is>
      </c>
      <c r="Z504" s="14" t="inlineStr">
        <is>
          <t>prior-2026-10-08-v1</t>
        </is>
      </c>
      <c r="AA504" s="14" t="inlineStr">
        <is>
          <t>B</t>
        </is>
      </c>
      <c r="AB504" s="14" t="n">
        <v>0.2524960209133132</v>
      </c>
      <c r="AC504" s="14" t="n">
        <v>0.6185746383530654</v>
      </c>
      <c r="AD504" s="14" t="n">
        <v>-0.5</v>
      </c>
      <c r="AE504" s="14" t="n"/>
      <c r="AF504" s="14" t="n"/>
      <c r="AG504" s="14" t="n">
        <v>0.1805062259338325</v>
      </c>
      <c r="AH504" s="14" t="n"/>
      <c r="AI504" s="14" t="n"/>
      <c r="AJ504" s="14" t="n">
        <v>0.1805062259338325</v>
      </c>
      <c r="AK504" s="14" t="n"/>
      <c r="AL504" s="14" t="n"/>
      <c r="AM504" s="14" t="n"/>
      <c r="AN504" s="14" t="inlineStr">
        <is>
          <t>EVALUATED</t>
        </is>
      </c>
      <c r="AO504" s="14" t="inlineStr">
        <is>
          <t>RECEIVING_VALIDATED_EDGE;BUCKET_PRIOR_ONLY;INTENT_INTERPRETATION_ONLY;FFL_OPTIONAL;EXPERT_MARKET</t>
        </is>
      </c>
      <c r="AP504" s="14" t="inlineStr">
        <is>
          <t>6f95f1ad32164f116e17</t>
        </is>
      </c>
      <c r="AQ504" s="14" t="n">
        <v>0.25</v>
      </c>
      <c r="AR504" s="14" t="n">
        <v>0.7</v>
      </c>
      <c r="AS504" s="14" t="n">
        <v>-0.25</v>
      </c>
      <c r="AT504" s="14" t="n">
        <v>0.25</v>
      </c>
      <c r="AU504" s="14" t="n">
        <v>0.7</v>
      </c>
      <c r="AV504" s="14" t="n">
        <v>1</v>
      </c>
      <c r="AW504" s="14" t="inlineStr">
        <is>
          <t>2026-10-08T07:44:59.408325+08:00</t>
        </is>
      </c>
      <c r="AX504" s="14" t="inlineStr">
        <is>
          <t>Titan007/V4</t>
        </is>
      </c>
      <c r="AY504" s="14" t="inlineStr">
        <is>
          <t>Daily append；市场输入缺失时不生成决策</t>
        </is>
      </c>
    </row>
    <row r="505" ht="22" customHeight="1" s="39">
      <c r="A505" s="14" t="inlineStr">
        <is>
          <t>2026-10-08</t>
        </is>
      </c>
      <c r="B505" s="14" t="inlineStr">
        <is>
          <t>2026-10-09T00:00:00+08:00</t>
        </is>
      </c>
      <c r="C505" s="14" t="inlineStr">
        <is>
          <t>CLUB_CUP</t>
        </is>
      </c>
      <c r="D505" s="14" t="inlineStr"/>
      <c r="E505" s="14" t="inlineStr">
        <is>
          <t>巴王杯</t>
        </is>
      </c>
      <c r="F505" s="14" t="inlineStr">
        <is>
          <t>阿尔哈拉 vs 农夫队</t>
        </is>
      </c>
      <c r="G505" s="26" t="n">
        <v>0.85</v>
      </c>
      <c r="H505" s="26" t="n">
        <v>0.5</v>
      </c>
      <c r="I505" s="26" t="n">
        <v>0.95</v>
      </c>
      <c r="J505" s="26" t="inlineStr">
        <is>
          <t>0.85/0.5/0.95</t>
        </is>
      </c>
      <c r="K505" s="14" t="inlineStr">
        <is>
          <t>V4-B</t>
        </is>
      </c>
      <c r="L505" s="14" t="inlineStr">
        <is>
          <t>阿尔哈拉</t>
        </is>
      </c>
      <c r="M505" s="47" t="n">
        <v>0.5904330926915269</v>
      </c>
      <c r="N505" s="14" t="inlineStr">
        <is>
          <t>V4 Shadow Only；real_money=false</t>
        </is>
      </c>
      <c r="O505" s="14" t="inlineStr">
        <is>
          <t>0-0</t>
        </is>
      </c>
      <c r="P505" s="14" t="inlineStr">
        <is>
          <t>EVALUATED</t>
        </is>
      </c>
      <c r="Q505" s="14" t="inlineStr"/>
      <c r="R505" s="48" t="n">
        <v>0.85</v>
      </c>
      <c r="S505" s="48" t="n"/>
      <c r="T505" s="14" t="inlineStr">
        <is>
          <t>D:\codex\outputs\football_odds_trader\decision_versions\2026-10-08\RUN_20261008_074649\slate_raw.csv</t>
        </is>
      </c>
      <c r="U505" s="14" t="inlineStr"/>
      <c r="V505" s="48" t="inlineStr"/>
      <c r="W505" s="48" t="inlineStr"/>
      <c r="X505" s="14" t="inlineStr">
        <is>
          <t>3099905</t>
        </is>
      </c>
      <c r="Y505" s="14" t="inlineStr">
        <is>
          <t>V4</t>
        </is>
      </c>
      <c r="Z505" s="14" t="inlineStr">
        <is>
          <t>prior-2026-10-08-v1</t>
        </is>
      </c>
      <c r="AA505" s="14" t="inlineStr">
        <is>
          <t>B</t>
        </is>
      </c>
      <c r="AB505" s="14" t="n">
        <v>0.5904330926915269</v>
      </c>
      <c r="AC505" s="14" t="n">
        <v>0.4095669073084731</v>
      </c>
      <c r="AD505" s="14" t="n">
        <v>1</v>
      </c>
      <c r="AE505" s="14" t="n"/>
      <c r="AF505" s="14" t="n"/>
      <c r="AG505" s="14" t="n">
        <v>0.09230122147932474</v>
      </c>
      <c r="AH505" s="14" t="n"/>
      <c r="AI505" s="14" t="n"/>
      <c r="AJ505" s="14" t="n">
        <v>0.09230122147932474</v>
      </c>
      <c r="AK505" s="14" t="n"/>
      <c r="AL505" s="14" t="n"/>
      <c r="AM505" s="14" t="n"/>
      <c r="AN505" s="14" t="inlineStr">
        <is>
          <t>EVALUATED</t>
        </is>
      </c>
      <c r="AO505" s="14" t="inlineStr">
        <is>
          <t>GIVING_VALIDATED_EDGE;BUCKET_PRIOR_ONLY;INTENT_INTERPRETATION_ONLY;FFL_OPTIONAL;EXPERT_MARKET</t>
        </is>
      </c>
      <c r="AP505" s="14" t="inlineStr">
        <is>
          <t>9d2827e9dc3c87c4a2a6</t>
        </is>
      </c>
      <c r="AQ505" s="14" t="n">
        <v>-0.5</v>
      </c>
      <c r="AR505" s="14" t="n">
        <v>0.85</v>
      </c>
      <c r="AS505" s="14" t="n">
        <v>0.5</v>
      </c>
      <c r="AT505" s="14" t="n">
        <v>-0.5</v>
      </c>
      <c r="AU505" s="14" t="n">
        <v>0.85</v>
      </c>
      <c r="AV505" s="14" t="n">
        <v>0.95</v>
      </c>
      <c r="AW505" s="14" t="inlineStr">
        <is>
          <t>2026-10-08T07:44:59.408325+08:00</t>
        </is>
      </c>
      <c r="AX505" s="14" t="inlineStr">
        <is>
          <t>Titan007/V4</t>
        </is>
      </c>
      <c r="AY505" s="14" t="inlineStr">
        <is>
          <t>Daily append；市场输入缺失时不生成决策</t>
        </is>
      </c>
    </row>
    <row r="506" ht="22" customHeight="1" s="39">
      <c r="A506" s="14" t="inlineStr">
        <is>
          <t>2026-10-08</t>
        </is>
      </c>
      <c r="B506" s="14" t="inlineStr">
        <is>
          <t>2026-10-09T00:00:00+08:00</t>
        </is>
      </c>
      <c r="C506" s="14" t="inlineStr">
        <is>
          <t>CLUB_CUP</t>
        </is>
      </c>
      <c r="D506" s="14" t="inlineStr"/>
      <c r="E506" s="14" t="inlineStr">
        <is>
          <t>巴王杯</t>
        </is>
      </c>
      <c r="F506" s="14" t="inlineStr">
        <is>
          <t>哈萨姆 vs 艾沙镇</t>
        </is>
      </c>
      <c r="G506" s="26" t="n">
        <v>0.83</v>
      </c>
      <c r="H506" s="26" t="n">
        <v>0.25</v>
      </c>
      <c r="I506" s="26" t="n">
        <v>0.98</v>
      </c>
      <c r="J506" s="26" t="inlineStr">
        <is>
          <t>0.83/0.25/0.98</t>
        </is>
      </c>
      <c r="K506" s="14" t="inlineStr">
        <is>
          <t>V4-B</t>
        </is>
      </c>
      <c r="L506" s="14" t="inlineStr">
        <is>
          <t>哈萨姆</t>
        </is>
      </c>
      <c r="M506" s="47" t="n">
        <v>0.5178748266411254</v>
      </c>
      <c r="N506" s="14" t="inlineStr">
        <is>
          <t>V4 Shadow Only；real_money=false</t>
        </is>
      </c>
      <c r="O506" s="14" t="inlineStr">
        <is>
          <t>0-0</t>
        </is>
      </c>
      <c r="P506" s="14" t="inlineStr">
        <is>
          <t>EVALUATED</t>
        </is>
      </c>
      <c r="Q506" s="14" t="inlineStr"/>
      <c r="R506" s="48" t="n">
        <v>0.83</v>
      </c>
      <c r="S506" s="48" t="n"/>
      <c r="T506" s="14" t="inlineStr">
        <is>
          <t>D:\codex\outputs\football_odds_trader\decision_versions\2026-10-08\RUN_20261008_074649\slate_raw.csv</t>
        </is>
      </c>
      <c r="U506" s="14" t="inlineStr"/>
      <c r="V506" s="48" t="inlineStr"/>
      <c r="W506" s="48" t="inlineStr"/>
      <c r="X506" s="14" t="inlineStr">
        <is>
          <t>3099906</t>
        </is>
      </c>
      <c r="Y506" s="14" t="inlineStr">
        <is>
          <t>V4</t>
        </is>
      </c>
      <c r="Z506" s="14" t="inlineStr">
        <is>
          <t>prior-2026-10-08-v1</t>
        </is>
      </c>
      <c r="AA506" s="14" t="inlineStr">
        <is>
          <t>B</t>
        </is>
      </c>
      <c r="AB506" s="14" t="n">
        <v>0.5178748266411254</v>
      </c>
      <c r="AC506" s="14" t="n">
        <v>0.3564825109612428</v>
      </c>
      <c r="AD506" s="14" t="n">
        <v>0.5</v>
      </c>
      <c r="AE506" s="14" t="n"/>
      <c r="AF506" s="14" t="n"/>
      <c r="AG506" s="14" t="n">
        <v>0.07335359515089124</v>
      </c>
      <c r="AH506" s="14" t="n"/>
      <c r="AI506" s="14" t="n"/>
      <c r="AJ506" s="14" t="n">
        <v>0.07335359515089124</v>
      </c>
      <c r="AK506" s="14" t="n"/>
      <c r="AL506" s="14" t="n"/>
      <c r="AM506" s="14" t="n"/>
      <c r="AN506" s="14" t="inlineStr">
        <is>
          <t>EVALUATED</t>
        </is>
      </c>
      <c r="AO506" s="14" t="inlineStr">
        <is>
          <t>GIVING_VALIDATED_EDGE;BUCKET_PRIOR_ONLY;INTENT_INTERPRETATION_ONLY;FFL_OPTIONAL;EXPERT_MARKET</t>
        </is>
      </c>
      <c r="AP506" s="14" t="inlineStr">
        <is>
          <t>fa74498e3e81565c4d86</t>
        </is>
      </c>
      <c r="AQ506" s="14" t="n">
        <v>-0.25</v>
      </c>
      <c r="AR506" s="14" t="n">
        <v>0.83</v>
      </c>
      <c r="AS506" s="14" t="n">
        <v>0.25</v>
      </c>
      <c r="AT506" s="14" t="n">
        <v>-0.25</v>
      </c>
      <c r="AU506" s="14" t="n">
        <v>0.83</v>
      </c>
      <c r="AV506" s="14" t="n">
        <v>0.98</v>
      </c>
      <c r="AW506" s="14" t="inlineStr">
        <is>
          <t>2026-10-08T07:44:59.408325+08:00</t>
        </is>
      </c>
      <c r="AX506" s="14" t="inlineStr">
        <is>
          <t>Titan007/V4</t>
        </is>
      </c>
      <c r="AY506" s="14" t="inlineStr">
        <is>
          <t>Daily append；市场输入缺失时不生成决策</t>
        </is>
      </c>
    </row>
    <row r="507" ht="22" customHeight="1" s="39">
      <c r="A507" s="14" t="inlineStr">
        <is>
          <t>2026-10-08</t>
        </is>
      </c>
      <c r="B507" s="14" t="inlineStr">
        <is>
          <t>2026-10-08T16:45:00+08:00</t>
        </is>
      </c>
      <c r="C507" s="14" t="inlineStr"/>
      <c r="D507" s="14" t="inlineStr"/>
      <c r="E507" s="14" t="inlineStr">
        <is>
          <t>马统杯</t>
        </is>
      </c>
      <c r="F507" s="14" t="inlineStr">
        <is>
          <t>吉打U20 vs 雪兰莪U20</t>
        </is>
      </c>
      <c r="G507" s="26" t="n">
        <v>0.93</v>
      </c>
      <c r="H507" s="26" t="n">
        <v>-1</v>
      </c>
      <c r="I507" s="26" t="n">
        <v>0.88</v>
      </c>
      <c r="J507" s="26" t="inlineStr">
        <is>
          <t>0.93/-1.0/0.88</t>
        </is>
      </c>
      <c r="K507" s="14" t="inlineStr">
        <is>
          <t>V4-B</t>
        </is>
      </c>
      <c r="L507" s="14" t="inlineStr">
        <is>
          <t>吉打U20</t>
        </is>
      </c>
      <c r="M507" s="47" t="n">
        <v>0.02330204488712914</v>
      </c>
      <c r="N507" s="14" t="inlineStr">
        <is>
          <t>V4 Shadow Only；real_money=false</t>
        </is>
      </c>
      <c r="O507" s="14" t="inlineStr">
        <is>
          <t>0-0</t>
        </is>
      </c>
      <c r="P507" s="14" t="inlineStr">
        <is>
          <t>EVALUATED</t>
        </is>
      </c>
      <c r="Q507" s="14" t="inlineStr"/>
      <c r="R507" s="48" t="n">
        <v>0.93</v>
      </c>
      <c r="S507" s="48" t="n"/>
      <c r="T507" s="14" t="inlineStr">
        <is>
          <t>D:\codex\outputs\football_odds_trader\decision_versions\2026-10-08\RUN_20261008_074649\slate_raw.csv</t>
        </is>
      </c>
      <c r="U507" s="14" t="inlineStr"/>
      <c r="V507" s="48" t="inlineStr"/>
      <c r="W507" s="48" t="inlineStr"/>
      <c r="X507" s="14" t="inlineStr">
        <is>
          <t>3100083</t>
        </is>
      </c>
      <c r="Y507" s="14" t="inlineStr">
        <is>
          <t>V4</t>
        </is>
      </c>
      <c r="Z507" s="14" t="inlineStr">
        <is>
          <t>prior-2026-10-08-v1</t>
        </is>
      </c>
      <c r="AA507" s="14" t="inlineStr">
        <is>
          <t>B</t>
        </is>
      </c>
      <c r="AB507" s="14" t="n">
        <v>0.02330204488712914</v>
      </c>
      <c r="AC507" s="14" t="n">
        <v>0.9009870507266161</v>
      </c>
      <c r="AD507" s="14" t="n">
        <v>-1.5</v>
      </c>
      <c r="AE507" s="14" t="n"/>
      <c r="AF507" s="14" t="n"/>
      <c r="AG507" s="14" t="n">
        <v>0.8146159122886238</v>
      </c>
      <c r="AH507" s="14" t="n"/>
      <c r="AI507" s="14" t="n"/>
      <c r="AJ507" s="14" t="n">
        <v>0.8146159122886238</v>
      </c>
      <c r="AK507" s="14" t="n"/>
      <c r="AL507" s="14" t="n"/>
      <c r="AM507" s="14" t="n"/>
      <c r="AN507" s="14" t="inlineStr">
        <is>
          <t>EVALUATED</t>
        </is>
      </c>
      <c r="AO507" s="14" t="inlineStr">
        <is>
          <t>RECEIVING_VALIDATED_EDGE;BUCKET_PRIOR_ONLY;INTENT_INTERPRETATION_ONLY;FFL_OPTIONAL;EXPERT_MARKET</t>
        </is>
      </c>
      <c r="AP507" s="14" t="inlineStr">
        <is>
          <t>1f6192ca97fbb45f919d</t>
        </is>
      </c>
      <c r="AQ507" s="14" t="n">
        <v>1</v>
      </c>
      <c r="AR507" s="14" t="n">
        <v>0.93</v>
      </c>
      <c r="AS507" s="14" t="n">
        <v>-1</v>
      </c>
      <c r="AT507" s="14" t="n">
        <v>1</v>
      </c>
      <c r="AU507" s="14" t="n">
        <v>0.93</v>
      </c>
      <c r="AV507" s="14" t="n">
        <v>0.88</v>
      </c>
      <c r="AW507" s="14" t="inlineStr">
        <is>
          <t>2026-10-08T07:44:59.408325+08:00</t>
        </is>
      </c>
      <c r="AX507" s="14" t="inlineStr">
        <is>
          <t>Titan007/V4</t>
        </is>
      </c>
      <c r="AY507" s="14" t="inlineStr">
        <is>
          <t>Daily append；市场输入缺失时不生成决策</t>
        </is>
      </c>
    </row>
    <row r="508" ht="22" customHeight="1" s="39"/>
    <row r="509" ht="22" customHeight="1" s="39"/>
    <row r="510" ht="22" customHeight="1" s="39"/>
    <row r="511" ht="22" customHeight="1" s="39"/>
    <row r="512" ht="22" customHeight="1" s="39"/>
    <row r="513" ht="22" customHeight="1" s="39"/>
    <row r="514" ht="22" customHeight="1" s="39"/>
    <row r="515" ht="22" customHeight="1" s="39"/>
    <row r="516" ht="22" customHeight="1" s="39"/>
    <row r="517" ht="22" customHeight="1" s="39"/>
    <row r="518" ht="22" customHeight="1" s="39"/>
    <row r="519" ht="22" customHeight="1" s="39"/>
    <row r="520" ht="22" customHeight="1" s="39"/>
    <row r="521" ht="22" customHeight="1" s="39"/>
    <row r="522" ht="22" customHeight="1" s="39"/>
    <row r="523" ht="22" customHeight="1" s="39"/>
    <row r="524" ht="22" customHeight="1" s="39"/>
    <row r="525" ht="22" customHeight="1" s="39"/>
    <row r="526" ht="22" customHeight="1" s="39"/>
    <row r="527" ht="22" customHeight="1" s="39"/>
    <row r="528" ht="22" customHeight="1" s="39"/>
    <row r="529" ht="22" customHeight="1" s="39"/>
    <row r="530" ht="22" customHeight="1" s="39"/>
    <row r="531" ht="22" customHeight="1" s="39"/>
    <row r="532" ht="22" customHeight="1" s="39"/>
    <row r="533" ht="22" customHeight="1" s="39"/>
    <row r="534" ht="22" customHeight="1" s="39"/>
    <row r="535" ht="22" customHeight="1" s="39"/>
    <row r="536" ht="22" customHeight="1" s="39"/>
    <row r="537" ht="22" customHeight="1" s="39"/>
    <row r="538" ht="22" customHeight="1" s="39"/>
    <row r="539" ht="22" customHeight="1" s="39"/>
    <row r="540" ht="22" customHeight="1" s="39"/>
    <row r="541" ht="22" customHeight="1" s="39"/>
    <row r="542" ht="22" customHeight="1" s="39"/>
    <row r="543" ht="22" customHeight="1" s="39"/>
    <row r="544" ht="22" customHeight="1" s="39"/>
    <row r="545" ht="22" customHeight="1" s="39"/>
    <row r="546" ht="22" customHeight="1" s="39"/>
    <row r="547" ht="22" customHeight="1" s="39"/>
    <row r="548" ht="22" customHeight="1" s="39"/>
    <row r="549" ht="22" customHeight="1" s="39"/>
    <row r="550" ht="22" customHeight="1" s="39"/>
    <row r="551" ht="22" customHeight="1" s="39"/>
    <row r="552" ht="22" customHeight="1" s="39"/>
    <row r="553" ht="22" customHeight="1" s="39"/>
    <row r="554" ht="22" customHeight="1" s="39"/>
    <row r="555" ht="22" customHeight="1" s="39"/>
    <row r="556" ht="22" customHeight="1" s="39"/>
    <row r="557" ht="22" customHeight="1" s="39"/>
    <row r="558" ht="22" customHeight="1" s="39"/>
    <row r="559" ht="22" customHeight="1" s="39"/>
    <row r="560" ht="22" customHeight="1" s="39"/>
    <row r="561" ht="22" customHeight="1" s="39"/>
    <row r="562" ht="22" customHeight="1" s="39"/>
    <row r="563" ht="22" customHeight="1" s="39"/>
    <row r="564" ht="22" customHeight="1" s="39"/>
    <row r="565" ht="22" customHeight="1" s="39"/>
    <row r="566" ht="22" customHeight="1" s="39"/>
    <row r="567" ht="22" customHeight="1" s="39"/>
    <row r="568" ht="22" customHeight="1" s="39"/>
    <row r="569" ht="22" customHeight="1" s="39"/>
    <row r="570" ht="22" customHeight="1" s="39"/>
    <row r="571" ht="22" customHeight="1" s="39"/>
    <row r="572" ht="22" customHeight="1" s="39"/>
    <row r="573" ht="22" customHeight="1" s="39"/>
    <row r="574" ht="22" customHeight="1" s="39"/>
    <row r="575" ht="22" customHeight="1" s="39"/>
    <row r="576" ht="22" customHeight="1" s="39"/>
    <row r="577" ht="22" customHeight="1" s="39"/>
    <row r="578" ht="22" customHeight="1" s="39"/>
    <row r="579" ht="22" customHeight="1" s="39"/>
    <row r="580" ht="22" customHeight="1" s="39"/>
    <row r="581" ht="22" customHeight="1" s="39"/>
    <row r="582" ht="22" customHeight="1" s="39"/>
    <row r="583" ht="22" customHeight="1" s="39"/>
    <row r="584" ht="22" customHeight="1" s="39"/>
    <row r="585" ht="22" customHeight="1" s="39"/>
    <row r="586" ht="22" customHeight="1" s="39"/>
    <row r="587" ht="22" customHeight="1" s="39"/>
    <row r="588" ht="22" customHeight="1" s="39"/>
    <row r="589" ht="22" customHeight="1" s="39"/>
    <row r="590" ht="22" customHeight="1" s="39"/>
    <row r="591" ht="22" customHeight="1" s="39"/>
    <row r="592" ht="22" customHeight="1" s="39"/>
    <row r="593" ht="22" customHeight="1" s="39"/>
    <row r="594" ht="22" customHeight="1" s="39"/>
    <row r="595" ht="22" customHeight="1" s="39"/>
    <row r="596" ht="22" customHeight="1" s="39"/>
    <row r="597" ht="22" customHeight="1" s="39"/>
    <row r="598" ht="22" customHeight="1" s="39"/>
    <row r="599" ht="22" customHeight="1" s="39"/>
    <row r="600" ht="22" customHeight="1" s="39"/>
    <row r="601" ht="22" customHeight="1" s="39"/>
    <row r="602" ht="22" customHeight="1" s="39"/>
    <row r="603" ht="22" customHeight="1" s="39"/>
    <row r="604" ht="22" customHeight="1" s="39"/>
    <row r="605" ht="22" customHeight="1" s="39"/>
    <row r="606" ht="22" customHeight="1" s="39"/>
    <row r="607" ht="22" customHeight="1" s="39"/>
    <row r="608" ht="22" customHeight="1" s="39"/>
    <row r="609" ht="22" customHeight="1" s="39"/>
    <row r="610" ht="22" customHeight="1" s="39"/>
    <row r="611" ht="22" customHeight="1" s="39"/>
    <row r="612" ht="22" customHeight="1" s="39"/>
    <row r="613" ht="22" customHeight="1" s="39"/>
    <row r="614" ht="22" customHeight="1" s="39"/>
    <row r="615" ht="22" customHeight="1" s="39"/>
    <row r="616" ht="22" customHeight="1" s="39"/>
    <row r="617" ht="22" customHeight="1" s="39"/>
    <row r="618" ht="22" customHeight="1" s="39"/>
    <row r="619" ht="22" customHeight="1" s="39"/>
    <row r="620" ht="22" customHeight="1" s="39"/>
    <row r="621" ht="22" customHeight="1" s="39"/>
    <row r="622" ht="22" customHeight="1" s="39"/>
    <row r="623" ht="22" customHeight="1" s="39"/>
    <row r="624" ht="22" customHeight="1" s="39"/>
    <row r="625" ht="22" customHeight="1" s="39"/>
    <row r="626" ht="22" customHeight="1" s="39"/>
    <row r="627" ht="22" customHeight="1" s="39"/>
    <row r="628" ht="22" customHeight="1" s="39"/>
    <row r="629" ht="22" customHeight="1" s="39"/>
    <row r="630" ht="22" customHeight="1" s="39"/>
    <row r="631" ht="22" customHeight="1" s="39"/>
    <row r="632" ht="22" customHeight="1" s="39"/>
    <row r="633" ht="22" customHeight="1" s="39"/>
    <row r="634" ht="22" customHeight="1" s="39"/>
    <row r="635" ht="22" customHeight="1" s="39"/>
    <row r="636" ht="22" customHeight="1" s="39"/>
    <row r="637" ht="22" customHeight="1" s="39"/>
    <row r="638" ht="22" customHeight="1" s="39"/>
    <row r="639" ht="22" customHeight="1" s="39"/>
    <row r="640" ht="22" customHeight="1" s="39"/>
    <row r="641" ht="22" customHeight="1" s="39"/>
    <row r="642" ht="22" customHeight="1" s="39"/>
    <row r="643" ht="22" customHeight="1" s="39"/>
    <row r="644" ht="22" customHeight="1" s="39"/>
    <row r="645" ht="22" customHeight="1" s="39"/>
    <row r="646" ht="22" customHeight="1" s="39"/>
    <row r="647" ht="22" customHeight="1" s="39"/>
    <row r="648" ht="22" customHeight="1" s="39"/>
    <row r="649" ht="22" customHeight="1" s="39"/>
    <row r="650" ht="22" customHeight="1" s="39"/>
    <row r="651" ht="22" customHeight="1" s="39"/>
    <row r="652" ht="22" customHeight="1" s="39"/>
    <row r="653" ht="22" customHeight="1" s="39"/>
    <row r="654" ht="22" customHeight="1" s="39"/>
    <row r="655" ht="22" customHeight="1" s="39"/>
    <row r="656" ht="22" customHeight="1" s="39"/>
    <row r="657" ht="22" customHeight="1" s="39"/>
    <row r="658" ht="22" customHeight="1" s="39"/>
    <row r="659" ht="22" customHeight="1" s="39"/>
    <row r="660" ht="22" customHeight="1" s="39"/>
    <row r="661" ht="22" customHeight="1" s="39"/>
    <row r="662" ht="22" customHeight="1" s="39"/>
    <row r="663" ht="22" customHeight="1" s="39"/>
    <row r="664" ht="22" customHeight="1" s="39"/>
    <row r="665" ht="22" customHeight="1" s="39"/>
    <row r="666" ht="22" customHeight="1" s="39"/>
    <row r="667" ht="22" customHeight="1" s="39"/>
    <row r="668" ht="22" customHeight="1" s="39"/>
    <row r="669" ht="22" customHeight="1" s="39"/>
    <row r="670" ht="22" customHeight="1" s="39"/>
    <row r="671" ht="22" customHeight="1" s="39"/>
    <row r="672" ht="22" customHeight="1" s="39"/>
    <row r="673" ht="22" customHeight="1" s="39"/>
    <row r="674" ht="22" customHeight="1" s="39"/>
    <row r="675" ht="22" customHeight="1" s="39"/>
    <row r="676" ht="22" customHeight="1" s="39"/>
    <row r="677" ht="22" customHeight="1" s="39"/>
    <row r="678" ht="22" customHeight="1" s="39"/>
    <row r="679" ht="22" customHeight="1" s="39"/>
    <row r="680" ht="22" customHeight="1" s="39"/>
    <row r="681" ht="22" customHeight="1" s="39"/>
    <row r="682" ht="22" customHeight="1" s="39"/>
    <row r="683" ht="22" customHeight="1" s="39"/>
    <row r="684" ht="22" customHeight="1" s="39"/>
    <row r="685" ht="22" customHeight="1" s="39"/>
    <row r="686" ht="22" customHeight="1" s="39"/>
    <row r="687" ht="22" customHeight="1" s="39"/>
    <row r="688" ht="22" customHeight="1" s="39"/>
    <row r="689" ht="22" customHeight="1" s="39"/>
    <row r="690" ht="22" customHeight="1" s="39"/>
    <row r="691" ht="22" customHeight="1" s="39"/>
    <row r="692" ht="22" customHeight="1" s="39"/>
    <row r="693" ht="22" customHeight="1" s="39"/>
    <row r="694" ht="22" customHeight="1" s="39"/>
    <row r="695" ht="22" customHeight="1" s="39"/>
    <row r="696" ht="22" customHeight="1" s="39"/>
    <row r="697" ht="22" customHeight="1" s="39"/>
    <row r="698" ht="22" customHeight="1" s="39"/>
    <row r="699" ht="22" customHeight="1" s="39"/>
    <row r="700" ht="22" customHeight="1" s="39"/>
    <row r="701" ht="22" customHeight="1" s="39"/>
    <row r="702" ht="22" customHeight="1" s="39"/>
    <row r="703" ht="22" customHeight="1" s="39"/>
    <row r="704" ht="22" customHeight="1" s="39"/>
    <row r="705" ht="22" customHeight="1" s="39"/>
    <row r="706" ht="22" customHeight="1" s="39"/>
    <row r="707" ht="22" customHeight="1" s="39"/>
    <row r="708" ht="22" customHeight="1" s="39"/>
    <row r="709" ht="22" customHeight="1" s="39"/>
    <row r="710" ht="22" customHeight="1" s="39"/>
    <row r="711" ht="22" customHeight="1" s="39"/>
    <row r="712" ht="22" customHeight="1" s="39"/>
    <row r="713" ht="22" customHeight="1" s="39"/>
    <row r="714" ht="22" customHeight="1" s="39"/>
    <row r="715" ht="22" customHeight="1" s="39"/>
    <row r="716" ht="22" customHeight="1" s="39"/>
    <row r="717" ht="22" customHeight="1" s="39"/>
    <row r="718" ht="22" customHeight="1" s="39"/>
    <row r="719" ht="22" customHeight="1" s="39"/>
    <row r="720" ht="22" customHeight="1" s="39"/>
    <row r="721" ht="22" customHeight="1" s="39"/>
    <row r="722" ht="22" customHeight="1" s="39"/>
    <row r="723" ht="22" customHeight="1" s="39"/>
    <row r="724" ht="22" customHeight="1" s="39"/>
    <row r="725" ht="22" customHeight="1" s="39"/>
    <row r="726" ht="22" customHeight="1" s="39"/>
    <row r="727" ht="22" customHeight="1" s="39"/>
    <row r="728" ht="22" customHeight="1" s="39"/>
    <row r="729" ht="22" customHeight="1" s="39"/>
    <row r="730" ht="22" customHeight="1" s="39"/>
    <row r="731" ht="22" customHeight="1" s="39"/>
    <row r="732" ht="22" customHeight="1" s="39"/>
    <row r="733" ht="22" customHeight="1" s="39"/>
    <row r="734" ht="22" customHeight="1" s="39"/>
    <row r="735" ht="22" customHeight="1" s="39"/>
    <row r="736" ht="22" customHeight="1" s="39"/>
    <row r="737" ht="22" customHeight="1" s="39"/>
    <row r="738" ht="22" customHeight="1" s="39"/>
    <row r="739" ht="22" customHeight="1" s="39"/>
    <row r="740" ht="22" customHeight="1" s="39"/>
    <row r="741" ht="22" customHeight="1" s="39"/>
    <row r="742" ht="22" customHeight="1" s="39"/>
    <row r="743" ht="22" customHeight="1" s="39"/>
    <row r="744" ht="22" customHeight="1" s="39"/>
    <row r="745" ht="22" customHeight="1" s="39"/>
    <row r="746" ht="22" customHeight="1" s="39"/>
    <row r="747" ht="22" customHeight="1" s="39"/>
    <row r="748" ht="22" customHeight="1" s="39"/>
    <row r="749" ht="22" customHeight="1" s="39"/>
    <row r="750" ht="22" customHeight="1" s="39"/>
    <row r="751" ht="22" customHeight="1" s="39"/>
    <row r="752" ht="22" customHeight="1" s="39"/>
    <row r="753" ht="22" customHeight="1" s="39"/>
    <row r="754" ht="22" customHeight="1" s="39"/>
    <row r="755" ht="22" customHeight="1" s="39"/>
    <row r="756" ht="22" customHeight="1" s="39"/>
    <row r="757" ht="22" customHeight="1" s="39"/>
    <row r="758" ht="22" customHeight="1" s="39"/>
    <row r="759" ht="22" customHeight="1" s="39"/>
    <row r="760" ht="22" customHeight="1" s="39"/>
    <row r="761" ht="22" customHeight="1" s="39"/>
    <row r="762" ht="22" customHeight="1" s="39"/>
    <row r="763" ht="22" customHeight="1" s="39"/>
    <row r="764" ht="22" customHeight="1" s="39"/>
    <row r="765" ht="22" customHeight="1" s="39"/>
    <row r="766" ht="22" customHeight="1" s="39"/>
    <row r="767" ht="22" customHeight="1" s="39"/>
    <row r="768" ht="22" customHeight="1" s="39"/>
    <row r="769" ht="22" customHeight="1" s="39"/>
    <row r="770" ht="22" customHeight="1" s="39"/>
    <row r="771" ht="22" customHeight="1" s="39"/>
    <row r="772" ht="22" customHeight="1" s="39"/>
    <row r="773" ht="22" customHeight="1" s="39"/>
    <row r="774" ht="22" customHeight="1" s="39"/>
    <row r="775" ht="22" customHeight="1" s="39"/>
    <row r="776" ht="22" customHeight="1" s="39"/>
    <row r="777" ht="22" customHeight="1" s="39"/>
    <row r="778" ht="22" customHeight="1" s="39"/>
    <row r="779" ht="22" customHeight="1" s="39"/>
    <row r="780" ht="22" customHeight="1" s="39"/>
    <row r="781" ht="22" customHeight="1" s="39"/>
    <row r="782" ht="22" customHeight="1" s="39"/>
    <row r="783" ht="22" customHeight="1" s="39"/>
    <row r="784" ht="22" customHeight="1" s="39"/>
    <row r="785" ht="22" customHeight="1" s="39"/>
    <row r="786" ht="22" customHeight="1" s="39"/>
    <row r="787" ht="22" customHeight="1" s="39"/>
    <row r="788" ht="22" customHeight="1" s="39"/>
    <row r="789" ht="22" customHeight="1" s="39"/>
    <row r="790" ht="22" customHeight="1" s="39"/>
    <row r="791" ht="22" customHeight="1" s="39"/>
    <row r="792" ht="22" customHeight="1" s="39"/>
    <row r="793" ht="22" customHeight="1" s="39"/>
    <row r="794" ht="22" customHeight="1" s="39"/>
    <row r="795" ht="22" customHeight="1" s="39"/>
    <row r="796" ht="22" customHeight="1" s="39"/>
    <row r="797" ht="22" customHeight="1" s="39"/>
    <row r="798" ht="22" customHeight="1" s="39"/>
    <row r="799" ht="22" customHeight="1" s="39"/>
    <row r="800" ht="22" customHeight="1" s="39"/>
    <row r="801" ht="22" customHeight="1" s="39"/>
    <row r="802" ht="22" customHeight="1" s="39"/>
    <row r="803" ht="22" customHeight="1" s="39"/>
    <row r="804" ht="22" customHeight="1" s="39"/>
    <row r="805" ht="22" customHeight="1" s="39"/>
    <row r="806" ht="22" customHeight="1" s="39"/>
    <row r="807" ht="22" customHeight="1" s="39"/>
    <row r="808" ht="22" customHeight="1" s="39"/>
    <row r="809" ht="22" customHeight="1" s="39"/>
    <row r="810" ht="22" customHeight="1" s="39"/>
    <row r="811" ht="22" customHeight="1" s="39"/>
    <row r="812" ht="22" customHeight="1" s="39"/>
    <row r="813" ht="22" customHeight="1" s="39"/>
    <row r="814" ht="22" customHeight="1" s="39"/>
    <row r="815" ht="22" customHeight="1" s="39"/>
    <row r="816" ht="22" customHeight="1" s="39"/>
    <row r="817" ht="22" customHeight="1" s="39"/>
    <row r="818" ht="22" customHeight="1" s="39"/>
    <row r="819" ht="22" customHeight="1" s="39"/>
    <row r="820" ht="22" customHeight="1" s="39"/>
    <row r="821" ht="22" customHeight="1" s="39"/>
    <row r="822" ht="22" customHeight="1" s="39"/>
    <row r="823" ht="22" customHeight="1" s="39"/>
    <row r="824" ht="22" customHeight="1" s="39"/>
    <row r="825" ht="22" customHeight="1" s="39"/>
    <row r="826" ht="22" customHeight="1" s="39"/>
    <row r="827" ht="22" customHeight="1" s="39"/>
    <row r="828" ht="22" customHeight="1" s="39"/>
    <row r="829" ht="22" customHeight="1" s="39"/>
    <row r="830" ht="22" customHeight="1" s="39"/>
    <row r="831" ht="22" customHeight="1" s="39"/>
    <row r="832" ht="22" customHeight="1" s="39"/>
    <row r="833" ht="22" customHeight="1" s="39"/>
    <row r="834" ht="22" customHeight="1" s="39"/>
    <row r="835" ht="22" customHeight="1" s="39"/>
    <row r="836" ht="22" customHeight="1" s="39"/>
    <row r="837" ht="22" customHeight="1" s="39"/>
    <row r="838" ht="22" customHeight="1" s="39"/>
    <row r="839" ht="22" customHeight="1" s="39"/>
    <row r="840" ht="22" customHeight="1" s="39"/>
    <row r="841" ht="22" customHeight="1" s="39"/>
    <row r="842" ht="22" customHeight="1" s="39"/>
    <row r="843" ht="22" customHeight="1" s="39"/>
    <row r="844" ht="22" customHeight="1" s="39"/>
    <row r="845" ht="22" customHeight="1" s="39"/>
    <row r="846" ht="22" customHeight="1" s="39"/>
    <row r="847" ht="22" customHeight="1" s="39"/>
    <row r="848" ht="22" customHeight="1" s="39"/>
    <row r="849" ht="22" customHeight="1" s="39"/>
    <row r="850" ht="22" customHeight="1" s="39"/>
    <row r="851" ht="22" customHeight="1" s="39"/>
    <row r="852" ht="22" customHeight="1" s="39"/>
    <row r="853" ht="22" customHeight="1" s="39"/>
    <row r="854" ht="22" customHeight="1" s="39"/>
    <row r="855" ht="22" customHeight="1" s="39"/>
    <row r="856" ht="22" customHeight="1" s="39"/>
    <row r="857" ht="22" customHeight="1" s="39"/>
    <row r="858" ht="22" customHeight="1" s="39"/>
    <row r="859" ht="22" customHeight="1" s="39"/>
    <row r="860" ht="22" customHeight="1" s="39"/>
    <row r="861" ht="22" customHeight="1" s="39"/>
    <row r="862" ht="22" customHeight="1" s="39"/>
    <row r="863" ht="22" customHeight="1" s="39"/>
    <row r="864" ht="22" customHeight="1" s="39"/>
    <row r="865" ht="22" customHeight="1" s="39"/>
    <row r="866" ht="22" customHeight="1" s="39"/>
    <row r="867" ht="22" customHeight="1" s="39"/>
    <row r="868" ht="22" customHeight="1" s="39"/>
    <row r="869" ht="22" customHeight="1" s="39"/>
    <row r="870" ht="22" customHeight="1" s="39"/>
    <row r="871" ht="22" customHeight="1" s="39"/>
    <row r="872" ht="22" customHeight="1" s="39"/>
    <row r="873" ht="22" customHeight="1" s="39"/>
    <row r="874" ht="22" customHeight="1" s="39"/>
    <row r="875" ht="22" customHeight="1" s="39"/>
    <row r="876" ht="22" customHeight="1" s="39"/>
    <row r="877" ht="22" customHeight="1" s="39"/>
    <row r="878" ht="22" customHeight="1" s="39"/>
    <row r="879" ht="22" customHeight="1" s="39"/>
    <row r="880" ht="22" customHeight="1" s="39"/>
    <row r="881" ht="22" customHeight="1" s="39"/>
    <row r="882" ht="22" customHeight="1" s="39"/>
    <row r="883" ht="22" customHeight="1" s="39"/>
    <row r="884" ht="22" customHeight="1" s="39"/>
    <row r="885" ht="22" customHeight="1" s="39"/>
    <row r="886" ht="22" customHeight="1" s="39"/>
    <row r="887" ht="22" customHeight="1" s="39"/>
    <row r="888" ht="22" customHeight="1" s="39"/>
    <row r="889" ht="22" customHeight="1" s="39"/>
    <row r="890" ht="22" customHeight="1" s="39"/>
    <row r="891" ht="22" customHeight="1" s="39"/>
    <row r="892" ht="22" customHeight="1" s="39"/>
    <row r="893" ht="22" customHeight="1" s="39"/>
    <row r="894" ht="22" customHeight="1" s="39"/>
    <row r="895" ht="22" customHeight="1" s="39"/>
    <row r="896" ht="22" customHeight="1" s="39"/>
    <row r="897" ht="22" customHeight="1" s="39"/>
    <row r="898" ht="22" customHeight="1" s="39"/>
    <row r="899" ht="22" customHeight="1" s="39"/>
    <row r="900" ht="22" customHeight="1" s="39"/>
    <row r="901" ht="22" customHeight="1" s="39"/>
    <row r="902" ht="22" customHeight="1" s="39"/>
    <row r="903" ht="22" customHeight="1" s="39"/>
    <row r="904" ht="22" customHeight="1" s="39"/>
    <row r="905" ht="22" customHeight="1" s="39"/>
    <row r="906" ht="22" customHeight="1" s="39"/>
    <row r="907" ht="22" customHeight="1" s="39"/>
    <row r="908" ht="22" customHeight="1" s="39"/>
    <row r="909" ht="22" customHeight="1" s="39"/>
    <row r="910" ht="22" customHeight="1" s="39"/>
    <row r="911" ht="22" customHeight="1" s="39"/>
    <row r="912" ht="22" customHeight="1" s="39"/>
    <row r="913" ht="22" customHeight="1" s="39"/>
    <row r="914" ht="22" customHeight="1" s="39"/>
    <row r="915" ht="22" customHeight="1" s="39"/>
    <row r="916" ht="22" customHeight="1" s="39"/>
    <row r="917" ht="22" customHeight="1" s="39"/>
    <row r="918" ht="22" customHeight="1" s="39"/>
    <row r="919" ht="22" customHeight="1" s="39"/>
    <row r="920" ht="22" customHeight="1" s="39"/>
    <row r="921" ht="22" customHeight="1" s="39"/>
    <row r="922" ht="22" customHeight="1" s="39"/>
    <row r="923" ht="22" customHeight="1" s="39"/>
    <row r="924" ht="22" customHeight="1" s="39"/>
    <row r="925" ht="22" customHeight="1" s="39"/>
    <row r="926" ht="22" customHeight="1" s="39"/>
    <row r="927" ht="22" customHeight="1" s="39"/>
    <row r="928" ht="22" customHeight="1" s="39"/>
    <row r="929" ht="22" customHeight="1" s="39"/>
    <row r="930" ht="22" customHeight="1" s="39"/>
    <row r="931" ht="22" customHeight="1" s="39"/>
    <row r="932" ht="22" customHeight="1" s="39"/>
    <row r="933" ht="22" customHeight="1" s="39"/>
    <row r="934" ht="22" customHeight="1" s="39"/>
    <row r="935" ht="22" customHeight="1" s="39"/>
    <row r="936" ht="22" customHeight="1" s="39"/>
    <row r="937" ht="22" customHeight="1" s="39"/>
    <row r="938" ht="22" customHeight="1" s="39"/>
    <row r="939" ht="22" customHeight="1" s="39"/>
    <row r="940" ht="22" customHeight="1" s="39"/>
    <row r="941" ht="22" customHeight="1" s="39"/>
    <row r="942" ht="22" customHeight="1" s="39"/>
    <row r="943" ht="22" customHeight="1" s="39"/>
    <row r="944" ht="22" customHeight="1" s="39"/>
    <row r="945" ht="22" customHeight="1" s="39"/>
    <row r="946" ht="22" customHeight="1" s="39"/>
    <row r="947" ht="22" customHeight="1" s="39"/>
    <row r="948" ht="22" customHeight="1" s="39"/>
    <row r="949" ht="22" customHeight="1" s="39"/>
    <row r="950" ht="22" customHeight="1" s="39"/>
    <row r="951" ht="22" customHeight="1" s="39"/>
    <row r="952" ht="22" customHeight="1" s="39"/>
    <row r="953" ht="22" customHeight="1" s="39"/>
    <row r="954" ht="22" customHeight="1" s="39"/>
    <row r="955" ht="22" customHeight="1" s="39"/>
    <row r="956" ht="22" customHeight="1" s="39"/>
    <row r="957" ht="22" customHeight="1" s="39"/>
    <row r="958" ht="22" customHeight="1" s="39"/>
    <row r="959" ht="22" customHeight="1" s="39"/>
    <row r="960" ht="22" customHeight="1" s="39"/>
    <row r="961" ht="22" customHeight="1" s="39"/>
    <row r="962" ht="22" customHeight="1" s="39"/>
    <row r="963" ht="22" customHeight="1" s="39"/>
    <row r="964" ht="22" customHeight="1" s="39"/>
    <row r="965" ht="22" customHeight="1" s="39"/>
    <row r="966" ht="22" customHeight="1" s="39"/>
    <row r="967" ht="22" customHeight="1" s="39"/>
    <row r="968" ht="22" customHeight="1" s="39"/>
    <row r="969" ht="22" customHeight="1" s="39"/>
    <row r="970" ht="22" customHeight="1" s="39"/>
    <row r="971" ht="22" customHeight="1" s="39"/>
    <row r="972" ht="22" customHeight="1" s="39"/>
    <row r="973" ht="22" customHeight="1" s="39"/>
    <row r="974" ht="22" customHeight="1" s="39"/>
    <row r="975" ht="22" customHeight="1" s="39"/>
    <row r="976" ht="22" customHeight="1" s="39"/>
    <row r="977" ht="22" customHeight="1" s="39"/>
    <row r="978" ht="22" customHeight="1" s="39"/>
    <row r="979" ht="22" customHeight="1" s="39"/>
    <row r="980" ht="22" customHeight="1" s="39"/>
    <row r="981" ht="22" customHeight="1" s="39"/>
    <row r="982" ht="22" customHeight="1" s="39"/>
    <row r="983" ht="22" customHeight="1" s="39"/>
    <row r="984" ht="22" customHeight="1" s="39"/>
    <row r="985" ht="22" customHeight="1" s="39"/>
    <row r="986" ht="22" customHeight="1" s="39"/>
    <row r="987" ht="22" customHeight="1" s="39"/>
    <row r="988" ht="22" customHeight="1" s="39"/>
    <row r="989" ht="22" customHeight="1" s="39"/>
    <row r="990" ht="22" customHeight="1" s="39"/>
    <row r="991" ht="22" customHeight="1" s="39"/>
    <row r="992" ht="22" customHeight="1" s="39"/>
    <row r="993" ht="22" customHeight="1" s="39"/>
    <row r="994" ht="22" customHeight="1" s="39"/>
    <row r="995" ht="22" customHeight="1" s="39"/>
    <row r="996" ht="22" customHeight="1" s="39"/>
    <row r="997" ht="22" customHeight="1" s="39"/>
    <row r="998" ht="22" customHeight="1" s="39"/>
    <row r="999" ht="22" customHeight="1" s="39"/>
    <row r="1000" ht="22" customHeight="1" s="39"/>
    <row r="1001" ht="22" customHeight="1" s="39"/>
    <row r="1002" ht="22" customHeight="1" s="39"/>
    <row r="1003" ht="22" customHeight="1" s="39"/>
    <row r="1004" ht="22" customHeight="1" s="39"/>
    <row r="1005" ht="22" customHeight="1" s="39"/>
    <row r="1006" ht="22" customHeight="1" s="39"/>
    <row r="1007" ht="22" customHeight="1" s="39"/>
    <row r="1008" ht="22" customHeight="1" s="39"/>
    <row r="1009" ht="22" customHeight="1" s="39"/>
    <row r="1010" ht="22" customHeight="1" s="39"/>
    <row r="1011" ht="22" customHeight="1" s="39"/>
    <row r="1012" ht="22" customHeight="1" s="39"/>
    <row r="1013" ht="22" customHeight="1" s="39"/>
    <row r="1014" ht="22" customHeight="1" s="39"/>
    <row r="1015" ht="22" customHeight="1" s="39"/>
    <row r="1016" ht="22" customHeight="1" s="39"/>
    <row r="1017" ht="22" customHeight="1" s="39"/>
    <row r="1018" ht="22" customHeight="1" s="39"/>
    <row r="1019" ht="22" customHeight="1" s="39"/>
    <row r="1020" ht="22" customHeight="1" s="39"/>
    <row r="1021" ht="22" customHeight="1" s="39"/>
    <row r="1022" ht="22" customHeight="1" s="39"/>
    <row r="1023" ht="22" customHeight="1" s="39"/>
    <row r="1024" ht="22" customHeight="1" s="39"/>
    <row r="1025" ht="22" customHeight="1" s="39"/>
    <row r="1026" ht="22" customHeight="1" s="39"/>
    <row r="1027" ht="22" customHeight="1" s="39"/>
    <row r="1028" ht="22" customHeight="1" s="39"/>
    <row r="1029" ht="22" customHeight="1" s="39"/>
    <row r="1030" ht="22" customHeight="1" s="39"/>
    <row r="1031" ht="22" customHeight="1" s="39"/>
    <row r="1032" ht="22" customHeight="1" s="39"/>
    <row r="1033" ht="22" customHeight="1" s="39"/>
    <row r="1034" ht="22" customHeight="1" s="39"/>
    <row r="1035" ht="22" customHeight="1" s="39"/>
    <row r="1036" ht="22" customHeight="1" s="39"/>
    <row r="1037" ht="22" customHeight="1" s="39"/>
    <row r="1038" ht="22" customHeight="1" s="39"/>
    <row r="1039" ht="22" customHeight="1" s="39"/>
    <row r="1040" ht="22" customHeight="1" s="39"/>
    <row r="1041" ht="22" customHeight="1" s="39"/>
    <row r="1042" ht="22" customHeight="1" s="39"/>
    <row r="1043" ht="22" customHeight="1" s="39"/>
    <row r="1044" ht="22" customHeight="1" s="39"/>
    <row r="1045" ht="22" customHeight="1" s="39"/>
    <row r="1046" ht="22" customHeight="1" s="39"/>
    <row r="1047" ht="22" customHeight="1" s="39"/>
    <row r="1048" ht="22" customHeight="1" s="39"/>
    <row r="1049" ht="22" customHeight="1" s="39"/>
    <row r="1050" ht="22" customHeight="1" s="39"/>
    <row r="1051" ht="22" customHeight="1" s="39"/>
    <row r="1052" ht="22" customHeight="1" s="39"/>
    <row r="1053" ht="22" customHeight="1" s="39"/>
    <row r="1054" ht="22" customHeight="1" s="39"/>
    <row r="1055" ht="22" customHeight="1" s="39"/>
    <row r="1056" ht="22" customHeight="1" s="39"/>
    <row r="1057" ht="22" customHeight="1" s="39"/>
    <row r="1058" ht="22" customHeight="1" s="39"/>
    <row r="1059" ht="22" customHeight="1" s="39"/>
    <row r="1060" ht="22" customHeight="1" s="39"/>
    <row r="1061" ht="22" customHeight="1" s="39"/>
    <row r="1062" ht="22" customHeight="1" s="39"/>
    <row r="1063" ht="22" customHeight="1" s="39"/>
    <row r="1064" ht="22" customHeight="1" s="39"/>
    <row r="1065" ht="22" customHeight="1" s="39"/>
    <row r="1066" ht="22" customHeight="1" s="39"/>
    <row r="1067" ht="22" customHeight="1" s="39"/>
    <row r="1068" ht="22" customHeight="1" s="39"/>
    <row r="1069" ht="22" customHeight="1" s="39"/>
    <row r="1070" ht="22" customHeight="1" s="39"/>
    <row r="1071" ht="22" customHeight="1" s="39"/>
    <row r="1072" ht="22" customHeight="1" s="39"/>
    <row r="1073" ht="22" customHeight="1" s="39"/>
    <row r="1074" ht="22" customHeight="1" s="39"/>
    <row r="1075" ht="22" customHeight="1" s="39"/>
    <row r="1076" ht="22" customHeight="1" s="39"/>
    <row r="1077" ht="22" customHeight="1" s="39"/>
    <row r="1078" ht="22" customHeight="1" s="39"/>
    <row r="1079" ht="22" customHeight="1" s="39"/>
    <row r="1080" ht="22" customHeight="1" s="39"/>
    <row r="1081" ht="22" customHeight="1" s="39"/>
    <row r="1082" ht="22" customHeight="1" s="39"/>
    <row r="1083" ht="22" customHeight="1" s="39"/>
    <row r="1084" ht="22" customHeight="1" s="39"/>
    <row r="1085" ht="22" customHeight="1" s="39"/>
    <row r="1086" ht="22" customHeight="1" s="39"/>
    <row r="1087" ht="22" customHeight="1" s="39"/>
    <row r="1088" ht="22" customHeight="1" s="39"/>
    <row r="1089" ht="22" customHeight="1" s="39"/>
    <row r="1090" ht="22" customHeight="1" s="39"/>
    <row r="1091" ht="22" customHeight="1" s="39"/>
    <row r="1092" ht="22" customHeight="1" s="39"/>
    <row r="1093" ht="22" customHeight="1" s="39"/>
    <row r="1094" ht="22" customHeight="1" s="39"/>
    <row r="1095" ht="22" customHeight="1" s="39"/>
    <row r="1096" ht="22" customHeight="1" s="39"/>
    <row r="1097" ht="22" customHeight="1" s="39"/>
    <row r="1098" ht="22" customHeight="1" s="39"/>
    <row r="1099" ht="22" customHeight="1" s="39"/>
    <row r="1100" ht="22" customHeight="1" s="39"/>
    <row r="1101" ht="22" customHeight="1" s="39"/>
    <row r="1102" ht="22" customHeight="1" s="39"/>
    <row r="1103" ht="22" customHeight="1" s="39"/>
    <row r="1104" ht="22" customHeight="1" s="39"/>
    <row r="1105" ht="22" customHeight="1" s="39"/>
    <row r="1106" ht="22" customHeight="1" s="39"/>
    <row r="1107" ht="22" customHeight="1" s="39"/>
    <row r="1108" ht="22" customHeight="1" s="39"/>
    <row r="1109" ht="22" customHeight="1" s="39"/>
    <row r="1110" ht="22" customHeight="1" s="39"/>
    <row r="1111" ht="22" customHeight="1" s="39"/>
    <row r="1112" ht="22" customHeight="1" s="39"/>
    <row r="1113" ht="22" customHeight="1" s="39"/>
    <row r="1114" ht="22" customHeight="1" s="39"/>
    <row r="1115" ht="22" customHeight="1" s="39"/>
    <row r="1116" ht="22" customHeight="1" s="39"/>
    <row r="1117" ht="22" customHeight="1" s="39"/>
    <row r="1118" ht="22" customHeight="1" s="39"/>
    <row r="1119" ht="22" customHeight="1" s="39"/>
    <row r="1120" ht="22" customHeight="1" s="39"/>
    <row r="1121" ht="22" customHeight="1" s="39"/>
    <row r="1122" ht="22" customHeight="1" s="39"/>
    <row r="1123" ht="22" customHeight="1" s="39"/>
    <row r="1124" ht="22" customHeight="1" s="39"/>
    <row r="1125" ht="22" customHeight="1" s="39"/>
    <row r="1126" ht="22" customHeight="1" s="39"/>
    <row r="1127" ht="22" customHeight="1" s="39"/>
    <row r="1128" ht="22" customHeight="1" s="39"/>
    <row r="1129" ht="22" customHeight="1" s="39"/>
    <row r="1130" ht="22" customHeight="1" s="39"/>
    <row r="1131" ht="22" customHeight="1" s="39"/>
    <row r="1132" ht="22" customHeight="1" s="39"/>
    <row r="1133" ht="22" customHeight="1" s="39"/>
    <row r="1134" ht="22" customHeight="1" s="39"/>
    <row r="1135" ht="22" customHeight="1" s="39"/>
    <row r="1136" ht="22" customHeight="1" s="39"/>
    <row r="1137" ht="22" customHeight="1" s="39"/>
    <row r="1138" ht="22" customHeight="1" s="39"/>
    <row r="1139" ht="22" customHeight="1" s="39"/>
    <row r="1140" ht="22" customHeight="1" s="39"/>
    <row r="1141" ht="22" customHeight="1" s="39"/>
    <row r="1142" ht="22" customHeight="1" s="39"/>
    <row r="1143" ht="22" customHeight="1" s="39"/>
    <row r="1144" ht="22" customHeight="1" s="39"/>
    <row r="1145" ht="22" customHeight="1" s="39"/>
    <row r="1146" ht="22" customHeight="1" s="39"/>
    <row r="1147" ht="22" customHeight="1" s="39"/>
    <row r="1148" ht="22" customHeight="1" s="39"/>
    <row r="1149" ht="22" customHeight="1" s="39"/>
    <row r="1150" ht="22" customHeight="1" s="39"/>
    <row r="1151" ht="22" customHeight="1" s="39"/>
    <row r="1152" ht="22" customHeight="1" s="39"/>
    <row r="1153" ht="22" customHeight="1" s="39"/>
    <row r="1154" ht="22" customHeight="1" s="39"/>
    <row r="1155" ht="22" customHeight="1" s="39"/>
    <row r="1156" ht="22" customHeight="1" s="39"/>
    <row r="1157" ht="22" customHeight="1" s="39"/>
    <row r="1158" ht="22" customHeight="1" s="39"/>
    <row r="1159" ht="22" customHeight="1" s="39"/>
    <row r="1160" ht="22" customHeight="1" s="39"/>
    <row r="1161" ht="22" customHeight="1" s="39"/>
    <row r="1162" ht="22" customHeight="1" s="39"/>
    <row r="1163" ht="22" customHeight="1" s="39"/>
    <row r="1164" ht="22" customHeight="1" s="39"/>
    <row r="1165" ht="22" customHeight="1" s="39"/>
    <row r="1166" ht="22" customHeight="1" s="39"/>
    <row r="1167" ht="22" customHeight="1" s="39"/>
    <row r="1168" ht="22" customHeight="1" s="39"/>
    <row r="1169" ht="22" customHeight="1" s="39"/>
    <row r="1170" ht="22" customHeight="1" s="39"/>
    <row r="1171" ht="22" customHeight="1" s="39"/>
    <row r="1172" ht="22" customHeight="1" s="39"/>
    <row r="1173" ht="22" customHeight="1" s="39"/>
    <row r="1174" ht="22" customHeight="1" s="39"/>
    <row r="1175" ht="22" customHeight="1" s="39"/>
    <row r="1176" ht="22" customHeight="1" s="39"/>
    <row r="1177" ht="22" customHeight="1" s="39"/>
    <row r="1178" ht="22" customHeight="1" s="39"/>
    <row r="1179" ht="22" customHeight="1" s="39"/>
    <row r="1180" ht="22" customHeight="1" s="39"/>
    <row r="1181" ht="22" customHeight="1" s="39"/>
    <row r="1182" ht="22" customHeight="1" s="39"/>
    <row r="1183" ht="22" customHeight="1" s="39"/>
    <row r="1184" ht="22" customHeight="1" s="39"/>
    <row r="1185" ht="22" customHeight="1" s="39"/>
    <row r="1186" ht="22" customHeight="1" s="39"/>
    <row r="1187" ht="22" customHeight="1" s="39"/>
    <row r="1188" ht="22" customHeight="1" s="39"/>
    <row r="1189" ht="22" customHeight="1" s="39"/>
    <row r="1190" ht="22" customHeight="1" s="39"/>
    <row r="1191" ht="22" customHeight="1" s="39"/>
    <row r="1192" ht="22" customHeight="1" s="39"/>
    <row r="1193" ht="22" customHeight="1" s="39"/>
    <row r="1194" ht="22" customHeight="1" s="39"/>
    <row r="1195" ht="22" customHeight="1" s="39"/>
    <row r="1196" ht="22" customHeight="1" s="39"/>
    <row r="1197" ht="22" customHeight="1" s="39"/>
    <row r="1198" ht="22" customHeight="1" s="39"/>
    <row r="1199" ht="22" customHeight="1" s="39"/>
    <row r="1200" ht="22" customHeight="1" s="39"/>
    <row r="1201" ht="22" customHeight="1" s="39"/>
    <row r="1202" ht="22" customHeight="1" s="39"/>
    <row r="1203" ht="22" customHeight="1" s="39"/>
    <row r="1204" ht="22" customHeight="1" s="39"/>
    <row r="1205" ht="22" customHeight="1" s="39"/>
    <row r="1206" ht="22" customHeight="1" s="39"/>
    <row r="1207" ht="22" customHeight="1" s="39"/>
    <row r="1208" ht="22" customHeight="1" s="39"/>
    <row r="1209" ht="22" customHeight="1" s="39"/>
    <row r="1210" ht="22" customHeight="1" s="39"/>
    <row r="1211" ht="22" customHeight="1" s="39"/>
    <row r="1212" ht="22" customHeight="1" s="39"/>
    <row r="1213" ht="22" customHeight="1" s="39"/>
    <row r="1214" ht="22" customHeight="1" s="39"/>
    <row r="1215" ht="22" customHeight="1" s="39"/>
    <row r="1216" ht="22" customHeight="1" s="39"/>
    <row r="1217" ht="22" customHeight="1" s="39"/>
    <row r="1218" ht="22" customHeight="1" s="39"/>
    <row r="1219" ht="22" customHeight="1" s="39"/>
    <row r="1220" ht="22" customHeight="1" s="39"/>
    <row r="1221" ht="22" customHeight="1" s="39"/>
    <row r="1222" ht="22" customHeight="1" s="39"/>
    <row r="1223" ht="22" customHeight="1" s="39"/>
    <row r="1224" ht="22" customHeight="1" s="39"/>
    <row r="1225" ht="22" customHeight="1" s="39"/>
    <row r="1226" ht="22" customHeight="1" s="39"/>
    <row r="1227" ht="22" customHeight="1" s="39"/>
    <row r="1228" ht="22" customHeight="1" s="39"/>
    <row r="1229" ht="22" customHeight="1" s="39"/>
    <row r="1230" ht="22" customHeight="1" s="39"/>
    <row r="1231" ht="22" customHeight="1" s="39"/>
    <row r="1232" ht="22" customHeight="1" s="39"/>
    <row r="1233" ht="22" customHeight="1" s="39"/>
    <row r="1234" ht="22" customHeight="1" s="39"/>
    <row r="1235" ht="22" customHeight="1" s="39"/>
    <row r="1236" ht="22" customHeight="1" s="39"/>
    <row r="1237" ht="22" customHeight="1" s="39"/>
    <row r="1238" ht="22" customHeight="1" s="39"/>
    <row r="1239" ht="22" customHeight="1" s="39"/>
    <row r="1240" ht="22" customHeight="1" s="39"/>
    <row r="1241" ht="22" customHeight="1" s="39"/>
    <row r="1242" ht="22" customHeight="1" s="39"/>
    <row r="1243" ht="22" customHeight="1" s="39"/>
    <row r="1244" ht="22" customHeight="1" s="39"/>
    <row r="1245" ht="22" customHeight="1" s="39"/>
    <row r="1246" ht="22" customHeight="1" s="39"/>
    <row r="1247" ht="22" customHeight="1" s="39"/>
    <row r="1248" ht="22" customHeight="1" s="39"/>
    <row r="1249" ht="22" customHeight="1" s="39"/>
    <row r="1250" ht="22" customHeight="1" s="39"/>
    <row r="1251" ht="22" customHeight="1" s="39"/>
    <row r="1252" ht="22" customHeight="1" s="39"/>
    <row r="1253" ht="22" customHeight="1" s="39"/>
    <row r="1254" ht="22" customHeight="1" s="39"/>
    <row r="1255" ht="22" customHeight="1" s="39"/>
    <row r="1256" ht="22" customHeight="1" s="39"/>
    <row r="1257" ht="22" customHeight="1" s="39"/>
    <row r="1258" ht="22" customHeight="1" s="39"/>
    <row r="1259" ht="22" customHeight="1" s="39"/>
    <row r="1260" ht="22" customHeight="1" s="39"/>
    <row r="1261" ht="22" customHeight="1" s="39"/>
    <row r="1262" ht="22" customHeight="1" s="39"/>
    <row r="1263" ht="22" customHeight="1" s="39"/>
    <row r="1264" ht="22" customHeight="1" s="39"/>
    <row r="1265" ht="22" customHeight="1" s="39"/>
    <row r="1266" ht="22" customHeight="1" s="39"/>
    <row r="1267" ht="22" customHeight="1" s="39"/>
    <row r="1268" ht="22" customHeight="1" s="39"/>
    <row r="1269" ht="22" customHeight="1" s="39"/>
    <row r="1270" ht="22" customHeight="1" s="39"/>
    <row r="1271" ht="22" customHeight="1" s="39"/>
    <row r="1272" ht="22" customHeight="1" s="39"/>
    <row r="1273" ht="22" customHeight="1" s="39"/>
    <row r="1274" ht="22" customHeight="1" s="39"/>
    <row r="1275" ht="22" customHeight="1" s="39"/>
    <row r="1276" ht="22" customHeight="1" s="39"/>
    <row r="1277" ht="22" customHeight="1" s="39"/>
    <row r="1278" ht="22" customHeight="1" s="39"/>
    <row r="1279" ht="22" customHeight="1" s="39"/>
    <row r="1280" ht="22" customHeight="1" s="39"/>
    <row r="1281" ht="22" customHeight="1" s="39"/>
    <row r="1282" ht="22" customHeight="1" s="39"/>
    <row r="1283" ht="22" customHeight="1" s="39"/>
    <row r="1284" ht="22" customHeight="1" s="39"/>
    <row r="1285" ht="22" customHeight="1" s="39"/>
    <row r="1286" ht="22" customHeight="1" s="39"/>
    <row r="1287" ht="22" customHeight="1" s="39"/>
    <row r="1288" ht="22" customHeight="1" s="39"/>
    <row r="1289" ht="22" customHeight="1" s="39"/>
    <row r="1290" ht="22" customHeight="1" s="39"/>
    <row r="1291" ht="22" customHeight="1" s="39"/>
    <row r="1292" ht="22" customHeight="1" s="39"/>
    <row r="1293" ht="22" customHeight="1" s="39"/>
    <row r="1294" ht="22" customHeight="1" s="39"/>
    <row r="1295" ht="22" customHeight="1" s="39"/>
    <row r="1296" ht="22" customHeight="1" s="39"/>
    <row r="1297" ht="22" customHeight="1" s="39"/>
    <row r="1298" ht="22" customHeight="1" s="39"/>
    <row r="1299" ht="22" customHeight="1" s="39"/>
    <row r="1300" ht="22" customHeight="1" s="39"/>
    <row r="1301" ht="22" customHeight="1" s="39"/>
    <row r="1302" ht="22" customHeight="1" s="39"/>
    <row r="1303" ht="22" customHeight="1" s="39"/>
    <row r="1304" ht="22" customHeight="1" s="39"/>
    <row r="1305" ht="22" customHeight="1" s="39"/>
    <row r="1306" ht="22" customHeight="1" s="39"/>
    <row r="1307" ht="22" customHeight="1" s="39"/>
    <row r="1308" ht="22" customHeight="1" s="39"/>
    <row r="1309" ht="22" customHeight="1" s="39"/>
    <row r="1310" ht="22" customHeight="1" s="39"/>
    <row r="1311" ht="22" customHeight="1" s="39"/>
    <row r="1312" ht="22" customHeight="1" s="39"/>
    <row r="1313" ht="22" customHeight="1" s="39"/>
    <row r="1314" ht="22" customHeight="1" s="39"/>
    <row r="1315" ht="22" customHeight="1" s="39"/>
    <row r="1316" ht="22" customHeight="1" s="39"/>
    <row r="1317" ht="22" customHeight="1" s="39"/>
    <row r="1318" ht="22" customHeight="1" s="39"/>
    <row r="1319" ht="22" customHeight="1" s="39"/>
    <row r="1320" ht="22" customHeight="1" s="39"/>
    <row r="1321" ht="22" customHeight="1" s="39"/>
    <row r="1322" ht="22" customHeight="1" s="39"/>
    <row r="1323" ht="22" customHeight="1" s="39"/>
    <row r="1324" ht="22" customHeight="1" s="39"/>
    <row r="1325" ht="22" customHeight="1" s="39"/>
    <row r="1326" ht="22" customHeight="1" s="39"/>
    <row r="1327" ht="22" customHeight="1" s="39"/>
    <row r="1328" ht="22" customHeight="1" s="39"/>
    <row r="1329" ht="22" customHeight="1" s="39"/>
    <row r="1330" ht="22" customHeight="1" s="39"/>
    <row r="1331" ht="22" customHeight="1" s="39"/>
    <row r="1332" ht="22" customHeight="1" s="39"/>
    <row r="1333" ht="22" customHeight="1" s="39"/>
    <row r="1334" ht="22" customHeight="1" s="39"/>
    <row r="1335" ht="22" customHeight="1" s="39"/>
    <row r="1336" ht="22" customHeight="1" s="39"/>
    <row r="1337" ht="22" customHeight="1" s="39"/>
    <row r="1338" ht="22" customHeight="1" s="39"/>
    <row r="1339" ht="22" customHeight="1" s="39"/>
    <row r="1340" ht="22" customHeight="1" s="39"/>
    <row r="1341" ht="22" customHeight="1" s="39"/>
    <row r="1342" ht="22" customHeight="1" s="39"/>
    <row r="1343" ht="22" customHeight="1" s="39"/>
    <row r="1344" ht="22" customHeight="1" s="39"/>
    <row r="1345" ht="22" customHeight="1" s="39"/>
    <row r="1346" ht="22" customHeight="1" s="39"/>
    <row r="1347" ht="22" customHeight="1" s="39"/>
    <row r="1348" ht="22" customHeight="1" s="39"/>
    <row r="1349" ht="22" customHeight="1" s="39"/>
    <row r="1350" ht="22" customHeight="1" s="39"/>
    <row r="1351" ht="22" customHeight="1" s="39"/>
    <row r="1352" ht="22" customHeight="1" s="39"/>
    <row r="1353" ht="22" customHeight="1" s="39"/>
    <row r="1354" ht="22" customHeight="1" s="39"/>
    <row r="1355" ht="22" customHeight="1" s="39"/>
    <row r="1356" ht="22" customHeight="1" s="39"/>
    <row r="1357" ht="22" customHeight="1" s="39"/>
    <row r="1358" ht="22" customHeight="1" s="39"/>
    <row r="1359" ht="22" customHeight="1" s="39"/>
    <row r="1360" ht="22" customHeight="1" s="39"/>
    <row r="1361" ht="22" customHeight="1" s="39"/>
    <row r="1362" ht="22" customHeight="1" s="39"/>
    <row r="1363" ht="22" customHeight="1" s="39"/>
    <row r="1364" ht="22" customHeight="1" s="39"/>
    <row r="1365" ht="22" customHeight="1" s="39"/>
    <row r="1366" ht="22" customHeight="1" s="39"/>
    <row r="1367" ht="22" customHeight="1" s="39"/>
    <row r="1368" ht="22" customHeight="1" s="39"/>
    <row r="1369" ht="22" customHeight="1" s="39"/>
    <row r="1370" ht="22" customHeight="1" s="39"/>
    <row r="1371" ht="22" customHeight="1" s="39"/>
    <row r="1372" ht="22" customHeight="1" s="39"/>
    <row r="1373" ht="22" customHeight="1" s="39"/>
    <row r="1374" ht="22" customHeight="1" s="39"/>
    <row r="1375" ht="22" customHeight="1" s="39"/>
    <row r="1376" ht="22" customHeight="1" s="39"/>
    <row r="1377" ht="22" customHeight="1" s="39"/>
    <row r="1378" ht="22" customHeight="1" s="39"/>
    <row r="1379" ht="22" customHeight="1" s="39"/>
    <row r="1380" ht="22" customHeight="1" s="39"/>
    <row r="1381" ht="22" customHeight="1" s="39"/>
    <row r="1382" ht="22" customHeight="1" s="39"/>
    <row r="1383" ht="22" customHeight="1" s="39"/>
    <row r="1384" ht="22" customHeight="1" s="39"/>
    <row r="1385" ht="22" customHeight="1" s="39"/>
    <row r="1386" ht="22" customHeight="1" s="39"/>
    <row r="1387" ht="22" customHeight="1" s="39"/>
    <row r="1388" ht="22" customHeight="1" s="39"/>
    <row r="1389" ht="22" customHeight="1" s="39"/>
    <row r="1390" ht="22" customHeight="1" s="39"/>
    <row r="1391" ht="22" customHeight="1" s="39"/>
    <row r="1392" ht="22" customHeight="1" s="39"/>
    <row r="1393" ht="22" customHeight="1" s="39"/>
    <row r="1394" ht="22" customHeight="1" s="39"/>
    <row r="1395" ht="22" customHeight="1" s="39"/>
    <row r="1396" ht="22" customHeight="1" s="39"/>
    <row r="1397" ht="22" customHeight="1" s="39"/>
    <row r="1398" ht="22" customHeight="1" s="39"/>
    <row r="1399" ht="22" customHeight="1" s="39"/>
    <row r="1400" ht="22" customHeight="1" s="39"/>
    <row r="1401" ht="22" customHeight="1" s="39"/>
  </sheetData>
  <mergeCells count="2">
    <mergeCell ref="A2:AY2"/>
    <mergeCell ref="A1:AY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:J1"/>
    </sheetView>
  </sheetViews>
  <sheetFormatPr baseColWidth="8" defaultColWidth="9" defaultRowHeight="13.8"/>
  <cols>
    <col width="8" customWidth="1" style="39" min="1" max="1"/>
    <col width="16" customWidth="1" style="39" min="2" max="2"/>
    <col width="24" customWidth="1" style="39" min="3" max="3"/>
    <col width="29" customWidth="1" style="39" min="4" max="4"/>
    <col width="48" customWidth="1" style="39" min="5" max="5"/>
    <col width="12" customWidth="1" style="39" min="6" max="9"/>
    <col width="90" customWidth="1" style="39" min="10" max="10"/>
  </cols>
  <sheetData>
    <row r="1" ht="28" customHeight="1" s="39">
      <c r="A1" s="1" t="inlineStr">
        <is>
          <t>V4更新日志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6" customHeight="1" s="39">
      <c r="A3" s="3" t="inlineStr">
        <is>
          <t>序号</t>
        </is>
      </c>
      <c r="B3" s="3" t="inlineStr">
        <is>
          <t>更新时间</t>
        </is>
      </c>
      <c r="C3" s="3" t="inlineStr">
        <is>
          <t>覆盖日期</t>
        </is>
      </c>
      <c r="D3" s="3" t="inlineStr">
        <is>
          <t>模型</t>
        </is>
      </c>
      <c r="E3" s="3" t="inlineStr">
        <is>
          <t>数据源</t>
        </is>
      </c>
      <c r="F3" s="3" t="inlineStr">
        <is>
          <t>候选场次</t>
        </is>
      </c>
      <c r="G3" s="3" t="inlineStr">
        <is>
          <t>已结算</t>
        </is>
      </c>
      <c r="H3" s="3" t="inlineStr">
        <is>
          <t>未结算</t>
        </is>
      </c>
      <c r="I3" s="3" t="inlineStr">
        <is>
          <t>盈亏(u)</t>
        </is>
      </c>
      <c r="J3" s="3" t="inlineStr">
        <is>
          <t>说明</t>
        </is>
      </c>
    </row>
    <row r="4" ht="72" customHeight="1" s="39">
      <c r="A4" s="17" t="n">
        <v>1</v>
      </c>
      <c r="B4" s="17" t="inlineStr">
        <is>
          <t>2026-09-15</t>
        </is>
      </c>
      <c r="C4" s="17" t="inlineStr">
        <is>
          <t>2026-09-13至2026-09-14</t>
        </is>
      </c>
      <c r="D4" s="17" t="inlineStr">
        <is>
          <t>v4-market-dirichlet-20260913</t>
        </is>
      </c>
      <c r="E4" s="17" t="inlineStr">
        <is>
          <t>https://simondongxiao.github.io/odds/v4/</t>
        </is>
      </c>
      <c r="F4" s="17" t="n">
        <v>52</v>
      </c>
      <c r="G4" s="17" t="n">
        <v>52</v>
      </c>
      <c r="H4" s="17" t="n">
        <v>0</v>
      </c>
      <c r="I4" s="44" t="n">
        <v>4.32</v>
      </c>
      <c r="J4" s="17" t="inlineStr">
        <is>
          <t>按GitHub最新版V4重建；仅A/B/C纳入候选。9/13为33场，9/14为19场；终场比分使用官方/赛事结果页交叉核对，亚盘按selected_handicap_signed重新结算。</t>
        </is>
      </c>
    </row>
    <row r="5" ht="72" customHeight="1" s="39">
      <c r="A5" s="17" t="n">
        <v>2</v>
      </c>
      <c r="B5" s="17" t="inlineStr">
        <is>
          <t>2026-09-16</t>
        </is>
      </c>
      <c r="C5" s="17" t="inlineStr">
        <is>
          <t>2026-09-15</t>
        </is>
      </c>
      <c r="D5" s="17" t="inlineStr">
        <is>
          <t>v4-market-dirichlet-20260913</t>
        </is>
      </c>
      <c r="E5" s="17" t="inlineStr">
        <is>
          <t>https://simondongxiao.github.io/odds/v4/</t>
        </is>
      </c>
      <c r="F5" s="17" t="n">
        <v>32</v>
      </c>
      <c r="G5" s="17" t="n">
        <v>32</v>
      </c>
      <c r="H5" s="17" t="n">
        <v>0</v>
      </c>
      <c r="I5" s="44" t="n">
        <v>0.41</v>
      </c>
      <c r="J5" s="17" t="inlineStr">
        <is>
          <t>新增A/B/C候选32场，含2场FROZEN_PREMATCH_DECISION。时间窗9/15 12:00至9/16 12:00。比分逐场独立核验。红15、半红0、走1、半黑3、黑13。历史52场保留。</t>
        </is>
      </c>
    </row>
    <row r="6" ht="72" customHeight="1" s="39">
      <c r="A6" s="17" t="n">
        <v>3</v>
      </c>
      <c r="B6" s="17" t="inlineStr">
        <is>
          <t>2026-09-17</t>
        </is>
      </c>
      <c r="C6" s="17" t="inlineStr">
        <is>
          <t>2026-09-16</t>
        </is>
      </c>
      <c r="D6" s="17" t="inlineStr">
        <is>
          <t>v4-market-dirichlet-20260913</t>
        </is>
      </c>
      <c r="E6" s="17" t="inlineStr">
        <is>
          <t>https://simondongxiao.github.io/odds/v4/</t>
        </is>
      </c>
      <c r="F6" s="17" t="n">
        <v>31</v>
      </c>
      <c r="G6" s="17" t="n">
        <v>29</v>
      </c>
      <c r="H6" s="17" t="n">
        <v>2</v>
      </c>
      <c r="I6" s="44" t="n">
        <v>-2.285</v>
      </c>
      <c r="J6" s="17" t="inlineStr">
        <is>
          <t>新增9/16 A/B/C候选31场，时间窗9/16 12:00至9/17 12:00；已结算29场，待结算2场。比分来源逐场记录于赛事明细T列；均注1u，红黑及ROI按真实水位重算。历史记录保留。</t>
        </is>
      </c>
    </row>
    <row r="7" ht="72" customHeight="1" s="39">
      <c r="A7" s="17" t="n">
        <v>4</v>
      </c>
      <c r="B7" s="17" t="inlineStr">
        <is>
          <t>2026-09-17</t>
        </is>
      </c>
      <c r="C7" s="17" t="inlineStr">
        <is>
          <t>2026-09-16</t>
        </is>
      </c>
      <c r="D7" s="17" t="inlineStr">
        <is>
          <t>v4-market-dirichlet-20260913</t>
        </is>
      </c>
      <c r="E7" s="17" t="inlineStr">
        <is>
          <t>https://simondongxiao.github.io/odds/v4/</t>
        </is>
      </c>
      <c r="F7" s="17" t="n">
        <v>31</v>
      </c>
      <c r="G7" s="17" t="n">
        <v>30</v>
      </c>
      <c r="H7" s="17" t="n">
        <v>1</v>
      </c>
      <c r="I7" s="44" t="n">
        <v>-1.77</v>
      </c>
      <c r="J7" s="17" t="inlineStr">
        <is>
          <t>新增9/16 A/B/C候选31场，时间窗9/16 12:00至9/17 12:00；已结算30场，待结算1场。比分来源逐场记录于赛事明细T列；均注1u，红黑及ROI按真实水位重算。历史记录保留。</t>
        </is>
      </c>
    </row>
    <row r="8" ht="72" customHeight="1" s="39">
      <c r="A8" s="17" t="n">
        <v>5</v>
      </c>
      <c r="B8" s="17" t="inlineStr">
        <is>
          <t>2026-09-21 10:51</t>
        </is>
      </c>
      <c r="C8" s="17" t="inlineStr">
        <is>
          <t>2026-09-13</t>
        </is>
      </c>
      <c r="D8" s="17" t="inlineStr">
        <is>
          <t>v4-market-dirichlet-20260913</t>
        </is>
      </c>
      <c r="E8" s="17" t="inlineStr">
        <is>
          <t>https://simondongxiao.github.io/odds/v4/</t>
        </is>
      </c>
      <c r="F8" s="17" t="n">
        <v>33</v>
      </c>
      <c r="G8" s="17" t="n">
        <v>33</v>
      </c>
      <c r="H8" s="17" t="n">
        <v>0</v>
      </c>
      <c r="I8" s="44" t="n">
        <v>-0.6850000000000001</v>
      </c>
      <c r="J8" s="17" t="inlineStr">
        <is>
          <t>按北京时间2026-09-13 12:00至次日12:00统计；A/B/C入选33场，已核实结算33场，待核0场；均注1u，实际比分来源记录于赛事明细T列，红黑按即时盘口与真实水位重算。</t>
        </is>
      </c>
    </row>
    <row r="9" ht="72" customHeight="1" s="39">
      <c r="A9" s="17" t="n">
        <v>6</v>
      </c>
      <c r="B9" s="17" t="inlineStr">
        <is>
          <t>2026-09-21 10:51</t>
        </is>
      </c>
      <c r="C9" s="17" t="inlineStr">
        <is>
          <t>2026-09-14</t>
        </is>
      </c>
      <c r="D9" s="17" t="inlineStr">
        <is>
          <t>v4-market-dirichlet-20260913</t>
        </is>
      </c>
      <c r="E9" s="17" t="inlineStr">
        <is>
          <t>https://simondongxiao.github.io/odds/v4/</t>
        </is>
      </c>
      <c r="F9" s="17" t="n">
        <v>19</v>
      </c>
      <c r="G9" s="17" t="n">
        <v>19</v>
      </c>
      <c r="H9" s="17" t="n">
        <v>0</v>
      </c>
      <c r="I9" s="44" t="n">
        <v>5.005</v>
      </c>
      <c r="J9" s="17" t="inlineStr">
        <is>
          <t>按北京时间2026-09-14 12:00至次日12:00统计；A/B/C入选19场，已核实结算19场，待核0场；均注1u，实际比分来源记录于赛事明细T列，红黑按即时盘口与真实水位重算。</t>
        </is>
      </c>
    </row>
    <row r="10" ht="72" customHeight="1" s="39">
      <c r="A10" s="17" t="n">
        <v>7</v>
      </c>
      <c r="B10" s="17" t="inlineStr">
        <is>
          <t>2026-09-21 10:51</t>
        </is>
      </c>
      <c r="C10" s="17" t="inlineStr">
        <is>
          <t>2026-09-15</t>
        </is>
      </c>
      <c r="D10" s="17" t="inlineStr">
        <is>
          <t>v4-market-dirichlet-20260913</t>
        </is>
      </c>
      <c r="E10" s="17" t="inlineStr">
        <is>
          <t>https://simondongxiao.github.io/odds/v4/</t>
        </is>
      </c>
      <c r="F10" s="17" t="n">
        <v>32</v>
      </c>
      <c r="G10" s="17" t="n">
        <v>32</v>
      </c>
      <c r="H10" s="17" t="n">
        <v>0</v>
      </c>
      <c r="I10" s="44" t="n">
        <v>0.41</v>
      </c>
      <c r="J10" s="17" t="inlineStr">
        <is>
          <t>按北京时间2026-09-15 12:00至次日12:00统计；A/B/C入选32场，已核实结算32场，待核0场；均注1u，实际比分来源记录于赛事明细T列，红黑按即时盘口与真实水位重算。</t>
        </is>
      </c>
    </row>
    <row r="11" ht="72" customHeight="1" s="39">
      <c r="A11" s="17" t="n">
        <v>8</v>
      </c>
      <c r="B11" s="17" t="inlineStr">
        <is>
          <t>2026-09-21 10:51</t>
        </is>
      </c>
      <c r="C11" s="17" t="inlineStr">
        <is>
          <t>2026-09-16</t>
        </is>
      </c>
      <c r="D11" s="17" t="inlineStr">
        <is>
          <t>v4-market-dirichlet-20260913</t>
        </is>
      </c>
      <c r="E11" s="17" t="inlineStr">
        <is>
          <t>https://simondongxiao.github.io/odds/v4/</t>
        </is>
      </c>
      <c r="F11" s="17" t="n">
        <v>31</v>
      </c>
      <c r="G11" s="17" t="n">
        <v>30</v>
      </c>
      <c r="H11" s="17" t="n">
        <v>1</v>
      </c>
      <c r="I11" s="44" t="n">
        <v>-1.77</v>
      </c>
      <c r="J11" s="17" t="inlineStr">
        <is>
          <t>按北京时间2026-09-16 12:00至次日12:00统计；A/B/C入选31场，已核实结算30场，待核1场；均注1u，实际比分来源记录于赛事明细T列，红黑按即时盘口与真实水位重算。</t>
        </is>
      </c>
    </row>
    <row r="12" ht="72" customHeight="1" s="39">
      <c r="A12" s="17" t="n">
        <v>9</v>
      </c>
      <c r="B12" s="17" t="inlineStr">
        <is>
          <t>2026-09-21 10:51</t>
        </is>
      </c>
      <c r="C12" s="17" t="inlineStr">
        <is>
          <t>2026-09-17</t>
        </is>
      </c>
      <c r="D12" s="17" t="inlineStr">
        <is>
          <t>v4-market-dirichlet-20260913</t>
        </is>
      </c>
      <c r="E12" s="17" t="inlineStr">
        <is>
          <t>https://simondongxiao.github.io/odds/v4/</t>
        </is>
      </c>
      <c r="F12" s="17" t="n">
        <v>19</v>
      </c>
      <c r="G12" s="17" t="n">
        <v>18</v>
      </c>
      <c r="H12" s="17" t="n">
        <v>1</v>
      </c>
      <c r="I12" s="44" t="n">
        <v>-0.38</v>
      </c>
      <c r="J12" s="17" t="inlineStr">
        <is>
          <t>按北京时间2026-09-17 12:00至次日12:00统计；A/B/C入选19场，已核实结算18场，待核1场；均注1u，实际比分来源记录于赛事明细T列，红黑按即时盘口与真实水位重算。</t>
        </is>
      </c>
    </row>
    <row r="13" ht="72" customHeight="1" s="39">
      <c r="A13" s="17" t="n">
        <v>10</v>
      </c>
      <c r="B13" s="17" t="inlineStr">
        <is>
          <t>2026-09-21 11:30</t>
        </is>
      </c>
      <c r="C13" s="17" t="inlineStr">
        <is>
          <t>2026-09-13</t>
        </is>
      </c>
      <c r="D13" s="17" t="inlineStr">
        <is>
          <t>v4-market-dirichlet-20260913</t>
        </is>
      </c>
      <c r="E13" s="17" t="inlineStr">
        <is>
          <t>https://simondongxiao.github.io/odds/v4/</t>
        </is>
      </c>
      <c r="F13" s="17" t="n">
        <v>33</v>
      </c>
      <c r="G13" s="17" t="n">
        <v>33</v>
      </c>
      <c r="H13" s="17" t="n">
        <v>0</v>
      </c>
      <c r="I13" s="44" t="n">
        <v>-0.6850000000000001</v>
      </c>
      <c r="J13" s="17" t="inlineStr">
        <is>
          <t>全表结算复核：按北京时间2026-09-13 12:00至次日12:00统计；A/B/C入选33场，已结算33场，待结算0场。修正投注方盘口符号映射后按即时亚盘和真实水位重算。</t>
        </is>
      </c>
    </row>
    <row r="14" ht="72" customHeight="1" s="39">
      <c r="A14" s="17" t="n">
        <v>11</v>
      </c>
      <c r="B14" s="17" t="inlineStr">
        <is>
          <t>2026-09-21 11:30</t>
        </is>
      </c>
      <c r="C14" s="17" t="inlineStr">
        <is>
          <t>2026-09-14</t>
        </is>
      </c>
      <c r="D14" s="17" t="inlineStr">
        <is>
          <t>v4-market-dirichlet-20260913</t>
        </is>
      </c>
      <c r="E14" s="17" t="inlineStr">
        <is>
          <t>https://simondongxiao.github.io/odds/v4/</t>
        </is>
      </c>
      <c r="F14" s="17" t="n">
        <v>19</v>
      </c>
      <c r="G14" s="17" t="n">
        <v>19</v>
      </c>
      <c r="H14" s="17" t="n">
        <v>0</v>
      </c>
      <c r="I14" s="44" t="n">
        <v>5.005</v>
      </c>
      <c r="J14" s="17" t="inlineStr">
        <is>
          <t>全表结算复核：按北京时间2026-09-14 12:00至次日12:00统计；A/B/C入选19场，已结算19场，待结算0场。修正投注方盘口符号映射后按即时亚盘和真实水位重算。</t>
        </is>
      </c>
    </row>
    <row r="15" ht="72" customHeight="1" s="39">
      <c r="A15" s="17" t="n">
        <v>12</v>
      </c>
      <c r="B15" s="17" t="inlineStr">
        <is>
          <t>2026-09-21 11:30</t>
        </is>
      </c>
      <c r="C15" s="17" t="inlineStr">
        <is>
          <t>2026-09-15</t>
        </is>
      </c>
      <c r="D15" s="17" t="inlineStr">
        <is>
          <t>v4-market-dirichlet-20260913</t>
        </is>
      </c>
      <c r="E15" s="17" t="inlineStr">
        <is>
          <t>https://simondongxiao.github.io/odds/v4/</t>
        </is>
      </c>
      <c r="F15" s="17" t="n">
        <v>32</v>
      </c>
      <c r="G15" s="17" t="n">
        <v>32</v>
      </c>
      <c r="H15" s="17" t="n">
        <v>0</v>
      </c>
      <c r="I15" s="44" t="n">
        <v>0.41</v>
      </c>
      <c r="J15" s="17" t="inlineStr">
        <is>
          <t>全表结算复核：按北京时间2026-09-15 12:00至次日12:00统计；A/B/C入选32场，已结算32场，待结算0场。修正投注方盘口符号映射后按即时亚盘和真实水位重算。</t>
        </is>
      </c>
    </row>
    <row r="16" ht="72" customHeight="1" s="39">
      <c r="A16" s="17" t="n">
        <v>13</v>
      </c>
      <c r="B16" s="17" t="inlineStr">
        <is>
          <t>2026-09-21 11:30</t>
        </is>
      </c>
      <c r="C16" s="17" t="inlineStr">
        <is>
          <t>2026-09-16</t>
        </is>
      </c>
      <c r="D16" s="17" t="inlineStr">
        <is>
          <t>v4-market-dirichlet-20260913</t>
        </is>
      </c>
      <c r="E16" s="17" t="inlineStr">
        <is>
          <t>https://simondongxiao.github.io/odds/v4/</t>
        </is>
      </c>
      <c r="F16" s="17" t="n">
        <v>31</v>
      </c>
      <c r="G16" s="17" t="n">
        <v>30</v>
      </c>
      <c r="H16" s="17" t="n">
        <v>1</v>
      </c>
      <c r="I16" s="44" t="n">
        <v>-1.77</v>
      </c>
      <c r="J16" s="17" t="inlineStr">
        <is>
          <t>全表结算复核：按北京时间2026-09-16 12:00至次日12:00统计；A/B/C入选31场，已结算30场，待结算1场。修正投注方盘口符号映射后按即时亚盘和真实水位重算。</t>
        </is>
      </c>
    </row>
    <row r="17" ht="72" customHeight="1" s="39">
      <c r="A17" s="17" t="n">
        <v>14</v>
      </c>
      <c r="B17" s="17" t="inlineStr">
        <is>
          <t>2026-09-21 11:30</t>
        </is>
      </c>
      <c r="C17" s="17" t="inlineStr">
        <is>
          <t>2026-09-17</t>
        </is>
      </c>
      <c r="D17" s="17" t="inlineStr">
        <is>
          <t>v4-market-dirichlet-20260913</t>
        </is>
      </c>
      <c r="E17" s="17" t="inlineStr">
        <is>
          <t>https://simondongxiao.github.io/odds/v4/</t>
        </is>
      </c>
      <c r="F17" s="17" t="n">
        <v>19</v>
      </c>
      <c r="G17" s="17" t="n">
        <v>18</v>
      </c>
      <c r="H17" s="17" t="n">
        <v>1</v>
      </c>
      <c r="I17" s="44" t="n">
        <v>-0.38</v>
      </c>
      <c r="J17" s="17" t="inlineStr">
        <is>
          <t>全表结算复核：按北京时间2026-09-17 12:00至次日12:00统计；A/B/C入选19场，已结算18场，待结算1场。修正投注方盘口符号映射后按即时亚盘和真实水位重算。</t>
        </is>
      </c>
    </row>
    <row r="18" ht="72" customHeight="1" s="39">
      <c r="A18" s="17" t="n">
        <v>15</v>
      </c>
      <c r="B18" s="17" t="inlineStr">
        <is>
          <t>2026-09-21 11:30</t>
        </is>
      </c>
      <c r="C18" s="17" t="inlineStr">
        <is>
          <t>2026-09-18</t>
        </is>
      </c>
      <c r="D18" s="17" t="inlineStr">
        <is>
          <t>v4-market-dirichlet-20260913</t>
        </is>
      </c>
      <c r="E18" s="17" t="inlineStr">
        <is>
          <t>https://simondongxiao.github.io/odds/v4/</t>
        </is>
      </c>
      <c r="F18" s="17" t="n">
        <v>55</v>
      </c>
      <c r="G18" s="17" t="n">
        <v>55</v>
      </c>
      <c r="H18" s="17" t="n">
        <v>0</v>
      </c>
      <c r="I18" s="44" t="n">
        <v>-11.705</v>
      </c>
      <c r="J18" s="17" t="inlineStr">
        <is>
          <t>全表结算复核：按北京时间2026-09-18 12:00至次日12:00统计；A/B/C入选55场，已结算55场，待结算0场。修正投注方盘口符号映射后按即时亚盘和真实水位重算。</t>
        </is>
      </c>
    </row>
    <row r="19" ht="72" customHeight="1" s="39">
      <c r="A19" s="17" t="n">
        <v>16</v>
      </c>
      <c r="B19" s="17" t="inlineStr">
        <is>
          <t>2026-09-21 11:30</t>
        </is>
      </c>
      <c r="C19" s="17" t="inlineStr">
        <is>
          <t>2026-09-19</t>
        </is>
      </c>
      <c r="D19" s="17" t="inlineStr">
        <is>
          <t>v4-market-dirichlet-20260913</t>
        </is>
      </c>
      <c r="E19" s="17" t="inlineStr">
        <is>
          <t>https://simondongxiao.github.io/odds/v4/</t>
        </is>
      </c>
      <c r="F19" s="17" t="n">
        <v>92</v>
      </c>
      <c r="G19" s="17" t="n">
        <v>92</v>
      </c>
      <c r="H19" s="17" t="n">
        <v>0</v>
      </c>
      <c r="I19" s="44" t="n">
        <v>-2.28</v>
      </c>
      <c r="J19" s="17" t="inlineStr">
        <is>
          <t>全表结算复核：按北京时间2026-09-19 12:00至次日12:00统计；A/B/C入选92场，已结算92场，待结算0场。修正投注方盘口符号映射后按即时亚盘和真实水位重算。</t>
        </is>
      </c>
    </row>
    <row r="20" ht="72" customHeight="1" s="39">
      <c r="A20" s="17" t="n">
        <v>17</v>
      </c>
      <c r="B20" s="17" t="inlineStr">
        <is>
          <t>2026-09-21 11:30</t>
        </is>
      </c>
      <c r="C20" s="17" t="inlineStr">
        <is>
          <t>2026-09-20</t>
        </is>
      </c>
      <c r="D20" s="17" t="inlineStr">
        <is>
          <t>v4-market-dirichlet-20260913</t>
        </is>
      </c>
      <c r="E20" s="17" t="inlineStr">
        <is>
          <t>https://simondongxiao.github.io/odds/v4/</t>
        </is>
      </c>
      <c r="F20" s="17" t="n">
        <v>67</v>
      </c>
      <c r="G20" s="17" t="n">
        <v>67</v>
      </c>
      <c r="H20" s="17" t="n">
        <v>0</v>
      </c>
      <c r="I20" s="44" t="n">
        <v>15.535</v>
      </c>
      <c r="J20" s="17" t="inlineStr">
        <is>
          <t>全表结算复核：按北京时间2026-09-20 12:00至次日12:00统计；A/B/C入选67场，已结算67场，待结算0场。修正投注方盘口符号映射后按即时亚盘和真实水位重算。</t>
        </is>
      </c>
    </row>
    <row r="21" ht="72" customHeight="1" s="39">
      <c r="A21" s="17" t="n">
        <v>18</v>
      </c>
      <c r="B21" s="17" t="inlineStr">
        <is>
          <t>2026-09-21 11:30</t>
        </is>
      </c>
      <c r="C21" s="17" t="inlineStr">
        <is>
          <t>2026-09-21</t>
        </is>
      </c>
      <c r="D21" s="17" t="inlineStr">
        <is>
          <t>v4-market-dirichlet-20260913</t>
        </is>
      </c>
      <c r="E21" s="17" t="inlineStr">
        <is>
          <t>https://simondongxiao.github.io/odds/v4/</t>
        </is>
      </c>
      <c r="F21" s="17" t="n">
        <v>12</v>
      </c>
      <c r="G21" s="17" t="n">
        <v>12</v>
      </c>
      <c r="H21" s="17" t="n">
        <v>0</v>
      </c>
      <c r="I21" s="44" t="n">
        <v>-4.68</v>
      </c>
      <c r="J21" s="17" t="inlineStr">
        <is>
          <t>全表结算复核：按北京时间2026-09-21 12:00至次日12:00统计；A/B/C入选3场，已结算0场，待结算3场。修正投注方盘口符号映射后按即时亚盘和真实水位重算。</t>
        </is>
      </c>
    </row>
    <row r="22" ht="60" customHeight="1" s="39">
      <c r="A22" s="14" t="n">
        <v>19</v>
      </c>
      <c r="B22" s="14" t="inlineStr">
        <is>
          <t>2026-09-22 10:42</t>
        </is>
      </c>
      <c r="C22" s="14" t="inlineStr">
        <is>
          <t>2026-09-21</t>
        </is>
      </c>
      <c r="D22" s="14" t="inlineStr">
        <is>
          <t>2026-09-22 10:42（北京时间）</t>
        </is>
      </c>
      <c r="E22" s="14" t="inlineStr">
        <is>
          <t>https://simondongxiao.github.io/odds/v4/</t>
        </is>
      </c>
      <c r="F22" s="14" t="n">
        <v>3</v>
      </c>
      <c r="G22" s="14" t="n">
        <v>3</v>
      </c>
      <c r="H22" s="14" t="n">
        <v>0</v>
      </c>
      <c r="I22" s="14" t="n">
        <v>-0.96</v>
      </c>
      <c r="J22" s="14" t="inlineStr">
        <is>
          <t>补齐2026-09-21已完场候选3场；比分来源写入赛事明细T列；按签名亚盘、真实投注水位和固定规则重算红黑及盈亏。</t>
        </is>
      </c>
    </row>
    <row r="23" ht="60" customHeight="1" s="39">
      <c r="A23" s="14" t="n">
        <v>20</v>
      </c>
      <c r="B23" s="14" t="inlineStr">
        <is>
          <t>2026-09-22 10:43</t>
        </is>
      </c>
      <c r="C23" s="14" t="inlineStr">
        <is>
          <t>2026-09-21</t>
        </is>
      </c>
      <c r="D23" s="14" t="inlineStr">
        <is>
          <t>2026-09-22 10:43（北京时间）</t>
        </is>
      </c>
      <c r="E23" s="14" t="inlineStr">
        <is>
          <t>https://simondongxiao.github.io/odds/v4/</t>
        </is>
      </c>
      <c r="F23" s="14" t="n">
        <v>3</v>
      </c>
      <c r="G23" s="14" t="n">
        <v>3</v>
      </c>
      <c r="H23" s="14" t="n">
        <v>0</v>
      </c>
      <c r="I23" s="14" t="n">
        <v>-0.96</v>
      </c>
      <c r="J23" s="14" t="inlineStr">
        <is>
          <t>补齐2026-09-21已完场候选3场；比分来源写入赛事明细T列；按签名亚盘、真实投注水位和固定规则重算红黑及盈亏。</t>
        </is>
      </c>
    </row>
    <row r="24">
      <c r="A24" s="0" t="n">
        <v>21</v>
      </c>
      <c r="B24" s="0" t="inlineStr">
        <is>
          <t>2026-09-23 11:06</t>
        </is>
      </c>
      <c r="C24" s="0" t="inlineStr">
        <is>
          <t>2026-09-22</t>
        </is>
      </c>
      <c r="D24" s="0" t="inlineStr">
        <is>
          <t>2026-09-23 11:06（北京时间）</t>
        </is>
      </c>
      <c r="E24" s="0" t="inlineStr">
        <is>
          <t>https://simondongxiao.github.io/odds/v4/</t>
        </is>
      </c>
      <c r="F24" s="0" t="n">
        <v>7</v>
      </c>
      <c r="G24" s="0" t="n">
        <v>6</v>
      </c>
      <c r="H24" s="0" t="n">
        <v>1</v>
      </c>
      <c r="I24" s="0" t="n">
        <v>4.87</v>
      </c>
      <c r="J24" s="0" t="inlineStr">
        <is>
          <t>新增2026-09-22最新候选7场；已结算6场；待结算1场；按签名亚盘和真实水位计算。</t>
        </is>
      </c>
    </row>
    <row r="25">
      <c r="A25" s="0" t="n">
        <v>22</v>
      </c>
      <c r="B25" s="0" t="inlineStr">
        <is>
          <t>2026-09-23 11:06</t>
        </is>
      </c>
      <c r="C25" s="0" t="inlineStr">
        <is>
          <t>2026-09-23</t>
        </is>
      </c>
      <c r="D25" s="0" t="inlineStr">
        <is>
          <t>2026-09-23 11:06（北京时间）</t>
        </is>
      </c>
      <c r="E25" s="0" t="inlineStr">
        <is>
          <t>https://simondongxiao.github.io/odds/v4/</t>
        </is>
      </c>
      <c r="F25" s="0" t="n">
        <v>12</v>
      </c>
      <c r="G25" s="0" t="n">
        <v>0</v>
      </c>
      <c r="H25" s="0" t="n">
        <v>12</v>
      </c>
      <c r="I25" s="0" t="n">
        <v>0</v>
      </c>
      <c r="J25" s="0" t="inlineStr">
        <is>
          <t>新增2026-09-23最新候选12场；已结算0场；待结算12场；按签名亚盘和真实水位计算。</t>
        </is>
      </c>
    </row>
    <row r="26">
      <c r="A26" s="0" t="n">
        <v>23</v>
      </c>
      <c r="B26" s="0" t="inlineStr">
        <is>
          <t>2026-09-23 11:07</t>
        </is>
      </c>
      <c r="C26" s="0" t="inlineStr">
        <is>
          <t>2026-09-22</t>
        </is>
      </c>
      <c r="D26" s="0" t="inlineStr">
        <is>
          <t>2026-09-23 11:07（北京时间）</t>
        </is>
      </c>
      <c r="E26" s="0" t="inlineStr">
        <is>
          <t>https://simondongxiao.github.io/odds/v4/</t>
        </is>
      </c>
      <c r="F26" s="0" t="n">
        <v>7</v>
      </c>
      <c r="G26" s="0" t="n">
        <v>6</v>
      </c>
      <c r="H26" s="0" t="n">
        <v>1</v>
      </c>
      <c r="I26" s="0" t="n">
        <v>4.87</v>
      </c>
      <c r="J26" s="0" t="inlineStr">
        <is>
          <t>新增2026-09-22最新候选7场；已结算6场；待结算1场；按签名亚盘和真实水位计算。</t>
        </is>
      </c>
    </row>
    <row r="27">
      <c r="A27" s="0" t="n">
        <v>24</v>
      </c>
      <c r="B27" s="0" t="inlineStr">
        <is>
          <t>2026-09-23 11:07</t>
        </is>
      </c>
      <c r="C27" s="0" t="inlineStr">
        <is>
          <t>2026-09-23</t>
        </is>
      </c>
      <c r="D27" s="0" t="inlineStr">
        <is>
          <t>2026-09-23 11:07（北京时间）</t>
        </is>
      </c>
      <c r="E27" s="0" t="inlineStr">
        <is>
          <t>https://simondongxiao.github.io/odds/v4/</t>
        </is>
      </c>
      <c r="F27" s="0" t="n">
        <v>12</v>
      </c>
      <c r="G27" s="0" t="n">
        <v>0</v>
      </c>
      <c r="H27" s="0" t="n">
        <v>12</v>
      </c>
      <c r="I27" s="0" t="n">
        <v>0</v>
      </c>
      <c r="J27" s="0" t="inlineStr">
        <is>
          <t>新增2026-09-23最新候选12场；已结算0场；待结算12场；按签名亚盘和真实水位计算。</t>
        </is>
      </c>
    </row>
    <row r="28">
      <c r="A28" s="0" t="n">
        <v>25</v>
      </c>
      <c r="B28" s="0" t="inlineStr">
        <is>
          <t>2026-09-23 11:10</t>
        </is>
      </c>
      <c r="C28" s="0" t="inlineStr">
        <is>
          <t>2026-09-22</t>
        </is>
      </c>
      <c r="D28" s="0" t="inlineStr">
        <is>
          <t>2026-09-23 11:10（北京时间）</t>
        </is>
      </c>
      <c r="E28" s="0" t="inlineStr">
        <is>
          <t>https://simondongxiao.github.io/odds/v4/</t>
        </is>
      </c>
      <c r="F28" s="0" t="n">
        <v>7</v>
      </c>
      <c r="G28" s="0" t="n">
        <v>6</v>
      </c>
      <c r="H28" s="0" t="n">
        <v>1</v>
      </c>
      <c r="I28" s="0" t="n">
        <v>4.87</v>
      </c>
      <c r="J28" s="0" t="inlineStr">
        <is>
          <t>新增2026-09-22最新候选7场；已结算6场；待结算1场；按签名亚盘和真实水位计算。</t>
        </is>
      </c>
    </row>
    <row r="29">
      <c r="A29" s="0" t="n">
        <v>26</v>
      </c>
      <c r="B29" s="0" t="inlineStr">
        <is>
          <t>2026-09-23 11:10</t>
        </is>
      </c>
      <c r="C29" s="0" t="inlineStr">
        <is>
          <t>2026-09-23</t>
        </is>
      </c>
      <c r="D29" s="0" t="inlineStr">
        <is>
          <t>2026-09-23 11:10（北京时间）</t>
        </is>
      </c>
      <c r="E29" s="0" t="inlineStr">
        <is>
          <t>https://simondongxiao.github.io/odds/v4/</t>
        </is>
      </c>
      <c r="F29" s="0" t="n">
        <v>24</v>
      </c>
      <c r="G29" s="0" t="n">
        <v>24</v>
      </c>
      <c r="H29" s="0" t="n">
        <v>0</v>
      </c>
      <c r="I29" s="0" t="n">
        <v>-4.53</v>
      </c>
      <c r="J29" s="0" t="inlineStr">
        <is>
          <t>按北京时间12:00–次日12:00记账；本次复核2026-09-23页面候选，已结算24场，待结算0场；按实际投注水位计算盈亏。</t>
        </is>
      </c>
    </row>
    <row r="30">
      <c r="A30" s="0" t="n">
        <v>27</v>
      </c>
      <c r="B30" s="0" t="inlineStr">
        <is>
          <t>2026-09-28 09:49</t>
        </is>
      </c>
      <c r="C30" s="0" t="inlineStr">
        <is>
          <t>2026-09-24</t>
        </is>
      </c>
      <c r="D30" s="0" t="inlineStr">
        <is>
          <t>v4-market-dirichlet-20260913</t>
        </is>
      </c>
      <c r="E30" s="0" t="inlineStr">
        <is>
          <t>https://simondongxiao.github.io/odds/v4/</t>
        </is>
      </c>
      <c r="F30" s="0" t="n">
        <v>13</v>
      </c>
      <c r="G30" s="0" t="n">
        <v>13</v>
      </c>
      <c r="H30" s="0" t="n">
        <v>0</v>
      </c>
      <c r="I30" s="0" t="n">
        <v>3.095</v>
      </c>
      <c r="J30" s="0" t="inlineStr">
        <is>
          <t>按北京时间12:00–次日12:00记账；本次复核2026-09-24页面候选，已结算13场，待结算0场；按实际投注水位计算盈亏。</t>
        </is>
      </c>
    </row>
    <row r="31">
      <c r="A31" s="0" t="n">
        <v>28</v>
      </c>
      <c r="B31" s="0" t="inlineStr">
        <is>
          <t>2026-09-28 09:49</t>
        </is>
      </c>
      <c r="C31" s="0" t="inlineStr">
        <is>
          <t>2026-09-25</t>
        </is>
      </c>
      <c r="D31" s="0" t="inlineStr">
        <is>
          <t>v4-market-dirichlet-20260913</t>
        </is>
      </c>
      <c r="E31" s="0" t="inlineStr">
        <is>
          <t>https://simondongxiao.github.io/odds/v4/</t>
        </is>
      </c>
      <c r="F31" s="0" t="n">
        <v>21</v>
      </c>
      <c r="G31" s="0" t="n">
        <v>20</v>
      </c>
      <c r="H31" s="0" t="n">
        <v>1</v>
      </c>
      <c r="I31" s="0" t="n">
        <v>-5.76</v>
      </c>
      <c r="J31" s="0" t="inlineStr">
        <is>
          <t>按北京时间12:00–次日12:00记账；本次复核2026-09-25页面候选，已结算20场，待结算1场；按实际投注水位计算盈亏。</t>
        </is>
      </c>
    </row>
    <row r="32">
      <c r="A32" s="0" t="n">
        <v>29</v>
      </c>
      <c r="B32" s="0" t="inlineStr">
        <is>
          <t>2026-09-28 09:49</t>
        </is>
      </c>
      <c r="C32" s="0" t="inlineStr">
        <is>
          <t>2026-09-26</t>
        </is>
      </c>
      <c r="D32" s="0" t="inlineStr">
        <is>
          <t>v4-market-dirichlet-20260913</t>
        </is>
      </c>
      <c r="E32" s="0" t="inlineStr">
        <is>
          <t>https://simondongxiao.github.io/odds/v4/</t>
        </is>
      </c>
      <c r="F32" s="0" t="n">
        <v>36</v>
      </c>
      <c r="G32" s="0" t="n">
        <v>32</v>
      </c>
      <c r="H32" s="0" t="n">
        <v>4</v>
      </c>
      <c r="I32" s="0" t="n">
        <v>-2.48</v>
      </c>
      <c r="J32" s="0" t="inlineStr">
        <is>
          <t>按北京时间12:00–次日12:00记账；本次复核2026-09-26页面候选，已结算32场，待结算4场；按实际投注水位计算盈亏。</t>
        </is>
      </c>
    </row>
    <row r="33">
      <c r="A33" s="0" t="n">
        <v>33</v>
      </c>
      <c r="B33" s="0" t="inlineStr">
        <is>
          <t>2026-09-29 14:00（北京时间）</t>
        </is>
      </c>
      <c r="C33" s="0" t="inlineStr">
        <is>
          <t>2026-09-16至2026-09-29</t>
        </is>
      </c>
      <c r="D33" s="0" t="inlineStr">
        <is>
          <t>v4-market-dirichlet-20260913</t>
        </is>
      </c>
      <c r="E33" s="0" t="inlineStr">
        <is>
          <t>多来源比分页/官方赛事页</t>
        </is>
      </c>
      <c r="F33" s="0" t="n">
        <v>15</v>
      </c>
      <c r="G33" s="0" t="n">
        <v>15</v>
      </c>
      <c r="H33" s="0" t="n">
        <v>2</v>
      </c>
      <c r="I33" s="0" t="n">
        <v>-2.355</v>
      </c>
      <c r="J33" s="0" t="inlineStr">
        <is>
          <t>补录并复核15场待结算赛事比分及红黑；智利杯按90分钟0-0结算（点球不计入亚盘）；剩余2场（塔巴蒂奥 vs 帕蒂特兰德莫雷洛斯、贾奎斯 vs 帕尔梅拉斯港）公开比分源仍未发布最终比分，暂保留待结算。</t>
        </is>
      </c>
    </row>
    <row r="34">
      <c r="A34" s="0" t="n">
        <v>34</v>
      </c>
      <c r="B34" s="0" t="inlineStr">
        <is>
          <t>2026-09-30 10:00（北京时间）</t>
        </is>
      </c>
      <c r="C34" s="0" t="inlineStr">
        <is>
          <t>2026-09-29</t>
        </is>
      </c>
      <c r="D34" s="0" t="inlineStr">
        <is>
          <t>2026-09-30复核（北京时间）</t>
        </is>
      </c>
      <c r="E34" s="0" t="inlineStr">
        <is>
          <t>https://simondongxiao.github.io/odds/v4/</t>
        </is>
      </c>
      <c r="F34" s="0" t="n">
        <v>0</v>
      </c>
      <c r="G34" s="0" t="n">
        <v>0</v>
      </c>
      <c r="H34" s="0" t="n">
        <v>0</v>
      </c>
      <c r="I34" s="0" t="n">
        <v>0</v>
      </c>
      <c r="J34" s="0" t="inlineStr">
        <is>
          <t>按skill复核9/29页面：206场原始赛事，0场A/B/C候选；全部为数据缺失或未形成模型候选，不新增投注明细，原总账保持不变。</t>
        </is>
      </c>
    </row>
    <row r="35">
      <c r="A35" s="0" t="n">
        <v>32</v>
      </c>
      <c r="B35" s="0" t="inlineStr">
        <is>
          <t>2026-09-29 13:17</t>
        </is>
      </c>
      <c r="C35" s="0" t="inlineStr">
        <is>
          <t>2026-09-29</t>
        </is>
      </c>
      <c r="D35" s="0" t="inlineStr">
        <is>
          <t>2026-09-29 13:17（北京时间）</t>
        </is>
      </c>
      <c r="E35" s="0" t="inlineStr">
        <is>
          <t>https://simondongxiao.github.io/odds/v4/</t>
        </is>
      </c>
      <c r="F35" s="0" t="n">
        <v>0</v>
      </c>
      <c r="G35" s="0" t="n">
        <v>0</v>
      </c>
      <c r="H35" s="0" t="n">
        <v>0</v>
      </c>
      <c r="I35" s="0" t="n">
        <v>0</v>
      </c>
      <c r="J35" s="0" t="inlineStr">
        <is>
          <t>按skill读取V4 2026-09-29页面：共206场原始赛事，均为数据缺失/未形成A、B、C候选；本次不补造盘口，不新增明细，待页面补齐赔率后再更新。</t>
        </is>
      </c>
    </row>
    <row r="36" ht="72" customHeight="1" s="39">
      <c r="A36" s="14" t="n">
        <v>35</v>
      </c>
      <c r="B36" s="14" t="inlineStr">
        <is>
          <t>2026-09-30 11:16</t>
        </is>
      </c>
      <c r="C36" s="14" t="inlineStr">
        <is>
          <t>2026-09-29</t>
        </is>
      </c>
      <c r="D36" s="14" t="inlineStr">
        <is>
          <t>v4-market-dirichlet-20260913</t>
        </is>
      </c>
      <c r="E36" s="14" t="inlineStr">
        <is>
          <t>https://simondongxiao.github.io/odds/v4/</t>
        </is>
      </c>
      <c r="F36" s="14" t="n">
        <v>23</v>
      </c>
      <c r="G36" s="14" t="n">
        <v>22</v>
      </c>
      <c r="H36" s="14" t="n">
        <v>1</v>
      </c>
      <c r="I36" s="48" t="n">
        <v>2.095</v>
      </c>
      <c r="J36" s="14" t="inlineStr">
        <is>
          <t>纠正旧快照读取错误：重新读取当前GitHub V4数据文件并补录9/29；新增23场A/B/C候选，行高统一22。比分/结算按当前页面字段重算。</t>
        </is>
      </c>
    </row>
    <row r="37" ht="72" customHeight="1" s="39">
      <c r="A37" s="14" t="n">
        <v>36</v>
      </c>
      <c r="B37" s="14" t="inlineStr">
        <is>
          <t>2026-10-04 12:30</t>
        </is>
      </c>
      <c r="C37" s="14" t="inlineStr">
        <is>
          <t>2026-09-30至2026-10-04</t>
        </is>
      </c>
      <c r="D37" s="14" t="inlineStr">
        <is>
          <t>2026-10-04 12:30（北京时间）</t>
        </is>
      </c>
      <c r="E37" s="14" t="inlineStr">
        <is>
          <t>Titan007冻结JSON + 结果回填</t>
        </is>
      </c>
      <c r="F37" s="14" t="n">
        <v>480</v>
      </c>
      <c r="G37" s="14" t="n">
        <v>135</v>
      </c>
      <c r="H37" s="14" t="n">
        <v>345</v>
      </c>
      <c r="I37" s="48">
        <f>SUMIFS(赛事明细!$S$4:$S$2000,赛事明细!$P$4:$P$2000,"已结算")</f>
        <v/>
      </c>
      <c r="J37" s="14" t="inlineStr">
        <is>
          <t>9/30至10/4增量；已有比赛只回填比分、状态、结算、PnL和来源；缺失字段留空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0"/>
  <sheetViews>
    <sheetView workbookViewId="0">
      <selection activeCell="A1" sqref="A1:L1"/>
    </sheetView>
  </sheetViews>
  <sheetFormatPr baseColWidth="8" defaultColWidth="9" defaultRowHeight="13.8"/>
  <cols>
    <col width="27" customWidth="1" style="39" min="1" max="1"/>
    <col width="11" customWidth="1" style="39" min="2" max="2"/>
    <col width="12" customWidth="1" style="39" min="3" max="4"/>
    <col width="9" customWidth="1" style="39" min="5" max="9"/>
    <col width="14" customWidth="1" style="39" min="10" max="10"/>
    <col width="13" customWidth="1" style="39" min="11" max="11"/>
    <col width="12" customWidth="1" style="39" min="12" max="12"/>
  </cols>
  <sheetData>
    <row r="1" ht="28" customHeight="1" s="39">
      <c r="A1" s="1" t="inlineStr">
        <is>
          <t>V4赛事分类统计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3" customHeight="1" s="39">
      <c r="A3" s="5" t="inlineStr">
        <is>
          <t>地区统计</t>
        </is>
      </c>
    </row>
    <row r="4" ht="26" customHeight="1" s="39">
      <c r="A4" s="3" t="inlineStr">
        <is>
          <t>分类</t>
        </is>
      </c>
      <c r="B4" s="3" t="inlineStr">
        <is>
          <t>候选</t>
        </is>
      </c>
      <c r="C4" s="3" t="inlineStr">
        <is>
          <t>已结算</t>
        </is>
      </c>
      <c r="D4" s="3" t="inlineStr">
        <is>
          <t>未结算</t>
        </is>
      </c>
      <c r="E4" s="3" t="inlineStr">
        <is>
          <t>红</t>
        </is>
      </c>
      <c r="F4" s="3" t="inlineStr">
        <is>
          <t>半红</t>
        </is>
      </c>
      <c r="G4" s="3" t="inlineStr">
        <is>
          <t>走</t>
        </is>
      </c>
      <c r="H4" s="3" t="inlineStr">
        <is>
          <t>半黑</t>
        </is>
      </c>
      <c r="I4" s="3" t="inlineStr">
        <is>
          <t>黑</t>
        </is>
      </c>
      <c r="J4" s="3" t="inlineStr">
        <is>
          <t>有效胜率</t>
        </is>
      </c>
      <c r="K4" s="3" t="inlineStr">
        <is>
          <t>盈亏(u)</t>
        </is>
      </c>
      <c r="L4" s="3" t="inlineStr">
        <is>
          <t>ROI</t>
        </is>
      </c>
    </row>
    <row r="5" ht="22" customHeight="1" s="39">
      <c r="A5" s="6" t="inlineStr">
        <is>
          <t>亚冠独立赛事</t>
        </is>
      </c>
      <c r="B5" s="6" t="n">
        <v>3</v>
      </c>
      <c r="C5" s="6" t="n">
        <v>3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3</v>
      </c>
      <c r="J5" s="50" t="n">
        <v>0</v>
      </c>
      <c r="K5" s="51" t="n">
        <v>-3</v>
      </c>
      <c r="L5" s="50" t="n">
        <v>-1</v>
      </c>
    </row>
    <row r="6" ht="22" customHeight="1" s="39">
      <c r="A6" s="6" t="inlineStr">
        <is>
          <t>亚冠精英独立赛事</t>
        </is>
      </c>
      <c r="B6" s="6" t="n">
        <v>4</v>
      </c>
      <c r="C6" s="6" t="n">
        <v>4</v>
      </c>
      <c r="D6" s="6" t="n">
        <v>0</v>
      </c>
      <c r="E6" s="6" t="n">
        <v>2</v>
      </c>
      <c r="F6" s="6" t="n">
        <v>0</v>
      </c>
      <c r="G6" s="6" t="n">
        <v>0</v>
      </c>
      <c r="H6" s="6" t="n">
        <v>0</v>
      </c>
      <c r="I6" s="6" t="n">
        <v>2</v>
      </c>
      <c r="J6" s="50" t="n">
        <v>0.5</v>
      </c>
      <c r="K6" s="51" t="n">
        <v>0</v>
      </c>
      <c r="L6" s="50" t="n">
        <v>0</v>
      </c>
    </row>
    <row r="7" ht="22" customHeight="1" s="39">
      <c r="A7" s="6" t="inlineStr">
        <is>
          <t>亚运会足球独立赛事</t>
        </is>
      </c>
      <c r="B7" s="6" t="n">
        <v>4</v>
      </c>
      <c r="C7" s="6" t="n">
        <v>2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1</v>
      </c>
      <c r="J7" s="50" t="n">
        <v>0.5</v>
      </c>
      <c r="K7" s="51" t="n">
        <v>-0.14</v>
      </c>
      <c r="L7" s="50" t="n">
        <v>-0.07000000000000001</v>
      </c>
    </row>
    <row r="8" ht="22" customHeight="1" s="39">
      <c r="A8" s="6" t="inlineStr">
        <is>
          <t>其他系列</t>
        </is>
      </c>
      <c r="B8" s="6" t="n">
        <v>109</v>
      </c>
      <c r="C8" s="6" t="n">
        <v>107</v>
      </c>
      <c r="D8" s="6" t="n">
        <v>2</v>
      </c>
      <c r="E8" s="6" t="n">
        <v>40</v>
      </c>
      <c r="F8" s="6" t="n">
        <v>9</v>
      </c>
      <c r="G8" s="6" t="n">
        <v>8</v>
      </c>
      <c r="H8" s="6" t="n">
        <v>7</v>
      </c>
      <c r="I8" s="6" t="n">
        <v>43</v>
      </c>
      <c r="J8" s="50" t="n">
        <v>0.489010989010989</v>
      </c>
      <c r="K8" s="51" t="n">
        <v>-1.835</v>
      </c>
      <c r="L8" s="50" t="n">
        <v>-0.0171495327102804</v>
      </c>
    </row>
    <row r="9" ht="22" customHeight="1" s="39">
      <c r="A9" s="6" t="inlineStr">
        <is>
          <t>北美系列</t>
        </is>
      </c>
      <c r="B9" s="6" t="n">
        <v>10</v>
      </c>
      <c r="C9" s="6" t="n">
        <v>10</v>
      </c>
      <c r="D9" s="6" t="n">
        <v>0</v>
      </c>
      <c r="E9" s="6" t="n">
        <v>7</v>
      </c>
      <c r="F9" s="6" t="n">
        <v>0</v>
      </c>
      <c r="G9" s="6" t="n">
        <v>0</v>
      </c>
      <c r="H9" s="6" t="n">
        <v>0</v>
      </c>
      <c r="I9" s="6" t="n">
        <v>3</v>
      </c>
      <c r="J9" s="50" t="n">
        <v>0.7</v>
      </c>
      <c r="K9" s="51" t="n">
        <v>4.11</v>
      </c>
      <c r="L9" s="50" t="n">
        <v>0.411</v>
      </c>
    </row>
    <row r="10" ht="22" customHeight="1" s="39">
      <c r="A10" s="6" t="inlineStr">
        <is>
          <t>南美系列</t>
        </is>
      </c>
      <c r="B10" s="6" t="n">
        <v>33</v>
      </c>
      <c r="C10" s="6" t="n">
        <v>32</v>
      </c>
      <c r="D10" s="6" t="n">
        <v>1</v>
      </c>
      <c r="E10" s="6" t="n">
        <v>10</v>
      </c>
      <c r="F10" s="6" t="n">
        <v>3</v>
      </c>
      <c r="G10" s="6" t="n">
        <v>2</v>
      </c>
      <c r="H10" s="6" t="n">
        <v>2</v>
      </c>
      <c r="I10" s="6" t="n">
        <v>15</v>
      </c>
      <c r="J10" s="50" t="n">
        <v>0.418181818181818</v>
      </c>
      <c r="K10" s="51" t="n">
        <v>-4.08</v>
      </c>
      <c r="L10" s="50" t="n">
        <v>-0.1275</v>
      </c>
    </row>
    <row r="11" ht="22" customHeight="1" s="39">
      <c r="A11" s="6" t="inlineStr">
        <is>
          <t>日韩系列</t>
        </is>
      </c>
      <c r="B11" s="6" t="n">
        <v>13</v>
      </c>
      <c r="C11" s="6" t="n">
        <v>13</v>
      </c>
      <c r="D11" s="6" t="n">
        <v>0</v>
      </c>
      <c r="E11" s="6" t="n">
        <v>6</v>
      </c>
      <c r="F11" s="6" t="n">
        <v>1</v>
      </c>
      <c r="G11" s="6" t="n">
        <v>1</v>
      </c>
      <c r="H11" s="6" t="n">
        <v>0</v>
      </c>
      <c r="I11" s="6" t="n">
        <v>5</v>
      </c>
      <c r="J11" s="50" t="n">
        <v>0.565217391304348</v>
      </c>
      <c r="K11" s="51" t="n">
        <v>1.655</v>
      </c>
      <c r="L11" s="50" t="n">
        <v>0.127307692307692</v>
      </c>
    </row>
    <row r="12" ht="22" customHeight="1" s="39">
      <c r="A12" s="6" t="inlineStr">
        <is>
          <t>欧洲五大系列</t>
        </is>
      </c>
      <c r="B12" s="6" t="n">
        <v>78</v>
      </c>
      <c r="C12" s="6" t="n">
        <v>78</v>
      </c>
      <c r="D12" s="6" t="n">
        <v>0</v>
      </c>
      <c r="E12" s="6" t="n">
        <v>33</v>
      </c>
      <c r="F12" s="6" t="n">
        <v>6</v>
      </c>
      <c r="G12" s="6" t="n">
        <v>2</v>
      </c>
      <c r="H12" s="6" t="n">
        <v>11</v>
      </c>
      <c r="I12" s="6" t="n">
        <v>26</v>
      </c>
      <c r="J12" s="50" t="n">
        <v>0.533333333333333</v>
      </c>
      <c r="K12" s="51" t="n">
        <v>5.405</v>
      </c>
      <c r="L12" s="50" t="n">
        <v>0.0692948717948718</v>
      </c>
    </row>
    <row r="13" ht="22" customHeight="1" s="39">
      <c r="A13" s="6" t="inlineStr">
        <is>
          <t>欧洲非五大系列</t>
        </is>
      </c>
      <c r="B13" s="6" t="n">
        <v>83</v>
      </c>
      <c r="C13" s="6" t="n">
        <v>83</v>
      </c>
      <c r="D13" s="6" t="n">
        <v>0</v>
      </c>
      <c r="E13" s="6" t="n">
        <v>37</v>
      </c>
      <c r="F13" s="6" t="n">
        <v>7</v>
      </c>
      <c r="G13" s="6" t="n">
        <v>2</v>
      </c>
      <c r="H13" s="6" t="n">
        <v>2</v>
      </c>
      <c r="I13" s="6" t="n">
        <v>35</v>
      </c>
      <c r="J13" s="50" t="n">
        <v>0.529411764705882</v>
      </c>
      <c r="K13" s="51" t="n">
        <v>4.885</v>
      </c>
      <c r="L13" s="50" t="n">
        <v>0.058855421686747</v>
      </c>
    </row>
    <row r="14" ht="22" customHeight="1" s="39">
      <c r="A14" s="6" t="inlineStr">
        <is>
          <t>欧联独立赛事</t>
        </is>
      </c>
      <c r="B14" s="6" t="n">
        <v>8</v>
      </c>
      <c r="C14" s="6" t="n">
        <v>8</v>
      </c>
      <c r="D14" s="6" t="n">
        <v>0</v>
      </c>
      <c r="E14" s="6" t="n">
        <v>3</v>
      </c>
      <c r="F14" s="6" t="n">
        <v>0</v>
      </c>
      <c r="G14" s="6" t="n">
        <v>0</v>
      </c>
      <c r="H14" s="6" t="n">
        <v>1</v>
      </c>
      <c r="I14" s="6" t="n">
        <v>4</v>
      </c>
      <c r="J14" s="50" t="n">
        <v>0.4</v>
      </c>
      <c r="K14" s="51" t="n">
        <v>-1.49</v>
      </c>
      <c r="L14" s="50" t="n">
        <v>-0.18625</v>
      </c>
    </row>
    <row r="15" ht="22" customHeight="1" s="39">
      <c r="A15" s="6" t="inlineStr">
        <is>
          <t>西亚/中亚系列</t>
        </is>
      </c>
      <c r="B15" s="6" t="n">
        <v>6</v>
      </c>
      <c r="C15" s="6" t="n">
        <v>6</v>
      </c>
      <c r="D15" s="6" t="n">
        <v>0</v>
      </c>
      <c r="E15" s="6" t="n">
        <v>1</v>
      </c>
      <c r="F15" s="6" t="n">
        <v>1</v>
      </c>
      <c r="G15" s="6" t="n">
        <v>1</v>
      </c>
      <c r="H15" s="6" t="n">
        <v>0</v>
      </c>
      <c r="I15" s="6" t="n">
        <v>3</v>
      </c>
      <c r="J15" s="50" t="n">
        <v>0.333333333333333</v>
      </c>
      <c r="K15" s="51" t="n">
        <v>-1.38</v>
      </c>
      <c r="L15" s="50" t="n">
        <v>-0.23</v>
      </c>
    </row>
    <row r="16" ht="22" customHeight="1" s="39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 ht="23" customHeight="1" s="39">
      <c r="A17" s="5" t="inlineStr">
        <is>
          <t>赛事类型统计</t>
        </is>
      </c>
    </row>
    <row r="18" ht="26" customHeight="1" s="39">
      <c r="A18" s="3" t="inlineStr">
        <is>
          <t>分类</t>
        </is>
      </c>
      <c r="B18" s="3" t="inlineStr">
        <is>
          <t>候选</t>
        </is>
      </c>
      <c r="C18" s="3" t="inlineStr">
        <is>
          <t>已结算</t>
        </is>
      </c>
      <c r="D18" s="3" t="inlineStr">
        <is>
          <t>未结算</t>
        </is>
      </c>
      <c r="E18" s="3" t="inlineStr">
        <is>
          <t>红</t>
        </is>
      </c>
      <c r="F18" s="3" t="inlineStr">
        <is>
          <t>半红</t>
        </is>
      </c>
      <c r="G18" s="3" t="inlineStr">
        <is>
          <t>走</t>
        </is>
      </c>
      <c r="H18" s="3" t="inlineStr">
        <is>
          <t>半黑</t>
        </is>
      </c>
      <c r="I18" s="3" t="inlineStr">
        <is>
          <t>黑</t>
        </is>
      </c>
      <c r="J18" s="3" t="inlineStr">
        <is>
          <t>有效胜率</t>
        </is>
      </c>
      <c r="K18" s="3" t="inlineStr">
        <is>
          <t>盈亏(u)</t>
        </is>
      </c>
      <c r="L18" s="3" t="inlineStr">
        <is>
          <t>ROI</t>
        </is>
      </c>
    </row>
    <row r="19" ht="22" customHeight="1" s="39">
      <c r="A19" s="6" t="inlineStr">
        <is>
          <t>杯赛</t>
        </is>
      </c>
      <c r="B19" s="6" t="n">
        <v>35</v>
      </c>
      <c r="C19" s="6" t="n">
        <v>34</v>
      </c>
      <c r="D19" s="6" t="n">
        <v>1</v>
      </c>
      <c r="E19" s="6" t="n">
        <v>14</v>
      </c>
      <c r="F19" s="6" t="n">
        <v>2</v>
      </c>
      <c r="G19" s="6" t="n">
        <v>1</v>
      </c>
      <c r="H19" s="6" t="n">
        <v>2</v>
      </c>
      <c r="I19" s="6" t="n">
        <v>15</v>
      </c>
      <c r="J19" s="50" t="n">
        <v>0.483870967741935</v>
      </c>
      <c r="K19" s="51" t="n">
        <v>-1.575</v>
      </c>
      <c r="L19" s="50" t="n">
        <v>-0.0463235294117647</v>
      </c>
    </row>
    <row r="20" ht="22" customHeight="1" s="39">
      <c r="A20" s="6" t="inlineStr">
        <is>
          <t>联赛</t>
        </is>
      </c>
      <c r="B20" s="6" t="n">
        <v>316</v>
      </c>
      <c r="C20" s="6" t="n">
        <v>312</v>
      </c>
      <c r="D20" s="6" t="n">
        <v>4</v>
      </c>
      <c r="E20" s="6" t="n">
        <v>126</v>
      </c>
      <c r="F20" s="6" t="n">
        <v>25</v>
      </c>
      <c r="G20" s="6" t="n">
        <v>15</v>
      </c>
      <c r="H20" s="6" t="n">
        <v>21</v>
      </c>
      <c r="I20" s="6" t="n">
        <v>125</v>
      </c>
      <c r="J20" s="50" t="n">
        <v>0.505474452554745</v>
      </c>
      <c r="K20" s="51" t="n">
        <v>5.705</v>
      </c>
      <c r="L20" s="50" t="n">
        <v>0.0182852564102564</v>
      </c>
    </row>
    <row r="21" ht="22" customHeight="1" s="39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 ht="23" customHeight="1" s="39">
      <c r="A22" s="5" t="inlineStr">
        <is>
          <t>联赛/杯赛统计</t>
        </is>
      </c>
    </row>
    <row r="23" ht="26" customHeight="1" s="39">
      <c r="A23" s="3" t="inlineStr">
        <is>
          <t>分类</t>
        </is>
      </c>
      <c r="B23" s="3" t="inlineStr">
        <is>
          <t>候选</t>
        </is>
      </c>
      <c r="C23" s="3" t="inlineStr">
        <is>
          <t>已结算</t>
        </is>
      </c>
      <c r="D23" s="3" t="inlineStr">
        <is>
          <t>未结算</t>
        </is>
      </c>
      <c r="E23" s="3" t="inlineStr">
        <is>
          <t>红</t>
        </is>
      </c>
      <c r="F23" s="3" t="inlineStr">
        <is>
          <t>半红</t>
        </is>
      </c>
      <c r="G23" s="3" t="inlineStr">
        <is>
          <t>走</t>
        </is>
      </c>
      <c r="H23" s="3" t="inlineStr">
        <is>
          <t>半黑</t>
        </is>
      </c>
      <c r="I23" s="3" t="inlineStr">
        <is>
          <t>黑</t>
        </is>
      </c>
      <c r="J23" s="3" t="inlineStr">
        <is>
          <t>有效胜率</t>
        </is>
      </c>
      <c r="K23" s="3" t="inlineStr">
        <is>
          <t>盈亏(u)</t>
        </is>
      </c>
      <c r="L23" s="3" t="inlineStr">
        <is>
          <t>ROI</t>
        </is>
      </c>
    </row>
    <row r="24" ht="22" customHeight="1" s="39">
      <c r="A24" s="6" t="inlineStr">
        <is>
          <t>世女杯U20</t>
        </is>
      </c>
      <c r="B24" s="6" t="n">
        <v>3</v>
      </c>
      <c r="C24" s="6" t="n">
        <v>3</v>
      </c>
      <c r="D24" s="6" t="n">
        <v>0</v>
      </c>
      <c r="E24" s="6" t="n">
        <v>0</v>
      </c>
      <c r="F24" s="6" t="n">
        <v>1</v>
      </c>
      <c r="G24" s="6" t="n">
        <v>0</v>
      </c>
      <c r="H24" s="6" t="n">
        <v>0</v>
      </c>
      <c r="I24" s="6" t="n">
        <v>2</v>
      </c>
      <c r="J24" s="50" t="n">
        <v>0.2</v>
      </c>
      <c r="K24" s="51" t="n">
        <v>-1.52</v>
      </c>
      <c r="L24" s="50" t="n">
        <v>-0.506666666666667</v>
      </c>
    </row>
    <row r="25" ht="22" customHeight="1" s="39">
      <c r="A25" s="6" t="inlineStr">
        <is>
          <t>中甲</t>
        </is>
      </c>
      <c r="B25" s="6" t="n">
        <v>2</v>
      </c>
      <c r="C25" s="6" t="n">
        <v>2</v>
      </c>
      <c r="D25" s="6" t="n">
        <v>0</v>
      </c>
      <c r="E25" s="6" t="n">
        <v>2</v>
      </c>
      <c r="F25" s="6" t="n">
        <v>0</v>
      </c>
      <c r="G25" s="6" t="n">
        <v>0</v>
      </c>
      <c r="H25" s="6" t="n">
        <v>0</v>
      </c>
      <c r="I25" s="6" t="n">
        <v>0</v>
      </c>
      <c r="J25" s="50" t="n">
        <v>1</v>
      </c>
      <c r="K25" s="51" t="n">
        <v>2.02</v>
      </c>
      <c r="L25" s="50" t="n">
        <v>1.01</v>
      </c>
    </row>
    <row r="26" ht="22" customHeight="1" s="39">
      <c r="A26" s="6" t="inlineStr">
        <is>
          <t>丹麦杯</t>
        </is>
      </c>
      <c r="B26" s="6" t="n">
        <v>1</v>
      </c>
      <c r="C26" s="6" t="n">
        <v>1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1</v>
      </c>
      <c r="J26" s="50" t="n">
        <v>0</v>
      </c>
      <c r="K26" s="51" t="n">
        <v>-1</v>
      </c>
      <c r="L26" s="50" t="n">
        <v>-1</v>
      </c>
    </row>
    <row r="27" ht="22" customHeight="1" s="39">
      <c r="A27" s="6" t="inlineStr">
        <is>
          <t>丹麦甲</t>
        </is>
      </c>
      <c r="B27" s="6" t="n">
        <v>2</v>
      </c>
      <c r="C27" s="6" t="n">
        <v>2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2</v>
      </c>
      <c r="J27" s="50" t="n">
        <v>0</v>
      </c>
      <c r="K27" s="51" t="n">
        <v>-2</v>
      </c>
      <c r="L27" s="50" t="n">
        <v>-1</v>
      </c>
    </row>
    <row r="28" ht="22" customHeight="1" s="39">
      <c r="A28" s="6" t="inlineStr">
        <is>
          <t>丹麦超</t>
        </is>
      </c>
      <c r="B28" s="6" t="n">
        <v>2</v>
      </c>
      <c r="C28" s="6" t="n">
        <v>2</v>
      </c>
      <c r="D28" s="6" t="n">
        <v>0</v>
      </c>
      <c r="E28" s="6" t="n">
        <v>1</v>
      </c>
      <c r="F28" s="6" t="n">
        <v>0</v>
      </c>
      <c r="G28" s="6" t="n">
        <v>0</v>
      </c>
      <c r="H28" s="6" t="n">
        <v>0</v>
      </c>
      <c r="I28" s="6" t="n">
        <v>1</v>
      </c>
      <c r="J28" s="50" t="n">
        <v>0.5</v>
      </c>
      <c r="K28" s="51" t="n">
        <v>0.03</v>
      </c>
      <c r="L28" s="50" t="n">
        <v>0.015</v>
      </c>
    </row>
    <row r="29" ht="22" customHeight="1" s="39">
      <c r="A29" s="6" t="inlineStr">
        <is>
          <t>乌克超</t>
        </is>
      </c>
      <c r="B29" s="6" t="n">
        <v>2</v>
      </c>
      <c r="C29" s="6" t="n">
        <v>2</v>
      </c>
      <c r="D29" s="6" t="n">
        <v>0</v>
      </c>
      <c r="E29" s="6" t="n">
        <v>2</v>
      </c>
      <c r="F29" s="6" t="n">
        <v>0</v>
      </c>
      <c r="G29" s="6" t="n">
        <v>0</v>
      </c>
      <c r="H29" s="6" t="n">
        <v>0</v>
      </c>
      <c r="I29" s="6" t="n">
        <v>0</v>
      </c>
      <c r="J29" s="50" t="n">
        <v>1</v>
      </c>
      <c r="K29" s="51" t="n">
        <v>2.36</v>
      </c>
      <c r="L29" s="50" t="n">
        <v>1.18</v>
      </c>
    </row>
    <row r="30" ht="22" customHeight="1" s="39">
      <c r="A30" s="6" t="inlineStr">
        <is>
          <t>乌拉甲秋</t>
        </is>
      </c>
      <c r="B30" s="6" t="n">
        <v>1</v>
      </c>
      <c r="C30" s="6" t="n">
        <v>1</v>
      </c>
      <c r="D30" s="6" t="n">
        <v>0</v>
      </c>
      <c r="E30" s="6" t="n">
        <v>0</v>
      </c>
      <c r="F30" s="6" t="n">
        <v>0</v>
      </c>
      <c r="G30" s="6" t="n">
        <v>1</v>
      </c>
      <c r="H30" s="6" t="n">
        <v>0</v>
      </c>
      <c r="I30" s="6" t="n">
        <v>0</v>
      </c>
      <c r="J30" s="50" t="n"/>
      <c r="K30" s="51" t="n">
        <v>0</v>
      </c>
      <c r="L30" s="50" t="n">
        <v>0</v>
      </c>
    </row>
    <row r="31" ht="22" customHeight="1" s="39">
      <c r="A31" s="6" t="inlineStr">
        <is>
          <t>亚冠精英</t>
        </is>
      </c>
      <c r="B31" s="6" t="n">
        <v>4</v>
      </c>
      <c r="C31" s="6" t="n">
        <v>4</v>
      </c>
      <c r="D31" s="6" t="n">
        <v>0</v>
      </c>
      <c r="E31" s="6" t="n">
        <v>2</v>
      </c>
      <c r="F31" s="6" t="n">
        <v>0</v>
      </c>
      <c r="G31" s="6" t="n">
        <v>0</v>
      </c>
      <c r="H31" s="6" t="n">
        <v>0</v>
      </c>
      <c r="I31" s="6" t="n">
        <v>2</v>
      </c>
      <c r="J31" s="50" t="n">
        <v>0.5</v>
      </c>
      <c r="K31" s="51" t="n">
        <v>0</v>
      </c>
      <c r="L31" s="50" t="n">
        <v>0</v>
      </c>
    </row>
    <row r="32" ht="22" customHeight="1" s="39">
      <c r="A32" s="6" t="inlineStr">
        <is>
          <t>亚冠联2</t>
        </is>
      </c>
      <c r="B32" s="6" t="n">
        <v>3</v>
      </c>
      <c r="C32" s="6" t="n">
        <v>3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3</v>
      </c>
      <c r="J32" s="50" t="n">
        <v>0</v>
      </c>
      <c r="K32" s="51" t="n">
        <v>-3</v>
      </c>
      <c r="L32" s="50" t="n">
        <v>-1</v>
      </c>
    </row>
    <row r="33" ht="22" customHeight="1" s="39">
      <c r="A33" s="6" t="inlineStr">
        <is>
          <t>亚运女足</t>
        </is>
      </c>
      <c r="B33" s="6" t="n">
        <v>2</v>
      </c>
      <c r="C33" s="6" t="n">
        <v>0</v>
      </c>
      <c r="D33" s="6" t="n">
        <v>2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50" t="n"/>
      <c r="K33" s="51" t="n">
        <v>0</v>
      </c>
      <c r="L33" s="50" t="n"/>
    </row>
    <row r="34" ht="22" customHeight="1" s="39">
      <c r="A34" s="6" t="inlineStr">
        <is>
          <t>亚运男足</t>
        </is>
      </c>
      <c r="B34" s="6" t="n">
        <v>2</v>
      </c>
      <c r="C34" s="6" t="n">
        <v>2</v>
      </c>
      <c r="D34" s="6" t="n">
        <v>0</v>
      </c>
      <c r="E34" s="6" t="n">
        <v>1</v>
      </c>
      <c r="F34" s="6" t="n">
        <v>0</v>
      </c>
      <c r="G34" s="6" t="n">
        <v>0</v>
      </c>
      <c r="H34" s="6" t="n">
        <v>0</v>
      </c>
      <c r="I34" s="6" t="n">
        <v>1</v>
      </c>
      <c r="J34" s="50" t="n">
        <v>0.5</v>
      </c>
      <c r="K34" s="51" t="n">
        <v>-0.14</v>
      </c>
      <c r="L34" s="50" t="n">
        <v>-0.07000000000000001</v>
      </c>
    </row>
    <row r="35" ht="22" customHeight="1" s="39">
      <c r="A35" s="6" t="inlineStr">
        <is>
          <t>以甲</t>
        </is>
      </c>
      <c r="B35" s="6" t="n">
        <v>1</v>
      </c>
      <c r="C35" s="6" t="n">
        <v>1</v>
      </c>
      <c r="D35" s="6" t="n">
        <v>0</v>
      </c>
      <c r="E35" s="6" t="n">
        <v>1</v>
      </c>
      <c r="F35" s="6" t="n">
        <v>0</v>
      </c>
      <c r="G35" s="6" t="n">
        <v>0</v>
      </c>
      <c r="H35" s="6" t="n">
        <v>0</v>
      </c>
      <c r="I35" s="6" t="n">
        <v>0</v>
      </c>
      <c r="J35" s="50" t="n">
        <v>1</v>
      </c>
      <c r="K35" s="51" t="n">
        <v>1.05</v>
      </c>
      <c r="L35" s="50" t="n">
        <v>1.05</v>
      </c>
    </row>
    <row r="36" ht="22" customHeight="1" s="39">
      <c r="A36" s="6" t="inlineStr">
        <is>
          <t>以超</t>
        </is>
      </c>
      <c r="B36" s="6" t="n">
        <v>2</v>
      </c>
      <c r="C36" s="6" t="n">
        <v>2</v>
      </c>
      <c r="D36" s="6" t="n">
        <v>0</v>
      </c>
      <c r="E36" s="6" t="n">
        <v>0</v>
      </c>
      <c r="F36" s="6" t="n">
        <v>0</v>
      </c>
      <c r="G36" s="6" t="n">
        <v>1</v>
      </c>
      <c r="H36" s="6" t="n">
        <v>0</v>
      </c>
      <c r="I36" s="6" t="n">
        <v>1</v>
      </c>
      <c r="J36" s="50" t="n">
        <v>0</v>
      </c>
      <c r="K36" s="51" t="n">
        <v>-1</v>
      </c>
      <c r="L36" s="50" t="n">
        <v>-0.5</v>
      </c>
    </row>
    <row r="37" ht="22" customHeight="1" s="39">
      <c r="A37" s="6" t="inlineStr">
        <is>
          <t>俄甲</t>
        </is>
      </c>
      <c r="B37" s="6" t="n">
        <v>2</v>
      </c>
      <c r="C37" s="6" t="n">
        <v>2</v>
      </c>
      <c r="D37" s="6" t="n">
        <v>0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2</v>
      </c>
      <c r="J37" s="50" t="n">
        <v>0</v>
      </c>
      <c r="K37" s="51" t="n">
        <v>-2</v>
      </c>
      <c r="L37" s="50" t="n">
        <v>-1</v>
      </c>
    </row>
    <row r="38" ht="22" customHeight="1" s="39">
      <c r="A38" s="6" t="inlineStr">
        <is>
          <t>俄超</t>
        </is>
      </c>
      <c r="B38" s="6" t="n">
        <v>5</v>
      </c>
      <c r="C38" s="6" t="n">
        <v>5</v>
      </c>
      <c r="D38" s="6" t="n">
        <v>0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3</v>
      </c>
      <c r="J38" s="50" t="n">
        <v>0.333333333333333</v>
      </c>
      <c r="K38" s="51" t="n">
        <v>-1.41</v>
      </c>
      <c r="L38" s="50" t="n">
        <v>-0.282</v>
      </c>
    </row>
    <row r="39" ht="22" customHeight="1" s="39">
      <c r="A39" s="6" t="inlineStr">
        <is>
          <t>俄青联</t>
        </is>
      </c>
      <c r="B39" s="6" t="n">
        <v>1</v>
      </c>
      <c r="C39" s="6" t="n">
        <v>1</v>
      </c>
      <c r="D39" s="6" t="n">
        <v>0</v>
      </c>
      <c r="E39" s="6" t="n">
        <v>0</v>
      </c>
      <c r="F39" s="6" t="n">
        <v>1</v>
      </c>
      <c r="G39" s="6" t="n">
        <v>0</v>
      </c>
      <c r="H39" s="6" t="n">
        <v>0</v>
      </c>
      <c r="I39" s="6" t="n">
        <v>0</v>
      </c>
      <c r="J39" s="50" t="n">
        <v>1</v>
      </c>
      <c r="K39" s="51" t="n">
        <v>0.555</v>
      </c>
      <c r="L39" s="50" t="n">
        <v>0.555</v>
      </c>
    </row>
    <row r="40" ht="22" customHeight="1" s="39">
      <c r="A40" s="6" t="inlineStr">
        <is>
          <t>保乙</t>
        </is>
      </c>
      <c r="B40" s="6" t="n">
        <v>2</v>
      </c>
      <c r="C40" s="6" t="n">
        <v>2</v>
      </c>
      <c r="D40" s="6" t="n">
        <v>0</v>
      </c>
      <c r="E40" s="6" t="n">
        <v>2</v>
      </c>
      <c r="F40" s="6" t="n">
        <v>0</v>
      </c>
      <c r="G40" s="6" t="n">
        <v>0</v>
      </c>
      <c r="H40" s="6" t="n">
        <v>0</v>
      </c>
      <c r="I40" s="6" t="n">
        <v>0</v>
      </c>
      <c r="J40" s="50" t="n">
        <v>1</v>
      </c>
      <c r="K40" s="51" t="n">
        <v>2.08</v>
      </c>
      <c r="L40" s="50" t="n">
        <v>1.04</v>
      </c>
    </row>
    <row r="41" ht="22" customHeight="1" s="39">
      <c r="A41" s="6" t="inlineStr">
        <is>
          <t>保甲</t>
        </is>
      </c>
      <c r="B41" s="6" t="n">
        <v>2</v>
      </c>
      <c r="C41" s="6" t="n">
        <v>2</v>
      </c>
      <c r="D41" s="6" t="n">
        <v>0</v>
      </c>
      <c r="E41" s="6" t="n">
        <v>1</v>
      </c>
      <c r="F41" s="6" t="n">
        <v>0</v>
      </c>
      <c r="G41" s="6" t="n">
        <v>0</v>
      </c>
      <c r="H41" s="6" t="n">
        <v>0</v>
      </c>
      <c r="I41" s="6" t="n">
        <v>1</v>
      </c>
      <c r="J41" s="50" t="n">
        <v>0.5</v>
      </c>
      <c r="K41" s="51" t="n">
        <v>-0.13</v>
      </c>
      <c r="L41" s="50" t="n">
        <v>-0.065</v>
      </c>
    </row>
    <row r="42" ht="22" customHeight="1" s="39">
      <c r="A42" s="6" t="inlineStr">
        <is>
          <t>克亚甲</t>
        </is>
      </c>
      <c r="B42" s="6" t="n">
        <v>3</v>
      </c>
      <c r="C42" s="6" t="n">
        <v>3</v>
      </c>
      <c r="D42" s="6" t="n">
        <v>0</v>
      </c>
      <c r="E42" s="6" t="n">
        <v>0</v>
      </c>
      <c r="F42" s="6" t="n">
        <v>2</v>
      </c>
      <c r="G42" s="6" t="n">
        <v>0</v>
      </c>
      <c r="H42" s="6" t="n">
        <v>0</v>
      </c>
      <c r="I42" s="6" t="n">
        <v>1</v>
      </c>
      <c r="J42" s="50" t="n">
        <v>0.5</v>
      </c>
      <c r="K42" s="51" t="n">
        <v>0.045</v>
      </c>
      <c r="L42" s="50" t="n">
        <v>0.015</v>
      </c>
    </row>
    <row r="43" ht="22" customHeight="1" s="39">
      <c r="A43" s="6" t="inlineStr">
        <is>
          <t>冰岛甲</t>
        </is>
      </c>
      <c r="B43" s="6" t="n">
        <v>1</v>
      </c>
      <c r="C43" s="6" t="n">
        <v>1</v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1</v>
      </c>
      <c r="J43" s="50" t="n">
        <v>0</v>
      </c>
      <c r="K43" s="51" t="n">
        <v>-1</v>
      </c>
      <c r="L43" s="50" t="n">
        <v>-1</v>
      </c>
    </row>
    <row r="44" ht="22" customHeight="1" s="39">
      <c r="A44" s="6" t="inlineStr">
        <is>
          <t>冰岛超冠</t>
        </is>
      </c>
      <c r="B44" s="6" t="n">
        <v>1</v>
      </c>
      <c r="C44" s="6" t="n">
        <v>1</v>
      </c>
      <c r="D44" s="6" t="n">
        <v>0</v>
      </c>
      <c r="E44" s="6" t="n">
        <v>1</v>
      </c>
      <c r="F44" s="6" t="n">
        <v>0</v>
      </c>
      <c r="G44" s="6" t="n">
        <v>0</v>
      </c>
      <c r="H44" s="6" t="n">
        <v>0</v>
      </c>
      <c r="I44" s="6" t="n">
        <v>0</v>
      </c>
      <c r="J44" s="50" t="n">
        <v>1</v>
      </c>
      <c r="K44" s="51" t="n">
        <v>0.88</v>
      </c>
      <c r="L44" s="50" t="n">
        <v>0.88</v>
      </c>
    </row>
    <row r="45" ht="22" customHeight="1" s="39">
      <c r="A45" s="6" t="inlineStr">
        <is>
          <t>冰岛超降</t>
        </is>
      </c>
      <c r="B45" s="6" t="n">
        <v>1</v>
      </c>
      <c r="C45" s="6" t="n">
        <v>1</v>
      </c>
      <c r="D45" s="6" t="n">
        <v>0</v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1</v>
      </c>
      <c r="J45" s="50" t="n">
        <v>0</v>
      </c>
      <c r="K45" s="51" t="n">
        <v>-1</v>
      </c>
      <c r="L45" s="50" t="n">
        <v>-1</v>
      </c>
    </row>
    <row r="46" ht="22" customHeight="1" s="39">
      <c r="A46" s="6" t="inlineStr">
        <is>
          <t>匈甲</t>
        </is>
      </c>
      <c r="B46" s="6" t="n">
        <v>1</v>
      </c>
      <c r="C46" s="6" t="n">
        <v>1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1</v>
      </c>
      <c r="J46" s="50" t="n">
        <v>0</v>
      </c>
      <c r="K46" s="51" t="n">
        <v>-1</v>
      </c>
      <c r="L46" s="50" t="n">
        <v>-1</v>
      </c>
    </row>
    <row r="47" ht="22" customHeight="1" s="39">
      <c r="A47" s="6" t="inlineStr">
        <is>
          <t>南美杯</t>
        </is>
      </c>
      <c r="B47" s="6" t="n">
        <v>2</v>
      </c>
      <c r="C47" s="6" t="n">
        <v>2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2</v>
      </c>
      <c r="J47" s="50" t="n">
        <v>0</v>
      </c>
      <c r="K47" s="51" t="n">
        <v>-2</v>
      </c>
      <c r="L47" s="50" t="n">
        <v>-1</v>
      </c>
    </row>
    <row r="48" ht="22" customHeight="1" s="39">
      <c r="A48" s="6" t="inlineStr">
        <is>
          <t>印尼甲</t>
        </is>
      </c>
      <c r="B48" s="6" t="n">
        <v>1</v>
      </c>
      <c r="C48" s="6" t="n">
        <v>1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1</v>
      </c>
      <c r="J48" s="50" t="n">
        <v>0</v>
      </c>
      <c r="K48" s="51" t="n">
        <v>-1</v>
      </c>
      <c r="L48" s="50" t="n">
        <v>-1</v>
      </c>
    </row>
    <row r="49" ht="22" customHeight="1" s="39">
      <c r="A49" s="6" t="inlineStr">
        <is>
          <t>印尼超</t>
        </is>
      </c>
      <c r="B49" s="6" t="n">
        <v>4</v>
      </c>
      <c r="C49" s="6" t="n">
        <v>4</v>
      </c>
      <c r="D49" s="6" t="n">
        <v>0</v>
      </c>
      <c r="E49" s="6" t="n">
        <v>1</v>
      </c>
      <c r="F49" s="6" t="n">
        <v>0</v>
      </c>
      <c r="G49" s="6" t="n">
        <v>2</v>
      </c>
      <c r="H49" s="6" t="n">
        <v>0</v>
      </c>
      <c r="I49" s="6" t="n">
        <v>1</v>
      </c>
      <c r="J49" s="50" t="n">
        <v>0.5</v>
      </c>
      <c r="K49" s="51" t="n">
        <v>-0.11</v>
      </c>
      <c r="L49" s="50" t="n">
        <v>-0.0275</v>
      </c>
    </row>
    <row r="50" ht="22" customHeight="1" s="39">
      <c r="A50" s="6" t="inlineStr">
        <is>
          <t>厄瓜乙</t>
        </is>
      </c>
      <c r="B50" s="6" t="n">
        <v>1</v>
      </c>
      <c r="C50" s="6" t="n">
        <v>1</v>
      </c>
      <c r="D50" s="6" t="n">
        <v>0</v>
      </c>
      <c r="E50" s="6" t="n">
        <v>0</v>
      </c>
      <c r="F50" s="6" t="n">
        <v>1</v>
      </c>
      <c r="G50" s="6" t="n">
        <v>0</v>
      </c>
      <c r="H50" s="6" t="n">
        <v>0</v>
      </c>
      <c r="I50" s="6" t="n">
        <v>0</v>
      </c>
      <c r="J50" s="50" t="n">
        <v>1</v>
      </c>
      <c r="K50" s="51" t="n">
        <v>0.515</v>
      </c>
      <c r="L50" s="50" t="n">
        <v>0.515</v>
      </c>
    </row>
    <row r="51" ht="22" customHeight="1" s="39">
      <c r="A51" s="6" t="inlineStr">
        <is>
          <t>厄瓜甲</t>
        </is>
      </c>
      <c r="B51" s="6" t="n">
        <v>1</v>
      </c>
      <c r="C51" s="6" t="n">
        <v>1</v>
      </c>
      <c r="D51" s="6" t="n">
        <v>0</v>
      </c>
      <c r="E51" s="6" t="n">
        <v>1</v>
      </c>
      <c r="F51" s="6" t="n">
        <v>0</v>
      </c>
      <c r="G51" s="6" t="n">
        <v>0</v>
      </c>
      <c r="H51" s="6" t="n">
        <v>0</v>
      </c>
      <c r="I51" s="6" t="n">
        <v>0</v>
      </c>
      <c r="J51" s="50" t="n">
        <v>1</v>
      </c>
      <c r="K51" s="51" t="n">
        <v>1.02</v>
      </c>
      <c r="L51" s="50" t="n">
        <v>1.02</v>
      </c>
    </row>
    <row r="52" ht="22" customHeight="1" s="39">
      <c r="A52" s="6" t="inlineStr">
        <is>
          <t>厄瓜甲降</t>
        </is>
      </c>
      <c r="B52" s="6" t="n">
        <v>1</v>
      </c>
      <c r="C52" s="6" t="n">
        <v>1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1</v>
      </c>
      <c r="J52" s="50" t="n">
        <v>0</v>
      </c>
      <c r="K52" s="51" t="n">
        <v>-1</v>
      </c>
      <c r="L52" s="50" t="n">
        <v>-1</v>
      </c>
    </row>
    <row r="53" ht="22" customHeight="1" s="39">
      <c r="A53" s="6" t="inlineStr">
        <is>
          <t>哈萨克超</t>
        </is>
      </c>
      <c r="B53" s="6" t="n">
        <v>3</v>
      </c>
      <c r="C53" s="6" t="n">
        <v>3</v>
      </c>
      <c r="D53" s="6" t="n">
        <v>0</v>
      </c>
      <c r="E53" s="6" t="n">
        <v>1</v>
      </c>
      <c r="F53" s="6" t="n">
        <v>1</v>
      </c>
      <c r="G53" s="6" t="n">
        <v>0</v>
      </c>
      <c r="H53" s="6" t="n">
        <v>0</v>
      </c>
      <c r="I53" s="6" t="n">
        <v>1</v>
      </c>
      <c r="J53" s="50" t="n">
        <v>0.6</v>
      </c>
      <c r="K53" s="51" t="n">
        <v>0.62</v>
      </c>
      <c r="L53" s="50" t="n">
        <v>0.206666666666667</v>
      </c>
    </row>
    <row r="54" ht="22" customHeight="1" s="39">
      <c r="A54" s="6" t="inlineStr">
        <is>
          <t>哥伦乙秋</t>
        </is>
      </c>
      <c r="B54" s="6" t="n">
        <v>1</v>
      </c>
      <c r="C54" s="6" t="n">
        <v>1</v>
      </c>
      <c r="D54" s="6" t="n">
        <v>0</v>
      </c>
      <c r="E54" s="6" t="n">
        <v>1</v>
      </c>
      <c r="F54" s="6" t="n">
        <v>0</v>
      </c>
      <c r="G54" s="6" t="n">
        <v>0</v>
      </c>
      <c r="H54" s="6" t="n">
        <v>0</v>
      </c>
      <c r="I54" s="6" t="n">
        <v>0</v>
      </c>
      <c r="J54" s="50" t="n">
        <v>1</v>
      </c>
      <c r="K54" s="51" t="n">
        <v>1.08</v>
      </c>
      <c r="L54" s="50" t="n">
        <v>1.08</v>
      </c>
    </row>
    <row r="55" ht="22" customHeight="1" s="39">
      <c r="A55" s="6" t="inlineStr">
        <is>
          <t>哥伦甲秋</t>
        </is>
      </c>
      <c r="B55" s="6" t="n">
        <v>4</v>
      </c>
      <c r="C55" s="6" t="n">
        <v>4</v>
      </c>
      <c r="D55" s="6" t="n">
        <v>0</v>
      </c>
      <c r="E55" s="6" t="n">
        <v>2</v>
      </c>
      <c r="F55" s="6" t="n">
        <v>0</v>
      </c>
      <c r="G55" s="6" t="n">
        <v>0</v>
      </c>
      <c r="H55" s="6" t="n">
        <v>0</v>
      </c>
      <c r="I55" s="6" t="n">
        <v>2</v>
      </c>
      <c r="J55" s="50" t="n">
        <v>0.5</v>
      </c>
      <c r="K55" s="51" t="n">
        <v>0.01</v>
      </c>
      <c r="L55" s="50" t="n">
        <v>0.0025</v>
      </c>
    </row>
    <row r="56" ht="22" customHeight="1" s="39">
      <c r="A56" s="6" t="inlineStr">
        <is>
          <t>哥斯甲春</t>
        </is>
      </c>
      <c r="B56" s="6" t="n">
        <v>2</v>
      </c>
      <c r="C56" s="6" t="n">
        <v>2</v>
      </c>
      <c r="D56" s="6" t="n">
        <v>0</v>
      </c>
      <c r="E56" s="6" t="n">
        <v>0</v>
      </c>
      <c r="F56" s="6" t="n">
        <v>0</v>
      </c>
      <c r="G56" s="6" t="n">
        <v>0</v>
      </c>
      <c r="H56" s="6" t="n">
        <v>1</v>
      </c>
      <c r="I56" s="6" t="n">
        <v>1</v>
      </c>
      <c r="J56" s="50" t="n">
        <v>0</v>
      </c>
      <c r="K56" s="51" t="n">
        <v>-1.5</v>
      </c>
      <c r="L56" s="50" t="n">
        <v>-0.75</v>
      </c>
    </row>
    <row r="57" ht="22" customHeight="1" s="39">
      <c r="A57" s="6" t="inlineStr">
        <is>
          <t>土甲</t>
        </is>
      </c>
      <c r="B57" s="6" t="n">
        <v>2</v>
      </c>
      <c r="C57" s="6" t="n">
        <v>2</v>
      </c>
      <c r="D57" s="6" t="n">
        <v>0</v>
      </c>
      <c r="E57" s="6" t="n">
        <v>2</v>
      </c>
      <c r="F57" s="6" t="n">
        <v>0</v>
      </c>
      <c r="G57" s="6" t="n">
        <v>0</v>
      </c>
      <c r="H57" s="6" t="n">
        <v>0</v>
      </c>
      <c r="I57" s="6" t="n">
        <v>0</v>
      </c>
      <c r="J57" s="50" t="n">
        <v>1</v>
      </c>
      <c r="K57" s="51" t="n">
        <v>2.12</v>
      </c>
      <c r="L57" s="50" t="n">
        <v>1.06</v>
      </c>
    </row>
    <row r="58" ht="22" customHeight="1" s="39">
      <c r="A58" s="6" t="inlineStr">
        <is>
          <t>土超</t>
        </is>
      </c>
      <c r="B58" s="6" t="n">
        <v>4</v>
      </c>
      <c r="C58" s="6" t="n">
        <v>4</v>
      </c>
      <c r="D58" s="6" t="n">
        <v>0</v>
      </c>
      <c r="E58" s="6" t="n">
        <v>2</v>
      </c>
      <c r="F58" s="6" t="n">
        <v>0</v>
      </c>
      <c r="G58" s="6" t="n">
        <v>0</v>
      </c>
      <c r="H58" s="6" t="n">
        <v>0</v>
      </c>
      <c r="I58" s="6" t="n">
        <v>2</v>
      </c>
      <c r="J58" s="50" t="n">
        <v>0.5</v>
      </c>
      <c r="K58" s="51" t="n">
        <v>0.17</v>
      </c>
      <c r="L58" s="50" t="n">
        <v>0.0425</v>
      </c>
    </row>
    <row r="59" ht="22" customHeight="1" s="39">
      <c r="A59" s="6" t="inlineStr">
        <is>
          <t>埃及甲</t>
        </is>
      </c>
      <c r="B59" s="6" t="n">
        <v>2</v>
      </c>
      <c r="C59" s="6" t="n">
        <v>2</v>
      </c>
      <c r="D59" s="6" t="n">
        <v>0</v>
      </c>
      <c r="E59" s="6" t="n">
        <v>0</v>
      </c>
      <c r="F59" s="6" t="n">
        <v>1</v>
      </c>
      <c r="G59" s="6" t="n">
        <v>0</v>
      </c>
      <c r="H59" s="6" t="n">
        <v>1</v>
      </c>
      <c r="I59" s="6" t="n">
        <v>0</v>
      </c>
      <c r="J59" s="50" t="n">
        <v>0.5</v>
      </c>
      <c r="K59" s="51" t="n">
        <v>0.095</v>
      </c>
      <c r="L59" s="50" t="n">
        <v>0.0475</v>
      </c>
    </row>
    <row r="60" ht="22" customHeight="1" s="39">
      <c r="A60" s="6" t="inlineStr">
        <is>
          <t>埃及超</t>
        </is>
      </c>
      <c r="B60" s="6" t="n">
        <v>2</v>
      </c>
      <c r="C60" s="6" t="n">
        <v>1</v>
      </c>
      <c r="D60" s="6" t="n">
        <v>1</v>
      </c>
      <c r="E60" s="6" t="n">
        <v>1</v>
      </c>
      <c r="F60" s="6" t="n">
        <v>0</v>
      </c>
      <c r="G60" s="6" t="n">
        <v>0</v>
      </c>
      <c r="H60" s="6" t="n">
        <v>0</v>
      </c>
      <c r="I60" s="6" t="n">
        <v>0</v>
      </c>
      <c r="J60" s="50" t="n">
        <v>1</v>
      </c>
      <c r="K60" s="51" t="n">
        <v>1.05</v>
      </c>
      <c r="L60" s="50" t="n">
        <v>1.05</v>
      </c>
    </row>
    <row r="61" ht="22" customHeight="1" s="39">
      <c r="A61" s="6" t="inlineStr">
        <is>
          <t>塞浦甲</t>
        </is>
      </c>
      <c r="B61" s="6" t="n">
        <v>1</v>
      </c>
      <c r="C61" s="6" t="n">
        <v>1</v>
      </c>
      <c r="D61" s="6" t="n">
        <v>0</v>
      </c>
      <c r="E61" s="6" t="n">
        <v>0</v>
      </c>
      <c r="F61" s="6" t="n">
        <v>0</v>
      </c>
      <c r="G61" s="6" t="n">
        <v>0</v>
      </c>
      <c r="H61" s="6" t="n">
        <v>1</v>
      </c>
      <c r="I61" s="6" t="n">
        <v>0</v>
      </c>
      <c r="J61" s="50" t="n">
        <v>0</v>
      </c>
      <c r="K61" s="51" t="n">
        <v>-0.5</v>
      </c>
      <c r="L61" s="50" t="n">
        <v>-0.5</v>
      </c>
    </row>
    <row r="62" ht="22" customHeight="1" s="39">
      <c r="A62" s="6" t="inlineStr">
        <is>
          <t>墨西女超春</t>
        </is>
      </c>
      <c r="B62" s="6" t="n">
        <v>1</v>
      </c>
      <c r="C62" s="6" t="n">
        <v>1</v>
      </c>
      <c r="D62" s="6" t="n">
        <v>0</v>
      </c>
      <c r="E62" s="6" t="n">
        <v>0</v>
      </c>
      <c r="F62" s="6" t="n">
        <v>0</v>
      </c>
      <c r="G62" s="6" t="n">
        <v>0</v>
      </c>
      <c r="H62" s="6" t="n">
        <v>0</v>
      </c>
      <c r="I62" s="6" t="n">
        <v>1</v>
      </c>
      <c r="J62" s="50" t="n">
        <v>0</v>
      </c>
      <c r="K62" s="51" t="n">
        <v>-1</v>
      </c>
      <c r="L62" s="50" t="n">
        <v>-1</v>
      </c>
    </row>
    <row r="63" ht="22" customHeight="1" s="39">
      <c r="A63" s="6" t="inlineStr">
        <is>
          <t>墨西甲春</t>
        </is>
      </c>
      <c r="B63" s="6" t="n">
        <v>1</v>
      </c>
      <c r="C63" s="6" t="n">
        <v>1</v>
      </c>
      <c r="D63" s="6" t="n">
        <v>0</v>
      </c>
      <c r="E63" s="6" t="n">
        <v>0</v>
      </c>
      <c r="F63" s="6" t="n">
        <v>0</v>
      </c>
      <c r="G63" s="6" t="n">
        <v>0</v>
      </c>
      <c r="H63" s="6" t="n">
        <v>1</v>
      </c>
      <c r="I63" s="6" t="n">
        <v>0</v>
      </c>
      <c r="J63" s="50" t="n">
        <v>0</v>
      </c>
      <c r="K63" s="51" t="n">
        <v>-0.5</v>
      </c>
      <c r="L63" s="50" t="n">
        <v>-0.5</v>
      </c>
    </row>
    <row r="64" ht="22" customHeight="1" s="39">
      <c r="A64" s="6" t="inlineStr">
        <is>
          <t>墨西联秋</t>
        </is>
      </c>
      <c r="B64" s="6" t="n">
        <v>1</v>
      </c>
      <c r="C64" s="6" t="n">
        <v>1</v>
      </c>
      <c r="D64" s="6" t="n">
        <v>0</v>
      </c>
      <c r="E64" s="6" t="n">
        <v>0</v>
      </c>
      <c r="F64" s="6" t="n">
        <v>0</v>
      </c>
      <c r="G64" s="6" t="n">
        <v>0</v>
      </c>
      <c r="H64" s="6" t="n">
        <v>0</v>
      </c>
      <c r="I64" s="6" t="n">
        <v>1</v>
      </c>
      <c r="J64" s="50" t="n">
        <v>0</v>
      </c>
      <c r="K64" s="51" t="n">
        <v>-1</v>
      </c>
      <c r="L64" s="50" t="n">
        <v>-1</v>
      </c>
    </row>
    <row r="65" ht="22" customHeight="1" s="39">
      <c r="A65" s="6" t="inlineStr">
        <is>
          <t>奥丁</t>
        </is>
      </c>
      <c r="B65" s="6" t="n">
        <v>1</v>
      </c>
      <c r="C65" s="6" t="n">
        <v>1</v>
      </c>
      <c r="D65" s="6" t="n">
        <v>0</v>
      </c>
      <c r="E65" s="6" t="n">
        <v>1</v>
      </c>
      <c r="F65" s="6" t="n">
        <v>0</v>
      </c>
      <c r="G65" s="6" t="n">
        <v>0</v>
      </c>
      <c r="H65" s="6" t="n">
        <v>0</v>
      </c>
      <c r="I65" s="6" t="n">
        <v>0</v>
      </c>
      <c r="J65" s="50" t="n">
        <v>1</v>
      </c>
      <c r="K65" s="51" t="n">
        <v>1.02</v>
      </c>
      <c r="L65" s="50" t="n">
        <v>1.02</v>
      </c>
    </row>
    <row r="66" ht="22" customHeight="1" s="39">
      <c r="A66" s="6" t="inlineStr">
        <is>
          <t>奥乙</t>
        </is>
      </c>
      <c r="B66" s="6" t="n">
        <v>3</v>
      </c>
      <c r="C66" s="6" t="n">
        <v>3</v>
      </c>
      <c r="D66" s="6" t="n">
        <v>0</v>
      </c>
      <c r="E66" s="6" t="n">
        <v>2</v>
      </c>
      <c r="F66" s="6" t="n">
        <v>0</v>
      </c>
      <c r="G66" s="6" t="n">
        <v>0</v>
      </c>
      <c r="H66" s="6" t="n">
        <v>0</v>
      </c>
      <c r="I66" s="6" t="n">
        <v>1</v>
      </c>
      <c r="J66" s="50" t="n">
        <v>0.666666666666667</v>
      </c>
      <c r="K66" s="51" t="n">
        <v>1.08</v>
      </c>
      <c r="L66" s="50" t="n">
        <v>0.36</v>
      </c>
    </row>
    <row r="67" ht="22" customHeight="1" s="39">
      <c r="A67" s="6" t="inlineStr">
        <is>
          <t>奥甲</t>
        </is>
      </c>
      <c r="B67" s="6" t="n">
        <v>1</v>
      </c>
      <c r="C67" s="6" t="n">
        <v>1</v>
      </c>
      <c r="D67" s="6" t="n">
        <v>0</v>
      </c>
      <c r="E67" s="6" t="n">
        <v>1</v>
      </c>
      <c r="F67" s="6" t="n">
        <v>0</v>
      </c>
      <c r="G67" s="6" t="n">
        <v>0</v>
      </c>
      <c r="H67" s="6" t="n">
        <v>0</v>
      </c>
      <c r="I67" s="6" t="n">
        <v>0</v>
      </c>
      <c r="J67" s="50" t="n">
        <v>1</v>
      </c>
      <c r="K67" s="51" t="n">
        <v>1.06</v>
      </c>
      <c r="L67" s="50" t="n">
        <v>1.06</v>
      </c>
    </row>
    <row r="68" ht="22" customHeight="1" s="39">
      <c r="A68" s="6" t="inlineStr">
        <is>
          <t>女日联杯</t>
        </is>
      </c>
      <c r="B68" s="6" t="n">
        <v>1</v>
      </c>
      <c r="C68" s="6" t="n">
        <v>1</v>
      </c>
      <c r="D68" s="6" t="n">
        <v>0</v>
      </c>
      <c r="E68" s="6" t="n">
        <v>1</v>
      </c>
      <c r="F68" s="6" t="n">
        <v>0</v>
      </c>
      <c r="G68" s="6" t="n">
        <v>0</v>
      </c>
      <c r="H68" s="6" t="n">
        <v>0</v>
      </c>
      <c r="I68" s="6" t="n">
        <v>0</v>
      </c>
      <c r="J68" s="50" t="n">
        <v>1</v>
      </c>
      <c r="K68" s="51" t="n">
        <v>1.14</v>
      </c>
      <c r="L68" s="50" t="n">
        <v>1.14</v>
      </c>
    </row>
    <row r="69" ht="22" customHeight="1" s="39">
      <c r="A69" s="6" t="inlineStr">
        <is>
          <t>委内超秋</t>
        </is>
      </c>
      <c r="B69" s="6" t="n">
        <v>1</v>
      </c>
      <c r="C69" s="6" t="n">
        <v>1</v>
      </c>
      <c r="D69" s="6" t="n">
        <v>0</v>
      </c>
      <c r="E69" s="6" t="n">
        <v>0</v>
      </c>
      <c r="F69" s="6" t="n">
        <v>0</v>
      </c>
      <c r="G69" s="6" t="n">
        <v>0</v>
      </c>
      <c r="H69" s="6" t="n">
        <v>1</v>
      </c>
      <c r="I69" s="6" t="n">
        <v>0</v>
      </c>
      <c r="J69" s="50" t="n">
        <v>0</v>
      </c>
      <c r="K69" s="51" t="n">
        <v>-0.5</v>
      </c>
      <c r="L69" s="50" t="n">
        <v>-0.5</v>
      </c>
    </row>
    <row r="70" ht="22" customHeight="1" s="39">
      <c r="A70" s="6" t="inlineStr">
        <is>
          <t>威超</t>
        </is>
      </c>
      <c r="B70" s="6" t="n">
        <v>7</v>
      </c>
      <c r="C70" s="6" t="n">
        <v>7</v>
      </c>
      <c r="D70" s="6" t="n">
        <v>0</v>
      </c>
      <c r="E70" s="6" t="n">
        <v>1</v>
      </c>
      <c r="F70" s="6" t="n">
        <v>0</v>
      </c>
      <c r="G70" s="6" t="n">
        <v>0</v>
      </c>
      <c r="H70" s="6" t="n">
        <v>1</v>
      </c>
      <c r="I70" s="6" t="n">
        <v>5</v>
      </c>
      <c r="J70" s="50" t="n">
        <v>0.153846153846154</v>
      </c>
      <c r="K70" s="51" t="n">
        <v>-4.59</v>
      </c>
      <c r="L70" s="50" t="n">
        <v>-0.655714285714286</v>
      </c>
    </row>
    <row r="71" ht="22" customHeight="1" s="39">
      <c r="A71" s="6" t="inlineStr">
        <is>
          <t>巴拉甲秋</t>
        </is>
      </c>
      <c r="B71" s="6" t="n">
        <v>1</v>
      </c>
      <c r="C71" s="6" t="n">
        <v>1</v>
      </c>
      <c r="D71" s="6" t="n">
        <v>0</v>
      </c>
      <c r="E71" s="6" t="n">
        <v>0</v>
      </c>
      <c r="F71" s="6" t="n">
        <v>0</v>
      </c>
      <c r="G71" s="6" t="n">
        <v>0</v>
      </c>
      <c r="H71" s="6" t="n">
        <v>0</v>
      </c>
      <c r="I71" s="6" t="n">
        <v>1</v>
      </c>
      <c r="J71" s="50" t="n">
        <v>0</v>
      </c>
      <c r="K71" s="51" t="n">
        <v>-1</v>
      </c>
      <c r="L71" s="50" t="n">
        <v>-1</v>
      </c>
    </row>
    <row r="72" ht="22" customHeight="1" s="39">
      <c r="A72" s="6" t="inlineStr">
        <is>
          <t>巴西乙</t>
        </is>
      </c>
      <c r="B72" s="6" t="n">
        <v>4</v>
      </c>
      <c r="C72" s="6" t="n">
        <v>3</v>
      </c>
      <c r="D72" s="6" t="n">
        <v>1</v>
      </c>
      <c r="E72" s="6" t="n">
        <v>0</v>
      </c>
      <c r="F72" s="6" t="n">
        <v>0</v>
      </c>
      <c r="G72" s="6" t="n">
        <v>1</v>
      </c>
      <c r="H72" s="6" t="n">
        <v>0</v>
      </c>
      <c r="I72" s="6" t="n">
        <v>2</v>
      </c>
      <c r="J72" s="50" t="n">
        <v>0</v>
      </c>
      <c r="K72" s="51" t="n">
        <v>-2</v>
      </c>
      <c r="L72" s="50" t="n">
        <v>-0.666666666666667</v>
      </c>
    </row>
    <row r="73" ht="22" customHeight="1" s="39">
      <c r="A73" s="6" t="inlineStr">
        <is>
          <t>巴西甲</t>
        </is>
      </c>
      <c r="B73" s="6" t="n">
        <v>7</v>
      </c>
      <c r="C73" s="6" t="n">
        <v>7</v>
      </c>
      <c r="D73" s="6" t="n">
        <v>0</v>
      </c>
      <c r="E73" s="6" t="n">
        <v>4</v>
      </c>
      <c r="F73" s="6" t="n">
        <v>0</v>
      </c>
      <c r="G73" s="6" t="n">
        <v>0</v>
      </c>
      <c r="H73" s="6" t="n">
        <v>0</v>
      </c>
      <c r="I73" s="6" t="n">
        <v>3</v>
      </c>
      <c r="J73" s="50" t="n">
        <v>0.571428571428571</v>
      </c>
      <c r="K73" s="51" t="n">
        <v>1.26</v>
      </c>
      <c r="L73" s="50" t="n">
        <v>0.18</v>
      </c>
    </row>
    <row r="74" ht="22" customHeight="1" s="39">
      <c r="A74" s="6" t="inlineStr">
        <is>
          <t>希腊杯</t>
        </is>
      </c>
      <c r="B74" s="6" t="n">
        <v>2</v>
      </c>
      <c r="C74" s="6" t="n">
        <v>2</v>
      </c>
      <c r="D74" s="6" t="n">
        <v>0</v>
      </c>
      <c r="E74" s="6" t="n">
        <v>2</v>
      </c>
      <c r="F74" s="6" t="n">
        <v>0</v>
      </c>
      <c r="G74" s="6" t="n">
        <v>0</v>
      </c>
      <c r="H74" s="6" t="n">
        <v>0</v>
      </c>
      <c r="I74" s="6" t="n">
        <v>0</v>
      </c>
      <c r="J74" s="50" t="n">
        <v>1</v>
      </c>
      <c r="K74" s="51" t="n">
        <v>1.92</v>
      </c>
      <c r="L74" s="50" t="n">
        <v>0.96</v>
      </c>
    </row>
    <row r="75" ht="22" customHeight="1" s="39">
      <c r="A75" s="6" t="inlineStr">
        <is>
          <t>希腊超</t>
        </is>
      </c>
      <c r="B75" s="6" t="n">
        <v>3</v>
      </c>
      <c r="C75" s="6" t="n">
        <v>3</v>
      </c>
      <c r="D75" s="6" t="n">
        <v>0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2</v>
      </c>
      <c r="J75" s="50" t="n">
        <v>0.333333333333333</v>
      </c>
      <c r="K75" s="51" t="n">
        <v>-0.97</v>
      </c>
      <c r="L75" s="50" t="n">
        <v>-0.323333333333333</v>
      </c>
    </row>
    <row r="76" ht="22" customHeight="1" s="39">
      <c r="A76" s="6" t="inlineStr">
        <is>
          <t>德丙</t>
        </is>
      </c>
      <c r="B76" s="6" t="n">
        <v>4</v>
      </c>
      <c r="C76" s="6" t="n">
        <v>4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1</v>
      </c>
      <c r="I76" s="6" t="n">
        <v>3</v>
      </c>
      <c r="J76" s="50" t="n">
        <v>0</v>
      </c>
      <c r="K76" s="51" t="n">
        <v>-3.5</v>
      </c>
      <c r="L76" s="50" t="n">
        <v>-0.875</v>
      </c>
    </row>
    <row r="77" ht="22" customHeight="1" s="39">
      <c r="A77" s="6" t="inlineStr">
        <is>
          <t>德乙</t>
        </is>
      </c>
      <c r="B77" s="6" t="n">
        <v>4</v>
      </c>
      <c r="C77" s="6" t="n">
        <v>4</v>
      </c>
      <c r="D77" s="6" t="n">
        <v>0</v>
      </c>
      <c r="E77" s="6" t="n">
        <v>0</v>
      </c>
      <c r="F77" s="6" t="n">
        <v>2</v>
      </c>
      <c r="G77" s="6" t="n">
        <v>0</v>
      </c>
      <c r="H77" s="6" t="n">
        <v>1</v>
      </c>
      <c r="I77" s="6" t="n">
        <v>1</v>
      </c>
      <c r="J77" s="50" t="n">
        <v>0.4</v>
      </c>
      <c r="K77" s="51" t="n">
        <v>-0.465</v>
      </c>
      <c r="L77" s="50" t="n">
        <v>-0.11625</v>
      </c>
    </row>
    <row r="78" ht="22" customHeight="1" s="39">
      <c r="A78" s="6" t="inlineStr">
        <is>
          <t>德地区西</t>
        </is>
      </c>
      <c r="B78" s="6" t="n">
        <v>2</v>
      </c>
      <c r="C78" s="6" t="n">
        <v>2</v>
      </c>
      <c r="D78" s="6" t="n">
        <v>0</v>
      </c>
      <c r="E78" s="6" t="n">
        <v>0</v>
      </c>
      <c r="F78" s="6" t="n">
        <v>0</v>
      </c>
      <c r="G78" s="6" t="n">
        <v>2</v>
      </c>
      <c r="H78" s="6" t="n">
        <v>0</v>
      </c>
      <c r="I78" s="6" t="n">
        <v>0</v>
      </c>
      <c r="J78" s="50" t="n"/>
      <c r="K78" s="51" t="n">
        <v>0</v>
      </c>
      <c r="L78" s="50" t="n">
        <v>0</v>
      </c>
    </row>
    <row r="79" ht="22" customHeight="1" s="39">
      <c r="A79" s="6" t="inlineStr">
        <is>
          <t>德女联</t>
        </is>
      </c>
      <c r="B79" s="6" t="n">
        <v>1</v>
      </c>
      <c r="C79" s="6" t="n">
        <v>1</v>
      </c>
      <c r="D79" s="6" t="n">
        <v>0</v>
      </c>
      <c r="E79" s="6" t="n">
        <v>0</v>
      </c>
      <c r="F79" s="6" t="n">
        <v>0</v>
      </c>
      <c r="G79" s="6" t="n">
        <v>0</v>
      </c>
      <c r="H79" s="6" t="n">
        <v>0</v>
      </c>
      <c r="I79" s="6" t="n">
        <v>1</v>
      </c>
      <c r="J79" s="50" t="n">
        <v>0</v>
      </c>
      <c r="K79" s="51" t="n">
        <v>-1</v>
      </c>
      <c r="L79" s="50" t="n">
        <v>-1</v>
      </c>
    </row>
    <row r="80" ht="22" customHeight="1" s="39">
      <c r="A80" s="6" t="inlineStr">
        <is>
          <t>德甲</t>
        </is>
      </c>
      <c r="B80" s="6" t="n">
        <v>3</v>
      </c>
      <c r="C80" s="6" t="n">
        <v>3</v>
      </c>
      <c r="D80" s="6" t="n">
        <v>0</v>
      </c>
      <c r="E80" s="6" t="n">
        <v>3</v>
      </c>
      <c r="F80" s="6" t="n">
        <v>0</v>
      </c>
      <c r="G80" s="6" t="n">
        <v>0</v>
      </c>
      <c r="H80" s="6" t="n">
        <v>0</v>
      </c>
      <c r="I80" s="6" t="n">
        <v>0</v>
      </c>
      <c r="J80" s="50" t="n">
        <v>1</v>
      </c>
      <c r="K80" s="51" t="n">
        <v>2.98</v>
      </c>
      <c r="L80" s="50" t="n">
        <v>0.993333333333333</v>
      </c>
    </row>
    <row r="81" ht="22" customHeight="1" s="39">
      <c r="A81" s="6" t="inlineStr">
        <is>
          <t>意丁</t>
        </is>
      </c>
      <c r="B81" s="6" t="n">
        <v>4</v>
      </c>
      <c r="C81" s="6" t="n">
        <v>4</v>
      </c>
      <c r="D81" s="6" t="n">
        <v>0</v>
      </c>
      <c r="E81" s="6" t="n">
        <v>0</v>
      </c>
      <c r="F81" s="6" t="n">
        <v>0</v>
      </c>
      <c r="G81" s="6" t="n">
        <v>0</v>
      </c>
      <c r="H81" s="6" t="n">
        <v>1</v>
      </c>
      <c r="I81" s="6" t="n">
        <v>3</v>
      </c>
      <c r="J81" s="50" t="n">
        <v>0</v>
      </c>
      <c r="K81" s="51" t="n">
        <v>-3.5</v>
      </c>
      <c r="L81" s="50" t="n">
        <v>-0.875</v>
      </c>
    </row>
    <row r="82" ht="22" customHeight="1" s="39">
      <c r="A82" s="6" t="inlineStr">
        <is>
          <t>意丙</t>
        </is>
      </c>
      <c r="B82" s="6" t="n">
        <v>4</v>
      </c>
      <c r="C82" s="6" t="n">
        <v>4</v>
      </c>
      <c r="D82" s="6" t="n">
        <v>0</v>
      </c>
      <c r="E82" s="6" t="n">
        <v>0</v>
      </c>
      <c r="F82" s="6" t="n">
        <v>1</v>
      </c>
      <c r="G82" s="6" t="n">
        <v>0</v>
      </c>
      <c r="H82" s="6" t="n">
        <v>1</v>
      </c>
      <c r="I82" s="6" t="n">
        <v>2</v>
      </c>
      <c r="J82" s="50" t="n">
        <v>0.166666666666667</v>
      </c>
      <c r="K82" s="51" t="n">
        <v>-2</v>
      </c>
      <c r="L82" s="50" t="n">
        <v>-0.5</v>
      </c>
    </row>
    <row r="83" ht="22" customHeight="1" s="39">
      <c r="A83" s="6" t="inlineStr">
        <is>
          <t>意乙</t>
        </is>
      </c>
      <c r="B83" s="6" t="n">
        <v>3</v>
      </c>
      <c r="C83" s="6" t="n">
        <v>3</v>
      </c>
      <c r="D83" s="6" t="n">
        <v>0</v>
      </c>
      <c r="E83" s="6" t="n">
        <v>0</v>
      </c>
      <c r="F83" s="6" t="n">
        <v>0</v>
      </c>
      <c r="G83" s="6" t="n">
        <v>1</v>
      </c>
      <c r="H83" s="6" t="n">
        <v>1</v>
      </c>
      <c r="I83" s="6" t="n">
        <v>1</v>
      </c>
      <c r="J83" s="50" t="n">
        <v>0</v>
      </c>
      <c r="K83" s="51" t="n">
        <v>-1.5</v>
      </c>
      <c r="L83" s="50" t="n">
        <v>-0.5</v>
      </c>
    </row>
    <row r="84" ht="22" customHeight="1" s="39">
      <c r="A84" s="6" t="inlineStr">
        <is>
          <t>意杯</t>
        </is>
      </c>
      <c r="B84" s="6" t="n">
        <v>1</v>
      </c>
      <c r="C84" s="6" t="n">
        <v>1</v>
      </c>
      <c r="D84" s="6" t="n">
        <v>0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1</v>
      </c>
      <c r="J84" s="50" t="n">
        <v>0</v>
      </c>
      <c r="K84" s="51" t="n">
        <v>-1</v>
      </c>
      <c r="L84" s="50" t="n">
        <v>-1</v>
      </c>
    </row>
    <row r="85" ht="22" customHeight="1" s="39">
      <c r="A85" s="6" t="inlineStr">
        <is>
          <t>意甲</t>
        </is>
      </c>
      <c r="B85" s="6" t="n">
        <v>3</v>
      </c>
      <c r="C85" s="6" t="n">
        <v>3</v>
      </c>
      <c r="D85" s="6" t="n">
        <v>0</v>
      </c>
      <c r="E85" s="6" t="n">
        <v>1</v>
      </c>
      <c r="F85" s="6" t="n">
        <v>0</v>
      </c>
      <c r="G85" s="6" t="n">
        <v>1</v>
      </c>
      <c r="H85" s="6" t="n">
        <v>0</v>
      </c>
      <c r="I85" s="6" t="n">
        <v>1</v>
      </c>
      <c r="J85" s="50" t="n">
        <v>0.5</v>
      </c>
      <c r="K85" s="51" t="n">
        <v>-0.04</v>
      </c>
      <c r="L85" s="50" t="n">
        <v>-0.0133333333333333</v>
      </c>
    </row>
    <row r="86" ht="22" customHeight="1" s="39">
      <c r="A86" s="6" t="inlineStr">
        <is>
          <t>拉脱超</t>
        </is>
      </c>
      <c r="B86" s="6" t="n">
        <v>1</v>
      </c>
      <c r="C86" s="6" t="n">
        <v>1</v>
      </c>
      <c r="D86" s="6" t="n">
        <v>0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50" t="n">
        <v>1</v>
      </c>
      <c r="K86" s="51" t="n">
        <v>1.08</v>
      </c>
      <c r="L86" s="50" t="n">
        <v>1.08</v>
      </c>
    </row>
    <row r="87" ht="22" customHeight="1" s="39">
      <c r="A87" s="6" t="inlineStr">
        <is>
          <t>挪丙</t>
        </is>
      </c>
      <c r="B87" s="6" t="n">
        <v>1</v>
      </c>
      <c r="C87" s="6" t="n">
        <v>1</v>
      </c>
      <c r="D87" s="6" t="n">
        <v>0</v>
      </c>
      <c r="E87" s="6" t="n">
        <v>1</v>
      </c>
      <c r="F87" s="6" t="n">
        <v>0</v>
      </c>
      <c r="G87" s="6" t="n">
        <v>0</v>
      </c>
      <c r="H87" s="6" t="n">
        <v>0</v>
      </c>
      <c r="I87" s="6" t="n">
        <v>0</v>
      </c>
      <c r="J87" s="50" t="n">
        <v>1</v>
      </c>
      <c r="K87" s="51" t="n">
        <v>1.08</v>
      </c>
      <c r="L87" s="50" t="n">
        <v>1.08</v>
      </c>
    </row>
    <row r="88" ht="22" customHeight="1" s="39">
      <c r="A88" s="6" t="inlineStr">
        <is>
          <t>挪威杯</t>
        </is>
      </c>
      <c r="B88" s="6" t="n">
        <v>3</v>
      </c>
      <c r="C88" s="6" t="n">
        <v>3</v>
      </c>
      <c r="D88" s="6" t="n">
        <v>0</v>
      </c>
      <c r="E88" s="6" t="n">
        <v>1</v>
      </c>
      <c r="F88" s="6" t="n">
        <v>0</v>
      </c>
      <c r="G88" s="6" t="n">
        <v>0</v>
      </c>
      <c r="H88" s="6" t="n">
        <v>0</v>
      </c>
      <c r="I88" s="6" t="n">
        <v>2</v>
      </c>
      <c r="J88" s="50" t="n">
        <v>0.333333333333333</v>
      </c>
      <c r="K88" s="51" t="n">
        <v>-1.01</v>
      </c>
      <c r="L88" s="50" t="n">
        <v>-0.336666666666667</v>
      </c>
    </row>
    <row r="89" ht="22" customHeight="1" s="39">
      <c r="A89" s="6" t="inlineStr">
        <is>
          <t>挪甲</t>
        </is>
      </c>
      <c r="B89" s="6" t="n">
        <v>3</v>
      </c>
      <c r="C89" s="6" t="n">
        <v>3</v>
      </c>
      <c r="D89" s="6" t="n">
        <v>0</v>
      </c>
      <c r="E89" s="6" t="n">
        <v>1</v>
      </c>
      <c r="F89" s="6" t="n">
        <v>0</v>
      </c>
      <c r="G89" s="6" t="n">
        <v>0</v>
      </c>
      <c r="H89" s="6" t="n">
        <v>0</v>
      </c>
      <c r="I89" s="6" t="n">
        <v>2</v>
      </c>
      <c r="J89" s="50" t="n">
        <v>0.333333333333333</v>
      </c>
      <c r="K89" s="51" t="n">
        <v>-1.22</v>
      </c>
      <c r="L89" s="50" t="n">
        <v>-0.406666666666667</v>
      </c>
    </row>
    <row r="90" ht="22" customHeight="1" s="39">
      <c r="A90" s="6" t="inlineStr">
        <is>
          <t>挪超</t>
        </is>
      </c>
      <c r="B90" s="6" t="n">
        <v>6</v>
      </c>
      <c r="C90" s="6" t="n">
        <v>6</v>
      </c>
      <c r="D90" s="6" t="n">
        <v>0</v>
      </c>
      <c r="E90" s="6" t="n">
        <v>4</v>
      </c>
      <c r="F90" s="6" t="n">
        <v>0</v>
      </c>
      <c r="G90" s="6" t="n">
        <v>0</v>
      </c>
      <c r="H90" s="6" t="n">
        <v>0</v>
      </c>
      <c r="I90" s="6" t="n">
        <v>2</v>
      </c>
      <c r="J90" s="50" t="n">
        <v>0.666666666666667</v>
      </c>
      <c r="K90" s="51" t="n">
        <v>1.79</v>
      </c>
      <c r="L90" s="50" t="n">
        <v>0.298333333333333</v>
      </c>
    </row>
    <row r="91" ht="22" customHeight="1" s="39">
      <c r="A91" s="6" t="inlineStr">
        <is>
          <t>捷丙</t>
        </is>
      </c>
      <c r="B91" s="6" t="n">
        <v>1</v>
      </c>
      <c r="C91" s="6" t="n">
        <v>1</v>
      </c>
      <c r="D91" s="6" t="n">
        <v>0</v>
      </c>
      <c r="E91" s="6" t="n">
        <v>1</v>
      </c>
      <c r="F91" s="6" t="n">
        <v>0</v>
      </c>
      <c r="G91" s="6" t="n">
        <v>0</v>
      </c>
      <c r="H91" s="6" t="n">
        <v>0</v>
      </c>
      <c r="I91" s="6" t="n">
        <v>0</v>
      </c>
      <c r="J91" s="50" t="n">
        <v>1</v>
      </c>
      <c r="K91" s="51" t="n">
        <v>0.83</v>
      </c>
      <c r="L91" s="50" t="n">
        <v>0.83</v>
      </c>
    </row>
    <row r="92" ht="22" customHeight="1" s="39">
      <c r="A92" s="6" t="inlineStr">
        <is>
          <t>捷克杯</t>
        </is>
      </c>
      <c r="B92" s="6" t="n">
        <v>1</v>
      </c>
      <c r="C92" s="6" t="n">
        <v>1</v>
      </c>
      <c r="D92" s="6" t="n">
        <v>0</v>
      </c>
      <c r="E92" s="6" t="n">
        <v>1</v>
      </c>
      <c r="F92" s="6" t="n">
        <v>0</v>
      </c>
      <c r="G92" s="6" t="n">
        <v>0</v>
      </c>
      <c r="H92" s="6" t="n">
        <v>0</v>
      </c>
      <c r="I92" s="6" t="n">
        <v>0</v>
      </c>
      <c r="J92" s="50" t="n">
        <v>1</v>
      </c>
      <c r="K92" s="51" t="n">
        <v>0.84</v>
      </c>
      <c r="L92" s="50" t="n">
        <v>0.84</v>
      </c>
    </row>
    <row r="93" ht="22" customHeight="1" s="39">
      <c r="A93" s="6" t="inlineStr">
        <is>
          <t>捷甲</t>
        </is>
      </c>
      <c r="B93" s="6" t="n">
        <v>1</v>
      </c>
      <c r="C93" s="6" t="n">
        <v>1</v>
      </c>
      <c r="D93" s="6" t="n">
        <v>0</v>
      </c>
      <c r="E93" s="6" t="n">
        <v>1</v>
      </c>
      <c r="F93" s="6" t="n">
        <v>0</v>
      </c>
      <c r="G93" s="6" t="n">
        <v>0</v>
      </c>
      <c r="H93" s="6" t="n">
        <v>0</v>
      </c>
      <c r="I93" s="6" t="n">
        <v>0</v>
      </c>
      <c r="J93" s="50" t="n">
        <v>1</v>
      </c>
      <c r="K93" s="51" t="n">
        <v>1.05</v>
      </c>
      <c r="L93" s="50" t="n">
        <v>1.05</v>
      </c>
    </row>
    <row r="94" ht="22" customHeight="1" s="39">
      <c r="A94" s="6" t="inlineStr">
        <is>
          <t>斯亚甲</t>
        </is>
      </c>
      <c r="B94" s="6" t="n">
        <v>4</v>
      </c>
      <c r="C94" s="6" t="n">
        <v>4</v>
      </c>
      <c r="D94" s="6" t="n">
        <v>0</v>
      </c>
      <c r="E94" s="6" t="n">
        <v>2</v>
      </c>
      <c r="F94" s="6" t="n">
        <v>0</v>
      </c>
      <c r="G94" s="6" t="n">
        <v>0</v>
      </c>
      <c r="H94" s="6" t="n">
        <v>0</v>
      </c>
      <c r="I94" s="6" t="n">
        <v>2</v>
      </c>
      <c r="J94" s="50" t="n">
        <v>0.5</v>
      </c>
      <c r="K94" s="51" t="n">
        <v>0.18</v>
      </c>
      <c r="L94" s="50" t="n">
        <v>0.045</v>
      </c>
    </row>
    <row r="95" ht="22" customHeight="1" s="39">
      <c r="A95" s="6" t="inlineStr">
        <is>
          <t>斯伐杯</t>
        </is>
      </c>
      <c r="B95" s="6" t="n">
        <v>1</v>
      </c>
      <c r="C95" s="6" t="n">
        <v>1</v>
      </c>
      <c r="D95" s="6" t="n">
        <v>0</v>
      </c>
      <c r="E95" s="6" t="n">
        <v>1</v>
      </c>
      <c r="F95" s="6" t="n">
        <v>0</v>
      </c>
      <c r="G95" s="6" t="n">
        <v>0</v>
      </c>
      <c r="H95" s="6" t="n">
        <v>0</v>
      </c>
      <c r="I95" s="6" t="n">
        <v>0</v>
      </c>
      <c r="J95" s="50" t="n">
        <v>1</v>
      </c>
      <c r="K95" s="51" t="n">
        <v>0.76</v>
      </c>
      <c r="L95" s="50" t="n">
        <v>0.76</v>
      </c>
    </row>
    <row r="96" ht="22" customHeight="1" s="39">
      <c r="A96" s="6" t="inlineStr">
        <is>
          <t>日职丙</t>
        </is>
      </c>
      <c r="B96" s="6" t="n">
        <v>2</v>
      </c>
      <c r="C96" s="6" t="n">
        <v>2</v>
      </c>
      <c r="D96" s="6" t="n">
        <v>0</v>
      </c>
      <c r="E96" s="6" t="n">
        <v>1</v>
      </c>
      <c r="F96" s="6" t="n">
        <v>0</v>
      </c>
      <c r="G96" s="6" t="n">
        <v>1</v>
      </c>
      <c r="H96" s="6" t="n">
        <v>0</v>
      </c>
      <c r="I96" s="6" t="n">
        <v>0</v>
      </c>
      <c r="J96" s="50" t="n">
        <v>1</v>
      </c>
      <c r="K96" s="51" t="n">
        <v>1</v>
      </c>
      <c r="L96" s="50" t="n">
        <v>0.5</v>
      </c>
    </row>
    <row r="97" ht="22" customHeight="1" s="39">
      <c r="A97" s="6" t="inlineStr">
        <is>
          <t>日职乙</t>
        </is>
      </c>
      <c r="B97" s="6" t="n">
        <v>4</v>
      </c>
      <c r="C97" s="6" t="n">
        <v>4</v>
      </c>
      <c r="D97" s="6" t="n">
        <v>0</v>
      </c>
      <c r="E97" s="6" t="n">
        <v>2</v>
      </c>
      <c r="F97" s="6" t="n">
        <v>1</v>
      </c>
      <c r="G97" s="6" t="n">
        <v>0</v>
      </c>
      <c r="H97" s="6" t="n">
        <v>0</v>
      </c>
      <c r="I97" s="6" t="n">
        <v>1</v>
      </c>
      <c r="J97" s="50" t="n">
        <v>0.714285714285714</v>
      </c>
      <c r="K97" s="51" t="n">
        <v>1.595</v>
      </c>
      <c r="L97" s="50" t="n">
        <v>0.39875</v>
      </c>
    </row>
    <row r="98" ht="22" customHeight="1" s="39">
      <c r="A98" s="6" t="inlineStr">
        <is>
          <t>日职女甲</t>
        </is>
      </c>
      <c r="B98" s="6" t="n">
        <v>1</v>
      </c>
      <c r="C98" s="6" t="n">
        <v>1</v>
      </c>
      <c r="D98" s="6" t="n">
        <v>0</v>
      </c>
      <c r="E98" s="6" t="n">
        <v>1</v>
      </c>
      <c r="F98" s="6" t="n">
        <v>0</v>
      </c>
      <c r="G98" s="6" t="n">
        <v>0</v>
      </c>
      <c r="H98" s="6" t="n">
        <v>0</v>
      </c>
      <c r="I98" s="6" t="n">
        <v>0</v>
      </c>
      <c r="J98" s="50" t="n">
        <v>1</v>
      </c>
      <c r="K98" s="51" t="n">
        <v>0.97</v>
      </c>
      <c r="L98" s="50" t="n">
        <v>0.97</v>
      </c>
    </row>
    <row r="99" ht="22" customHeight="1" s="39">
      <c r="A99" s="6" t="inlineStr">
        <is>
          <t>日职联</t>
        </is>
      </c>
      <c r="B99" s="6" t="n">
        <v>3</v>
      </c>
      <c r="C99" s="6" t="n">
        <v>3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3</v>
      </c>
      <c r="J99" s="50" t="n">
        <v>0</v>
      </c>
      <c r="K99" s="51" t="n">
        <v>-3</v>
      </c>
      <c r="L99" s="50" t="n">
        <v>-1</v>
      </c>
    </row>
    <row r="100" ht="22" customHeight="1" s="39">
      <c r="A100" s="6" t="inlineStr">
        <is>
          <t>日足联</t>
        </is>
      </c>
      <c r="B100" s="6" t="n">
        <v>1</v>
      </c>
      <c r="C100" s="6" t="n">
        <v>1</v>
      </c>
      <c r="D100" s="6" t="n">
        <v>0</v>
      </c>
      <c r="E100" s="6" t="n">
        <v>1</v>
      </c>
      <c r="F100" s="6" t="n">
        <v>0</v>
      </c>
      <c r="G100" s="6" t="n">
        <v>0</v>
      </c>
      <c r="H100" s="6" t="n">
        <v>0</v>
      </c>
      <c r="I100" s="6" t="n">
        <v>0</v>
      </c>
      <c r="J100" s="50" t="n">
        <v>1</v>
      </c>
      <c r="K100" s="51" t="n">
        <v>1</v>
      </c>
      <c r="L100" s="50" t="n">
        <v>1</v>
      </c>
    </row>
    <row r="101" ht="22" customHeight="1" s="39">
      <c r="A101" s="6" t="inlineStr">
        <is>
          <t>欧罗巴杯</t>
        </is>
      </c>
      <c r="B101" s="6" t="n">
        <v>8</v>
      </c>
      <c r="C101" s="6" t="n">
        <v>8</v>
      </c>
      <c r="D101" s="6" t="n">
        <v>0</v>
      </c>
      <c r="E101" s="6" t="n">
        <v>3</v>
      </c>
      <c r="F101" s="6" t="n">
        <v>0</v>
      </c>
      <c r="G101" s="6" t="n">
        <v>0</v>
      </c>
      <c r="H101" s="6" t="n">
        <v>1</v>
      </c>
      <c r="I101" s="6" t="n">
        <v>4</v>
      </c>
      <c r="J101" s="50" t="n">
        <v>0.4</v>
      </c>
      <c r="K101" s="51" t="n">
        <v>-1.49</v>
      </c>
      <c r="L101" s="50" t="n">
        <v>-0.18625</v>
      </c>
    </row>
    <row r="102" ht="22" customHeight="1" s="39">
      <c r="A102" s="6" t="inlineStr">
        <is>
          <t>比乙</t>
        </is>
      </c>
      <c r="B102" s="6" t="n">
        <v>2</v>
      </c>
      <c r="C102" s="6" t="n">
        <v>2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2</v>
      </c>
      <c r="J102" s="50" t="n">
        <v>0</v>
      </c>
      <c r="K102" s="51" t="n">
        <v>-2</v>
      </c>
      <c r="L102" s="50" t="n">
        <v>-1</v>
      </c>
    </row>
    <row r="103" ht="22" customHeight="1" s="39">
      <c r="A103" s="6" t="inlineStr">
        <is>
          <t>比甲</t>
        </is>
      </c>
      <c r="B103" s="6" t="n">
        <v>3</v>
      </c>
      <c r="C103" s="6" t="n">
        <v>3</v>
      </c>
      <c r="D103" s="6" t="n">
        <v>0</v>
      </c>
      <c r="E103" s="6" t="n">
        <v>1</v>
      </c>
      <c r="F103" s="6" t="n">
        <v>2</v>
      </c>
      <c r="G103" s="6" t="n">
        <v>0</v>
      </c>
      <c r="H103" s="6" t="n">
        <v>0</v>
      </c>
      <c r="I103" s="6" t="n">
        <v>0</v>
      </c>
      <c r="J103" s="50" t="n">
        <v>1</v>
      </c>
      <c r="K103" s="51" t="n">
        <v>2.135</v>
      </c>
      <c r="L103" s="50" t="n">
        <v>0.711666666666667</v>
      </c>
    </row>
    <row r="104" ht="22" customHeight="1" s="39">
      <c r="A104" s="6" t="inlineStr">
        <is>
          <t>沙地甲</t>
        </is>
      </c>
      <c r="B104" s="6" t="n">
        <v>2</v>
      </c>
      <c r="C104" s="6" t="n">
        <v>2</v>
      </c>
      <c r="D104" s="6" t="n">
        <v>0</v>
      </c>
      <c r="E104" s="6" t="n">
        <v>1</v>
      </c>
      <c r="F104" s="6" t="n">
        <v>0</v>
      </c>
      <c r="G104" s="6" t="n">
        <v>0</v>
      </c>
      <c r="H104" s="6" t="n">
        <v>0</v>
      </c>
      <c r="I104" s="6" t="n">
        <v>1</v>
      </c>
      <c r="J104" s="50" t="n">
        <v>0.5</v>
      </c>
      <c r="K104" s="51" t="n">
        <v>-0.24</v>
      </c>
      <c r="L104" s="50" t="n">
        <v>-0.12</v>
      </c>
    </row>
    <row r="105" ht="22" customHeight="1" s="39">
      <c r="A105" s="6" t="inlineStr">
        <is>
          <t>法丙</t>
        </is>
      </c>
      <c r="B105" s="6" t="n">
        <v>1</v>
      </c>
      <c r="C105" s="6" t="n">
        <v>1</v>
      </c>
      <c r="D105" s="6" t="n">
        <v>0</v>
      </c>
      <c r="E105" s="6" t="n">
        <v>0</v>
      </c>
      <c r="F105" s="6" t="n">
        <v>1</v>
      </c>
      <c r="G105" s="6" t="n">
        <v>0</v>
      </c>
      <c r="H105" s="6" t="n">
        <v>0</v>
      </c>
      <c r="I105" s="6" t="n">
        <v>0</v>
      </c>
      <c r="J105" s="50" t="n">
        <v>1</v>
      </c>
      <c r="K105" s="51" t="n">
        <v>0.52</v>
      </c>
      <c r="L105" s="50" t="n">
        <v>0.52</v>
      </c>
    </row>
    <row r="106" ht="22" customHeight="1" s="39">
      <c r="A106" s="6" t="inlineStr">
        <is>
          <t>法乙</t>
        </is>
      </c>
      <c r="B106" s="6" t="n">
        <v>2</v>
      </c>
      <c r="C106" s="6" t="n">
        <v>2</v>
      </c>
      <c r="D106" s="6" t="n">
        <v>0</v>
      </c>
      <c r="E106" s="6" t="n">
        <v>1</v>
      </c>
      <c r="F106" s="6" t="n">
        <v>0</v>
      </c>
      <c r="G106" s="6" t="n">
        <v>0</v>
      </c>
      <c r="H106" s="6" t="n">
        <v>1</v>
      </c>
      <c r="I106" s="6" t="n">
        <v>0</v>
      </c>
      <c r="J106" s="50" t="n">
        <v>0.666666666666667</v>
      </c>
      <c r="K106" s="51" t="n">
        <v>0.51</v>
      </c>
      <c r="L106" s="50" t="n">
        <v>0.255</v>
      </c>
    </row>
    <row r="107" ht="22" customHeight="1" s="39">
      <c r="A107" s="6" t="inlineStr">
        <is>
          <t>法甲</t>
        </is>
      </c>
      <c r="B107" s="6" t="n">
        <v>5</v>
      </c>
      <c r="C107" s="6" t="n">
        <v>5</v>
      </c>
      <c r="D107" s="6" t="n">
        <v>0</v>
      </c>
      <c r="E107" s="6" t="n">
        <v>3</v>
      </c>
      <c r="F107" s="6" t="n">
        <v>0</v>
      </c>
      <c r="G107" s="6" t="n">
        <v>0</v>
      </c>
      <c r="H107" s="6" t="n">
        <v>0</v>
      </c>
      <c r="I107" s="6" t="n">
        <v>2</v>
      </c>
      <c r="J107" s="50" t="n">
        <v>0.6</v>
      </c>
      <c r="K107" s="51" t="n">
        <v>1.04</v>
      </c>
      <c r="L107" s="50" t="n">
        <v>0.208</v>
      </c>
    </row>
    <row r="108" ht="22" customHeight="1" s="39">
      <c r="A108" s="6" t="inlineStr">
        <is>
          <t>波兰乙</t>
        </is>
      </c>
      <c r="B108" s="6" t="n">
        <v>1</v>
      </c>
      <c r="C108" s="6" t="n">
        <v>1</v>
      </c>
      <c r="D108" s="6" t="n">
        <v>0</v>
      </c>
      <c r="E108" s="6" t="n">
        <v>0</v>
      </c>
      <c r="F108" s="6" t="n">
        <v>1</v>
      </c>
      <c r="G108" s="6" t="n">
        <v>0</v>
      </c>
      <c r="H108" s="6" t="n">
        <v>0</v>
      </c>
      <c r="I108" s="6" t="n">
        <v>0</v>
      </c>
      <c r="J108" s="50" t="n">
        <v>1</v>
      </c>
      <c r="K108" s="51" t="n">
        <v>0.555</v>
      </c>
      <c r="L108" s="50" t="n">
        <v>0.555</v>
      </c>
    </row>
    <row r="109" ht="22" customHeight="1" s="39">
      <c r="A109" s="6" t="inlineStr">
        <is>
          <t>波兰甲</t>
        </is>
      </c>
      <c r="B109" s="6" t="n">
        <v>1</v>
      </c>
      <c r="C109" s="6" t="n">
        <v>1</v>
      </c>
      <c r="D109" s="6" t="n">
        <v>0</v>
      </c>
      <c r="E109" s="6" t="n">
        <v>1</v>
      </c>
      <c r="F109" s="6" t="n">
        <v>0</v>
      </c>
      <c r="G109" s="6" t="n">
        <v>0</v>
      </c>
      <c r="H109" s="6" t="n">
        <v>0</v>
      </c>
      <c r="I109" s="6" t="n">
        <v>0</v>
      </c>
      <c r="J109" s="50" t="n">
        <v>1</v>
      </c>
      <c r="K109" s="51" t="n">
        <v>1.04</v>
      </c>
      <c r="L109" s="50" t="n">
        <v>1.04</v>
      </c>
    </row>
    <row r="110" ht="22" customHeight="1" s="39">
      <c r="A110" s="6" t="inlineStr">
        <is>
          <t>波兰超</t>
        </is>
      </c>
      <c r="B110" s="6" t="n">
        <v>4</v>
      </c>
      <c r="C110" s="6" t="n">
        <v>4</v>
      </c>
      <c r="D110" s="6" t="n">
        <v>0</v>
      </c>
      <c r="E110" s="6" t="n">
        <v>2</v>
      </c>
      <c r="F110" s="6" t="n">
        <v>1</v>
      </c>
      <c r="G110" s="6" t="n">
        <v>0</v>
      </c>
      <c r="H110" s="6" t="n">
        <v>1</v>
      </c>
      <c r="I110" s="6" t="n">
        <v>0</v>
      </c>
      <c r="J110" s="50" t="n">
        <v>0.833333333333333</v>
      </c>
      <c r="K110" s="51" t="n">
        <v>2.035</v>
      </c>
      <c r="L110" s="50" t="n">
        <v>0.50875</v>
      </c>
    </row>
    <row r="111" ht="22" customHeight="1" s="39">
      <c r="A111" s="6" t="inlineStr">
        <is>
          <t>波斯甲</t>
        </is>
      </c>
      <c r="B111" s="6" t="n">
        <v>1</v>
      </c>
      <c r="C111" s="6" t="n">
        <v>1</v>
      </c>
      <c r="D111" s="6" t="n">
        <v>0</v>
      </c>
      <c r="E111" s="6" t="n">
        <v>1</v>
      </c>
      <c r="F111" s="6" t="n">
        <v>0</v>
      </c>
      <c r="G111" s="6" t="n">
        <v>0</v>
      </c>
      <c r="H111" s="6" t="n">
        <v>0</v>
      </c>
      <c r="I111" s="6" t="n">
        <v>0</v>
      </c>
      <c r="J111" s="50" t="n">
        <v>1</v>
      </c>
      <c r="K111" s="51" t="n">
        <v>1.01</v>
      </c>
      <c r="L111" s="50" t="n">
        <v>1.01</v>
      </c>
    </row>
    <row r="112" ht="22" customHeight="1" s="39">
      <c r="A112" s="6" t="inlineStr">
        <is>
          <t>泰超</t>
        </is>
      </c>
      <c r="B112" s="6" t="n">
        <v>1</v>
      </c>
      <c r="C112" s="6" t="n">
        <v>1</v>
      </c>
      <c r="D112" s="6" t="n">
        <v>0</v>
      </c>
      <c r="E112" s="6" t="n">
        <v>0</v>
      </c>
      <c r="F112" s="6" t="n">
        <v>0</v>
      </c>
      <c r="G112" s="6" t="n">
        <v>0</v>
      </c>
      <c r="H112" s="6" t="n">
        <v>0</v>
      </c>
      <c r="I112" s="6" t="n">
        <v>1</v>
      </c>
      <c r="J112" s="50" t="n">
        <v>0</v>
      </c>
      <c r="K112" s="51" t="n">
        <v>-1</v>
      </c>
      <c r="L112" s="50" t="n">
        <v>-1</v>
      </c>
    </row>
    <row r="113" ht="22" customHeight="1" s="39">
      <c r="A113" s="6" t="inlineStr">
        <is>
          <t>澳西超</t>
        </is>
      </c>
      <c r="B113" s="6" t="n">
        <v>1</v>
      </c>
      <c r="C113" s="6" t="n">
        <v>1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0</v>
      </c>
      <c r="I113" s="6" t="n">
        <v>1</v>
      </c>
      <c r="J113" s="50" t="n">
        <v>0</v>
      </c>
      <c r="K113" s="51" t="n">
        <v>-1</v>
      </c>
      <c r="L113" s="50" t="n">
        <v>-1</v>
      </c>
    </row>
    <row r="114" ht="22" customHeight="1" s="39">
      <c r="A114" s="6" t="inlineStr">
        <is>
          <t>爱甲</t>
        </is>
      </c>
      <c r="B114" s="6" t="n">
        <v>1</v>
      </c>
      <c r="C114" s="6" t="n">
        <v>1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1</v>
      </c>
      <c r="J114" s="50" t="n">
        <v>0</v>
      </c>
      <c r="K114" s="51" t="n">
        <v>-1</v>
      </c>
      <c r="L114" s="50" t="n">
        <v>-1</v>
      </c>
    </row>
    <row r="115" ht="22" customHeight="1" s="39">
      <c r="A115" s="6" t="inlineStr">
        <is>
          <t>爱超</t>
        </is>
      </c>
      <c r="B115" s="6" t="n">
        <v>2</v>
      </c>
      <c r="C115" s="6" t="n">
        <v>2</v>
      </c>
      <c r="D115" s="6" t="n">
        <v>0</v>
      </c>
      <c r="E115" s="6" t="n">
        <v>1</v>
      </c>
      <c r="F115" s="6" t="n">
        <v>1</v>
      </c>
      <c r="G115" s="6" t="n">
        <v>0</v>
      </c>
      <c r="H115" s="6" t="n">
        <v>0</v>
      </c>
      <c r="I115" s="6" t="n">
        <v>0</v>
      </c>
      <c r="J115" s="50" t="n">
        <v>1</v>
      </c>
      <c r="K115" s="51" t="n">
        <v>1.56</v>
      </c>
      <c r="L115" s="50" t="n">
        <v>0.78</v>
      </c>
    </row>
    <row r="116" ht="22" customHeight="1" s="39">
      <c r="A116" s="6" t="inlineStr">
        <is>
          <t>玻利杯</t>
        </is>
      </c>
      <c r="B116" s="6" t="n">
        <v>1</v>
      </c>
      <c r="C116" s="6" t="n">
        <v>1</v>
      </c>
      <c r="D116" s="6" t="n">
        <v>0</v>
      </c>
      <c r="E116" s="6" t="n">
        <v>0</v>
      </c>
      <c r="F116" s="6" t="n">
        <v>1</v>
      </c>
      <c r="G116" s="6" t="n">
        <v>0</v>
      </c>
      <c r="H116" s="6" t="n">
        <v>0</v>
      </c>
      <c r="I116" s="6" t="n">
        <v>0</v>
      </c>
      <c r="J116" s="50" t="n">
        <v>1</v>
      </c>
      <c r="K116" s="51" t="n">
        <v>0.525</v>
      </c>
      <c r="L116" s="50" t="n">
        <v>0.525</v>
      </c>
    </row>
    <row r="117" ht="22" customHeight="1" s="39">
      <c r="A117" s="6" t="inlineStr">
        <is>
          <t>瑞典乙北</t>
        </is>
      </c>
      <c r="B117" s="6" t="n">
        <v>1</v>
      </c>
      <c r="C117" s="6" t="n">
        <v>1</v>
      </c>
      <c r="D117" s="6" t="n">
        <v>0</v>
      </c>
      <c r="E117" s="6" t="n">
        <v>0</v>
      </c>
      <c r="F117" s="6" t="n">
        <v>0</v>
      </c>
      <c r="G117" s="6" t="n">
        <v>0</v>
      </c>
      <c r="H117" s="6" t="n">
        <v>0</v>
      </c>
      <c r="I117" s="6" t="n">
        <v>1</v>
      </c>
      <c r="J117" s="50" t="n">
        <v>0</v>
      </c>
      <c r="K117" s="51" t="n">
        <v>-1</v>
      </c>
      <c r="L117" s="50" t="n">
        <v>-1</v>
      </c>
    </row>
    <row r="118" ht="22" customHeight="1" s="39">
      <c r="A118" s="6" t="inlineStr">
        <is>
          <t>瑞典甲</t>
        </is>
      </c>
      <c r="B118" s="6" t="n">
        <v>4</v>
      </c>
      <c r="C118" s="6" t="n">
        <v>4</v>
      </c>
      <c r="D118" s="6" t="n">
        <v>0</v>
      </c>
      <c r="E118" s="6" t="n">
        <v>1</v>
      </c>
      <c r="F118" s="6" t="n">
        <v>0</v>
      </c>
      <c r="G118" s="6" t="n">
        <v>0</v>
      </c>
      <c r="H118" s="6" t="n">
        <v>1</v>
      </c>
      <c r="I118" s="6" t="n">
        <v>2</v>
      </c>
      <c r="J118" s="50" t="n">
        <v>0.285714285714286</v>
      </c>
      <c r="K118" s="51" t="n">
        <v>-1.45</v>
      </c>
      <c r="L118" s="50" t="n">
        <v>-0.3625</v>
      </c>
    </row>
    <row r="119" ht="22" customHeight="1" s="39">
      <c r="A119" s="6" t="inlineStr">
        <is>
          <t>瑞典超</t>
        </is>
      </c>
      <c r="B119" s="6" t="n">
        <v>7</v>
      </c>
      <c r="C119" s="6" t="n">
        <v>7</v>
      </c>
      <c r="D119" s="6" t="n">
        <v>0</v>
      </c>
      <c r="E119" s="6" t="n">
        <v>5</v>
      </c>
      <c r="F119" s="6" t="n">
        <v>0</v>
      </c>
      <c r="G119" s="6" t="n">
        <v>2</v>
      </c>
      <c r="H119" s="6" t="n">
        <v>0</v>
      </c>
      <c r="I119" s="6" t="n">
        <v>0</v>
      </c>
      <c r="J119" s="50" t="n">
        <v>1</v>
      </c>
      <c r="K119" s="51" t="n">
        <v>5.21</v>
      </c>
      <c r="L119" s="50" t="n">
        <v>0.744285714285714</v>
      </c>
    </row>
    <row r="120" ht="22" customHeight="1" s="39">
      <c r="A120" s="6" t="inlineStr">
        <is>
          <t>瑞士甲</t>
        </is>
      </c>
      <c r="B120" s="6" t="n">
        <v>2</v>
      </c>
      <c r="C120" s="6" t="n">
        <v>2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0</v>
      </c>
      <c r="I120" s="6" t="n">
        <v>2</v>
      </c>
      <c r="J120" s="50" t="n">
        <v>0</v>
      </c>
      <c r="K120" s="51" t="n">
        <v>-2</v>
      </c>
      <c r="L120" s="50" t="n">
        <v>-1</v>
      </c>
    </row>
    <row r="121" ht="22" customHeight="1" s="39">
      <c r="A121" s="6" t="inlineStr">
        <is>
          <t>瑞士超</t>
        </is>
      </c>
      <c r="B121" s="6" t="n">
        <v>3</v>
      </c>
      <c r="C121" s="6" t="n">
        <v>3</v>
      </c>
      <c r="D121" s="6" t="n">
        <v>0</v>
      </c>
      <c r="E121" s="6" t="n">
        <v>1</v>
      </c>
      <c r="F121" s="6" t="n">
        <v>0</v>
      </c>
      <c r="G121" s="6" t="n">
        <v>0</v>
      </c>
      <c r="H121" s="6" t="n">
        <v>0</v>
      </c>
      <c r="I121" s="6" t="n">
        <v>2</v>
      </c>
      <c r="J121" s="50" t="n">
        <v>0.333333333333333</v>
      </c>
      <c r="K121" s="51" t="n">
        <v>-0.9399999999999999</v>
      </c>
      <c r="L121" s="50" t="n">
        <v>-0.313333333333333</v>
      </c>
    </row>
    <row r="122" ht="22" customHeight="1" s="39">
      <c r="A122" s="6" t="inlineStr">
        <is>
          <t>白俄超</t>
        </is>
      </c>
      <c r="B122" s="6" t="n">
        <v>1</v>
      </c>
      <c r="C122" s="6" t="n">
        <v>1</v>
      </c>
      <c r="D122" s="6" t="n">
        <v>0</v>
      </c>
      <c r="E122" s="6" t="n">
        <v>1</v>
      </c>
      <c r="F122" s="6" t="n">
        <v>0</v>
      </c>
      <c r="G122" s="6" t="n">
        <v>0</v>
      </c>
      <c r="H122" s="6" t="n">
        <v>0</v>
      </c>
      <c r="I122" s="6" t="n">
        <v>0</v>
      </c>
      <c r="J122" s="50" t="n">
        <v>1</v>
      </c>
      <c r="K122" s="51" t="n">
        <v>1.03</v>
      </c>
      <c r="L122" s="50" t="n">
        <v>1.03</v>
      </c>
    </row>
    <row r="123" ht="22" customHeight="1" s="39">
      <c r="A123" s="6" t="inlineStr">
        <is>
          <t>立陶乙</t>
        </is>
      </c>
      <c r="B123" s="6" t="n">
        <v>1</v>
      </c>
      <c r="C123" s="6" t="n">
        <v>1</v>
      </c>
      <c r="D123" s="6" t="n">
        <v>0</v>
      </c>
      <c r="E123" s="6" t="n">
        <v>0</v>
      </c>
      <c r="F123" s="6" t="n">
        <v>1</v>
      </c>
      <c r="G123" s="6" t="n">
        <v>0</v>
      </c>
      <c r="H123" s="6" t="n">
        <v>0</v>
      </c>
      <c r="I123" s="6" t="n">
        <v>0</v>
      </c>
      <c r="J123" s="50" t="n">
        <v>1</v>
      </c>
      <c r="K123" s="51" t="n">
        <v>0.525</v>
      </c>
      <c r="L123" s="50" t="n">
        <v>0.525</v>
      </c>
    </row>
    <row r="124" ht="22" customHeight="1" s="39">
      <c r="A124" s="6" t="inlineStr">
        <is>
          <t>约超联</t>
        </is>
      </c>
      <c r="B124" s="6" t="n">
        <v>2</v>
      </c>
      <c r="C124" s="6" t="n">
        <v>2</v>
      </c>
      <c r="D124" s="6" t="n">
        <v>0</v>
      </c>
      <c r="E124" s="6" t="n">
        <v>2</v>
      </c>
      <c r="F124" s="6" t="n">
        <v>0</v>
      </c>
      <c r="G124" s="6" t="n">
        <v>0</v>
      </c>
      <c r="H124" s="6" t="n">
        <v>0</v>
      </c>
      <c r="I124" s="6" t="n">
        <v>0</v>
      </c>
      <c r="J124" s="50" t="n">
        <v>1</v>
      </c>
      <c r="K124" s="51" t="n">
        <v>1.95</v>
      </c>
      <c r="L124" s="50" t="n">
        <v>0.975</v>
      </c>
    </row>
    <row r="125" ht="22" customHeight="1" s="39">
      <c r="A125" s="6" t="inlineStr">
        <is>
          <t>罗乙</t>
        </is>
      </c>
      <c r="B125" s="6" t="n">
        <v>1</v>
      </c>
      <c r="C125" s="6" t="n">
        <v>1</v>
      </c>
      <c r="D125" s="6" t="n">
        <v>0</v>
      </c>
      <c r="E125" s="6" t="n">
        <v>1</v>
      </c>
      <c r="F125" s="6" t="n">
        <v>0</v>
      </c>
      <c r="G125" s="6" t="n">
        <v>0</v>
      </c>
      <c r="H125" s="6" t="n">
        <v>0</v>
      </c>
      <c r="I125" s="6" t="n">
        <v>0</v>
      </c>
      <c r="J125" s="50" t="n">
        <v>1</v>
      </c>
      <c r="K125" s="51" t="n">
        <v>1.01</v>
      </c>
      <c r="L125" s="50" t="n">
        <v>1.01</v>
      </c>
    </row>
    <row r="126" ht="22" customHeight="1" s="39">
      <c r="A126" s="6" t="inlineStr">
        <is>
          <t>罗甲</t>
        </is>
      </c>
      <c r="B126" s="6" t="n">
        <v>1</v>
      </c>
      <c r="C126" s="6" t="n">
        <v>1</v>
      </c>
      <c r="D126" s="6" t="n">
        <v>0</v>
      </c>
      <c r="E126" s="6" t="n">
        <v>0</v>
      </c>
      <c r="F126" s="6" t="n">
        <v>0</v>
      </c>
      <c r="G126" s="6" t="n">
        <v>0</v>
      </c>
      <c r="H126" s="6" t="n">
        <v>0</v>
      </c>
      <c r="I126" s="6" t="n">
        <v>1</v>
      </c>
      <c r="J126" s="50" t="n">
        <v>0</v>
      </c>
      <c r="K126" s="51" t="n">
        <v>-1</v>
      </c>
      <c r="L126" s="50" t="n">
        <v>-1</v>
      </c>
    </row>
    <row r="127" ht="22" customHeight="1" s="39">
      <c r="A127" s="6" t="inlineStr">
        <is>
          <t>美冠联</t>
        </is>
      </c>
      <c r="B127" s="6" t="n">
        <v>2</v>
      </c>
      <c r="C127" s="6" t="n">
        <v>2</v>
      </c>
      <c r="D127" s="6" t="n">
        <v>0</v>
      </c>
      <c r="E127" s="6" t="n">
        <v>1</v>
      </c>
      <c r="F127" s="6" t="n">
        <v>0</v>
      </c>
      <c r="G127" s="6" t="n">
        <v>0</v>
      </c>
      <c r="H127" s="6" t="n">
        <v>0</v>
      </c>
      <c r="I127" s="6" t="n">
        <v>1</v>
      </c>
      <c r="J127" s="50" t="n">
        <v>0.5</v>
      </c>
      <c r="K127" s="51" t="n">
        <v>-0.01</v>
      </c>
      <c r="L127" s="50" t="n">
        <v>-0.005</v>
      </c>
    </row>
    <row r="128" ht="22" customHeight="1" s="39">
      <c r="A128" s="6" t="inlineStr">
        <is>
          <t>美女职</t>
        </is>
      </c>
      <c r="B128" s="6" t="n">
        <v>2</v>
      </c>
      <c r="C128" s="6" t="n">
        <v>2</v>
      </c>
      <c r="D128" s="6" t="n">
        <v>0</v>
      </c>
      <c r="E128" s="6" t="n">
        <v>1</v>
      </c>
      <c r="F128" s="6" t="n">
        <v>0</v>
      </c>
      <c r="G128" s="6" t="n">
        <v>0</v>
      </c>
      <c r="H128" s="6" t="n">
        <v>0</v>
      </c>
      <c r="I128" s="6" t="n">
        <v>1</v>
      </c>
      <c r="J128" s="50" t="n">
        <v>0.5</v>
      </c>
      <c r="K128" s="51" t="n">
        <v>-0.14</v>
      </c>
      <c r="L128" s="50" t="n">
        <v>-0.07000000000000001</v>
      </c>
    </row>
    <row r="129" ht="22" customHeight="1" s="39">
      <c r="A129" s="6" t="inlineStr">
        <is>
          <t>美职业</t>
        </is>
      </c>
      <c r="B129" s="6" t="n">
        <v>8</v>
      </c>
      <c r="C129" s="6" t="n">
        <v>8</v>
      </c>
      <c r="D129" s="6" t="n">
        <v>0</v>
      </c>
      <c r="E129" s="6" t="n">
        <v>6</v>
      </c>
      <c r="F129" s="6" t="n">
        <v>0</v>
      </c>
      <c r="G129" s="6" t="n">
        <v>0</v>
      </c>
      <c r="H129" s="6" t="n">
        <v>0</v>
      </c>
      <c r="I129" s="6" t="n">
        <v>2</v>
      </c>
      <c r="J129" s="50" t="n">
        <v>0.75</v>
      </c>
      <c r="K129" s="51" t="n">
        <v>4.12</v>
      </c>
      <c r="L129" s="50" t="n">
        <v>0.515</v>
      </c>
    </row>
    <row r="130" ht="22" customHeight="1" s="39">
      <c r="A130" s="6" t="inlineStr">
        <is>
          <t>芬乙A降</t>
        </is>
      </c>
      <c r="B130" s="6" t="n">
        <v>1</v>
      </c>
      <c r="C130" s="6" t="n">
        <v>1</v>
      </c>
      <c r="D130" s="6" t="n">
        <v>0</v>
      </c>
      <c r="E130" s="6" t="n">
        <v>0</v>
      </c>
      <c r="F130" s="6" t="n">
        <v>0</v>
      </c>
      <c r="G130" s="6" t="n">
        <v>0</v>
      </c>
      <c r="H130" s="6" t="n">
        <v>0</v>
      </c>
      <c r="I130" s="6" t="n">
        <v>1</v>
      </c>
      <c r="J130" s="50" t="n">
        <v>0</v>
      </c>
      <c r="K130" s="51" t="n">
        <v>-1</v>
      </c>
      <c r="L130" s="50" t="n">
        <v>-1</v>
      </c>
    </row>
    <row r="131" ht="22" customHeight="1" s="39">
      <c r="A131" s="6" t="inlineStr">
        <is>
          <t>芬甲</t>
        </is>
      </c>
      <c r="B131" s="6" t="n">
        <v>3</v>
      </c>
      <c r="C131" s="6" t="n">
        <v>3</v>
      </c>
      <c r="D131" s="6" t="n">
        <v>0</v>
      </c>
      <c r="E131" s="6" t="n">
        <v>1</v>
      </c>
      <c r="F131" s="6" t="n">
        <v>0</v>
      </c>
      <c r="G131" s="6" t="n">
        <v>0</v>
      </c>
      <c r="H131" s="6" t="n">
        <v>0</v>
      </c>
      <c r="I131" s="6" t="n">
        <v>2</v>
      </c>
      <c r="J131" s="50" t="n">
        <v>0.333333333333333</v>
      </c>
      <c r="K131" s="51" t="n">
        <v>-0.93</v>
      </c>
      <c r="L131" s="50" t="n">
        <v>-0.31</v>
      </c>
    </row>
    <row r="132" ht="22" customHeight="1" s="39">
      <c r="A132" s="6" t="inlineStr">
        <is>
          <t>芬超冠</t>
        </is>
      </c>
      <c r="B132" s="6" t="n">
        <v>1</v>
      </c>
      <c r="C132" s="6" t="n">
        <v>1</v>
      </c>
      <c r="D132" s="6" t="n">
        <v>0</v>
      </c>
      <c r="E132" s="6" t="n">
        <v>0</v>
      </c>
      <c r="F132" s="6" t="n">
        <v>0</v>
      </c>
      <c r="G132" s="6" t="n">
        <v>0</v>
      </c>
      <c r="H132" s="6" t="n">
        <v>0</v>
      </c>
      <c r="I132" s="6" t="n">
        <v>1</v>
      </c>
      <c r="J132" s="50" t="n">
        <v>0</v>
      </c>
      <c r="K132" s="51" t="n">
        <v>-1</v>
      </c>
      <c r="L132" s="50" t="n">
        <v>-1</v>
      </c>
    </row>
    <row r="133" ht="22" customHeight="1" s="39">
      <c r="A133" s="6" t="inlineStr">
        <is>
          <t>芬超降</t>
        </is>
      </c>
      <c r="B133" s="6" t="n">
        <v>1</v>
      </c>
      <c r="C133" s="6" t="n">
        <v>1</v>
      </c>
      <c r="D133" s="6" t="n">
        <v>0</v>
      </c>
      <c r="E133" s="6" t="n">
        <v>1</v>
      </c>
      <c r="F133" s="6" t="n">
        <v>0</v>
      </c>
      <c r="G133" s="6" t="n">
        <v>0</v>
      </c>
      <c r="H133" s="6" t="n">
        <v>0</v>
      </c>
      <c r="I133" s="6" t="n">
        <v>0</v>
      </c>
      <c r="J133" s="50" t="n">
        <v>1</v>
      </c>
      <c r="K133" s="51" t="n">
        <v>0.85</v>
      </c>
      <c r="L133" s="50" t="n">
        <v>0.85</v>
      </c>
    </row>
    <row r="134" ht="22" customHeight="1" s="39">
      <c r="A134" s="6" t="inlineStr">
        <is>
          <t>苏冠</t>
        </is>
      </c>
      <c r="B134" s="6" t="n">
        <v>1</v>
      </c>
      <c r="C134" s="6" t="n">
        <v>1</v>
      </c>
      <c r="D134" s="6" t="n">
        <v>0</v>
      </c>
      <c r="E134" s="6" t="n">
        <v>0</v>
      </c>
      <c r="F134" s="6" t="n">
        <v>0</v>
      </c>
      <c r="G134" s="6" t="n">
        <v>0</v>
      </c>
      <c r="H134" s="6" t="n">
        <v>0</v>
      </c>
      <c r="I134" s="6" t="n">
        <v>1</v>
      </c>
      <c r="J134" s="50" t="n">
        <v>0</v>
      </c>
      <c r="K134" s="51" t="n">
        <v>-1</v>
      </c>
      <c r="L134" s="50" t="n">
        <v>-1</v>
      </c>
    </row>
    <row r="135" ht="22" customHeight="1" s="39">
      <c r="A135" s="6" t="inlineStr">
        <is>
          <t>苏超</t>
        </is>
      </c>
      <c r="B135" s="6" t="n">
        <v>1</v>
      </c>
      <c r="C135" s="6" t="n">
        <v>1</v>
      </c>
      <c r="D135" s="6" t="n">
        <v>0</v>
      </c>
      <c r="E135" s="6" t="n">
        <v>1</v>
      </c>
      <c r="F135" s="6" t="n">
        <v>0</v>
      </c>
      <c r="G135" s="6" t="n">
        <v>0</v>
      </c>
      <c r="H135" s="6" t="n">
        <v>0</v>
      </c>
      <c r="I135" s="6" t="n">
        <v>0</v>
      </c>
      <c r="J135" s="50" t="n">
        <v>1</v>
      </c>
      <c r="K135" s="51" t="n">
        <v>1.03</v>
      </c>
      <c r="L135" s="50" t="n">
        <v>1.03</v>
      </c>
    </row>
    <row r="136" ht="22" customHeight="1" s="39">
      <c r="A136" s="6" t="inlineStr">
        <is>
          <t>英乙</t>
        </is>
      </c>
      <c r="B136" s="6" t="n">
        <v>2</v>
      </c>
      <c r="C136" s="6" t="n">
        <v>2</v>
      </c>
      <c r="D136" s="6" t="n">
        <v>0</v>
      </c>
      <c r="E136" s="6" t="n">
        <v>0</v>
      </c>
      <c r="F136" s="6" t="n">
        <v>1</v>
      </c>
      <c r="G136" s="6" t="n">
        <v>0</v>
      </c>
      <c r="H136" s="6" t="n">
        <v>0</v>
      </c>
      <c r="I136" s="6" t="n">
        <v>1</v>
      </c>
      <c r="J136" s="50" t="n">
        <v>0.333333333333333</v>
      </c>
      <c r="K136" s="51" t="n">
        <v>-0.47</v>
      </c>
      <c r="L136" s="50" t="n">
        <v>-0.235</v>
      </c>
    </row>
    <row r="137" ht="22" customHeight="1" s="39">
      <c r="A137" s="6" t="inlineStr">
        <is>
          <t>英冠</t>
        </is>
      </c>
      <c r="B137" s="6" t="n">
        <v>8</v>
      </c>
      <c r="C137" s="6" t="n">
        <v>8</v>
      </c>
      <c r="D137" s="6" t="n">
        <v>0</v>
      </c>
      <c r="E137" s="6" t="n">
        <v>5</v>
      </c>
      <c r="F137" s="6" t="n">
        <v>1</v>
      </c>
      <c r="G137" s="6" t="n">
        <v>0</v>
      </c>
      <c r="H137" s="6" t="n">
        <v>0</v>
      </c>
      <c r="I137" s="6" t="n">
        <v>2</v>
      </c>
      <c r="J137" s="50" t="n">
        <v>0.7333333333333329</v>
      </c>
      <c r="K137" s="51" t="n">
        <v>3.685</v>
      </c>
      <c r="L137" s="50" t="n">
        <v>0.460625</v>
      </c>
    </row>
    <row r="138" ht="22" customHeight="1" s="39">
      <c r="A138" s="6" t="inlineStr">
        <is>
          <t>英后备</t>
        </is>
      </c>
      <c r="B138" s="6" t="n">
        <v>2</v>
      </c>
      <c r="C138" s="6" t="n">
        <v>2</v>
      </c>
      <c r="D138" s="6" t="n">
        <v>0</v>
      </c>
      <c r="E138" s="6" t="n">
        <v>2</v>
      </c>
      <c r="F138" s="6" t="n">
        <v>0</v>
      </c>
      <c r="G138" s="6" t="n">
        <v>0</v>
      </c>
      <c r="H138" s="6" t="n">
        <v>0</v>
      </c>
      <c r="I138" s="6" t="n">
        <v>0</v>
      </c>
      <c r="J138" s="50" t="n">
        <v>1</v>
      </c>
      <c r="K138" s="51" t="n">
        <v>2.08</v>
      </c>
      <c r="L138" s="50" t="n">
        <v>1.04</v>
      </c>
    </row>
    <row r="139" ht="22" customHeight="1" s="39">
      <c r="A139" s="6" t="inlineStr">
        <is>
          <t>英总女超</t>
        </is>
      </c>
      <c r="B139" s="6" t="n">
        <v>1</v>
      </c>
      <c r="C139" s="6" t="n">
        <v>1</v>
      </c>
      <c r="D139" s="6" t="n">
        <v>0</v>
      </c>
      <c r="E139" s="6" t="n">
        <v>1</v>
      </c>
      <c r="F139" s="6" t="n">
        <v>0</v>
      </c>
      <c r="G139" s="6" t="n">
        <v>0</v>
      </c>
      <c r="H139" s="6" t="n">
        <v>0</v>
      </c>
      <c r="I139" s="6" t="n">
        <v>0</v>
      </c>
      <c r="J139" s="50" t="n">
        <v>1</v>
      </c>
      <c r="K139" s="51" t="n">
        <v>0.77</v>
      </c>
      <c r="L139" s="50" t="n">
        <v>0.77</v>
      </c>
    </row>
    <row r="140" ht="22" customHeight="1" s="39">
      <c r="A140" s="6" t="inlineStr">
        <is>
          <t>英甲</t>
        </is>
      </c>
      <c r="B140" s="6" t="n">
        <v>3</v>
      </c>
      <c r="C140" s="6" t="n">
        <v>3</v>
      </c>
      <c r="D140" s="6" t="n">
        <v>0</v>
      </c>
      <c r="E140" s="6" t="n">
        <v>2</v>
      </c>
      <c r="F140" s="6" t="n">
        <v>0</v>
      </c>
      <c r="G140" s="6" t="n">
        <v>0</v>
      </c>
      <c r="H140" s="6" t="n">
        <v>0</v>
      </c>
      <c r="I140" s="6" t="n">
        <v>1</v>
      </c>
      <c r="J140" s="50" t="n">
        <v>0.666666666666667</v>
      </c>
      <c r="K140" s="51" t="n">
        <v>1.23</v>
      </c>
      <c r="L140" s="50" t="n">
        <v>0.41</v>
      </c>
    </row>
    <row r="141" ht="22" customHeight="1" s="39">
      <c r="A141" s="6" t="inlineStr">
        <is>
          <t>英联杯</t>
        </is>
      </c>
      <c r="B141" s="6" t="n">
        <v>4</v>
      </c>
      <c r="C141" s="6" t="n">
        <v>4</v>
      </c>
      <c r="D141" s="6" t="n">
        <v>0</v>
      </c>
      <c r="E141" s="6" t="n">
        <v>3</v>
      </c>
      <c r="F141" s="6" t="n">
        <v>0</v>
      </c>
      <c r="G141" s="6" t="n">
        <v>0</v>
      </c>
      <c r="H141" s="6" t="n">
        <v>1</v>
      </c>
      <c r="I141" s="6" t="n">
        <v>0</v>
      </c>
      <c r="J141" s="50" t="n">
        <v>0.857142857142857</v>
      </c>
      <c r="K141" s="51" t="n">
        <v>2.37</v>
      </c>
      <c r="L141" s="50" t="n">
        <v>0.5925</v>
      </c>
    </row>
    <row r="142" ht="22" customHeight="1" s="39">
      <c r="A142" s="6" t="inlineStr">
        <is>
          <t>英议南</t>
        </is>
      </c>
      <c r="B142" s="6" t="n">
        <v>1</v>
      </c>
      <c r="C142" s="6" t="n">
        <v>1</v>
      </c>
      <c r="D142" s="6" t="n">
        <v>0</v>
      </c>
      <c r="E142" s="6" t="n">
        <v>1</v>
      </c>
      <c r="F142" s="6" t="n">
        <v>0</v>
      </c>
      <c r="G142" s="6" t="n">
        <v>0</v>
      </c>
      <c r="H142" s="6" t="n">
        <v>0</v>
      </c>
      <c r="I142" s="6" t="n">
        <v>0</v>
      </c>
      <c r="J142" s="50" t="n">
        <v>1</v>
      </c>
      <c r="K142" s="51" t="n">
        <v>1</v>
      </c>
      <c r="L142" s="50" t="n">
        <v>1</v>
      </c>
    </row>
    <row r="143" ht="22" customHeight="1" s="39">
      <c r="A143" s="6" t="inlineStr">
        <is>
          <t>英议联</t>
        </is>
      </c>
      <c r="B143" s="6" t="n">
        <v>1</v>
      </c>
      <c r="C143" s="6" t="n">
        <v>1</v>
      </c>
      <c r="D143" s="6" t="n">
        <v>0</v>
      </c>
      <c r="E143" s="6" t="n">
        <v>0</v>
      </c>
      <c r="F143" s="6" t="n">
        <v>0</v>
      </c>
      <c r="G143" s="6" t="n">
        <v>0</v>
      </c>
      <c r="H143" s="6" t="n">
        <v>0</v>
      </c>
      <c r="I143" s="6" t="n">
        <v>1</v>
      </c>
      <c r="J143" s="50" t="n">
        <v>0</v>
      </c>
      <c r="K143" s="51" t="n">
        <v>-1</v>
      </c>
      <c r="L143" s="50" t="n">
        <v>-1</v>
      </c>
    </row>
    <row r="144" ht="22" customHeight="1" s="39">
      <c r="A144" s="6" t="inlineStr">
        <is>
          <t>英超</t>
        </is>
      </c>
      <c r="B144" s="6" t="n">
        <v>2</v>
      </c>
      <c r="C144" s="6" t="n">
        <v>2</v>
      </c>
      <c r="D144" s="6" t="n">
        <v>0</v>
      </c>
      <c r="E144" s="6" t="n">
        <v>2</v>
      </c>
      <c r="F144" s="6" t="n">
        <v>0</v>
      </c>
      <c r="G144" s="6" t="n">
        <v>0</v>
      </c>
      <c r="H144" s="6" t="n">
        <v>0</v>
      </c>
      <c r="I144" s="6" t="n">
        <v>0</v>
      </c>
      <c r="J144" s="50" t="n">
        <v>1</v>
      </c>
      <c r="K144" s="51" t="n">
        <v>2.03</v>
      </c>
      <c r="L144" s="50" t="n">
        <v>1.015</v>
      </c>
    </row>
    <row r="145" ht="22" customHeight="1" s="39">
      <c r="A145" s="6" t="inlineStr">
        <is>
          <t>英锦赛</t>
        </is>
      </c>
      <c r="B145" s="6" t="n">
        <v>3</v>
      </c>
      <c r="C145" s="6" t="n">
        <v>3</v>
      </c>
      <c r="D145" s="6" t="n">
        <v>0</v>
      </c>
      <c r="E145" s="6" t="n">
        <v>2</v>
      </c>
      <c r="F145" s="6" t="n">
        <v>0</v>
      </c>
      <c r="G145" s="6" t="n">
        <v>0</v>
      </c>
      <c r="H145" s="6" t="n">
        <v>0</v>
      </c>
      <c r="I145" s="6" t="n">
        <v>1</v>
      </c>
      <c r="J145" s="50" t="n">
        <v>0.666666666666667</v>
      </c>
      <c r="K145" s="51" t="n">
        <v>0.91</v>
      </c>
      <c r="L145" s="50" t="n">
        <v>0.303333333333333</v>
      </c>
    </row>
    <row r="146" ht="22" customHeight="1" s="39">
      <c r="A146" s="6" t="inlineStr">
        <is>
          <t>荷乙</t>
        </is>
      </c>
      <c r="B146" s="6" t="n">
        <v>3</v>
      </c>
      <c r="C146" s="6" t="n">
        <v>3</v>
      </c>
      <c r="D146" s="6" t="n">
        <v>0</v>
      </c>
      <c r="E146" s="6" t="n">
        <v>0</v>
      </c>
      <c r="F146" s="6" t="n">
        <v>0</v>
      </c>
      <c r="G146" s="6" t="n">
        <v>0</v>
      </c>
      <c r="H146" s="6" t="n">
        <v>0</v>
      </c>
      <c r="I146" s="6" t="n">
        <v>3</v>
      </c>
      <c r="J146" s="50" t="n">
        <v>0</v>
      </c>
      <c r="K146" s="51" t="n">
        <v>-3</v>
      </c>
      <c r="L146" s="50" t="n">
        <v>-1</v>
      </c>
    </row>
    <row r="147" ht="22" customHeight="1" s="39">
      <c r="A147" s="6" t="inlineStr">
        <is>
          <t>荷甲</t>
        </is>
      </c>
      <c r="B147" s="6" t="n">
        <v>4</v>
      </c>
      <c r="C147" s="6" t="n">
        <v>4</v>
      </c>
      <c r="D147" s="6" t="n">
        <v>0</v>
      </c>
      <c r="E147" s="6" t="n">
        <v>2</v>
      </c>
      <c r="F147" s="6" t="n">
        <v>0</v>
      </c>
      <c r="G147" s="6" t="n">
        <v>0</v>
      </c>
      <c r="H147" s="6" t="n">
        <v>0</v>
      </c>
      <c r="I147" s="6" t="n">
        <v>2</v>
      </c>
      <c r="J147" s="50" t="n">
        <v>0.5</v>
      </c>
      <c r="K147" s="51" t="n">
        <v>-0.11</v>
      </c>
      <c r="L147" s="50" t="n">
        <v>-0.0275</v>
      </c>
    </row>
    <row r="148" ht="22" customHeight="1" s="39">
      <c r="A148" s="6" t="inlineStr">
        <is>
          <t>萨尔超春</t>
        </is>
      </c>
      <c r="B148" s="6" t="n">
        <v>1</v>
      </c>
      <c r="C148" s="6" t="n">
        <v>1</v>
      </c>
      <c r="D148" s="6" t="n">
        <v>0</v>
      </c>
      <c r="E148" s="6" t="n">
        <v>0</v>
      </c>
      <c r="F148" s="6" t="n">
        <v>0</v>
      </c>
      <c r="G148" s="6" t="n">
        <v>0</v>
      </c>
      <c r="H148" s="6" t="n">
        <v>0</v>
      </c>
      <c r="I148" s="6" t="n">
        <v>1</v>
      </c>
      <c r="J148" s="50" t="n">
        <v>0</v>
      </c>
      <c r="K148" s="51" t="n">
        <v>-1</v>
      </c>
      <c r="L148" s="50" t="n">
        <v>-1</v>
      </c>
    </row>
    <row r="149" ht="22" customHeight="1" s="39">
      <c r="A149" s="6" t="inlineStr">
        <is>
          <t>葡U23</t>
        </is>
      </c>
      <c r="B149" s="6" t="n">
        <v>1</v>
      </c>
      <c r="C149" s="6" t="n">
        <v>1</v>
      </c>
      <c r="D149" s="6" t="n">
        <v>0</v>
      </c>
      <c r="E149" s="6" t="n">
        <v>0</v>
      </c>
      <c r="F149" s="6" t="n">
        <v>0</v>
      </c>
      <c r="G149" s="6" t="n">
        <v>0</v>
      </c>
      <c r="H149" s="6" t="n">
        <v>0</v>
      </c>
      <c r="I149" s="6" t="n">
        <v>1</v>
      </c>
      <c r="J149" s="50" t="n">
        <v>0</v>
      </c>
      <c r="K149" s="51" t="n">
        <v>-1</v>
      </c>
      <c r="L149" s="50" t="n">
        <v>-1</v>
      </c>
    </row>
    <row r="150" ht="22" customHeight="1" s="39">
      <c r="A150" s="6" t="inlineStr">
        <is>
          <t>葡杯</t>
        </is>
      </c>
      <c r="B150" s="6" t="n">
        <v>4</v>
      </c>
      <c r="C150" s="6" t="n">
        <v>4</v>
      </c>
      <c r="D150" s="6" t="n">
        <v>0</v>
      </c>
      <c r="E150" s="6" t="n">
        <v>2</v>
      </c>
      <c r="F150" s="6" t="n">
        <v>0</v>
      </c>
      <c r="G150" s="6" t="n">
        <v>0</v>
      </c>
      <c r="H150" s="6" t="n">
        <v>0</v>
      </c>
      <c r="I150" s="6" t="n">
        <v>2</v>
      </c>
      <c r="J150" s="50" t="n">
        <v>0.5</v>
      </c>
      <c r="K150" s="51" t="n">
        <v>-0.11</v>
      </c>
      <c r="L150" s="50" t="n">
        <v>-0.0275</v>
      </c>
    </row>
    <row r="151" ht="22" customHeight="1" s="39">
      <c r="A151" s="6" t="inlineStr">
        <is>
          <t>葡超</t>
        </is>
      </c>
      <c r="B151" s="6" t="n">
        <v>6</v>
      </c>
      <c r="C151" s="6" t="n">
        <v>6</v>
      </c>
      <c r="D151" s="6" t="n">
        <v>0</v>
      </c>
      <c r="E151" s="6" t="n">
        <v>2</v>
      </c>
      <c r="F151" s="6" t="n">
        <v>2</v>
      </c>
      <c r="G151" s="6" t="n">
        <v>0</v>
      </c>
      <c r="H151" s="6" t="n">
        <v>1</v>
      </c>
      <c r="I151" s="6" t="n">
        <v>1</v>
      </c>
      <c r="J151" s="50" t="n">
        <v>0.666666666666667</v>
      </c>
      <c r="K151" s="51" t="n">
        <v>1.605</v>
      </c>
      <c r="L151" s="50" t="n">
        <v>0.2675</v>
      </c>
    </row>
    <row r="152" ht="22" customHeight="1" s="39">
      <c r="A152" s="6" t="inlineStr">
        <is>
          <t>西乙</t>
        </is>
      </c>
      <c r="B152" s="6" t="n">
        <v>5</v>
      </c>
      <c r="C152" s="6" t="n">
        <v>5</v>
      </c>
      <c r="D152" s="6" t="n">
        <v>0</v>
      </c>
      <c r="E152" s="6" t="n">
        <v>1</v>
      </c>
      <c r="F152" s="6" t="n">
        <v>0</v>
      </c>
      <c r="G152" s="6" t="n">
        <v>0</v>
      </c>
      <c r="H152" s="6" t="n">
        <v>1</v>
      </c>
      <c r="I152" s="6" t="n">
        <v>3</v>
      </c>
      <c r="J152" s="50" t="n">
        <v>0.222222222222222</v>
      </c>
      <c r="K152" s="51" t="n">
        <v>-2.38</v>
      </c>
      <c r="L152" s="50" t="n">
        <v>-0.476</v>
      </c>
    </row>
    <row r="153" ht="22" customHeight="1" s="39">
      <c r="A153" s="6" t="inlineStr">
        <is>
          <t>西协乙1</t>
        </is>
      </c>
      <c r="B153" s="6" t="n">
        <v>2</v>
      </c>
      <c r="C153" s="6" t="n">
        <v>2</v>
      </c>
      <c r="D153" s="6" t="n">
        <v>0</v>
      </c>
      <c r="E153" s="6" t="n">
        <v>2</v>
      </c>
      <c r="F153" s="6" t="n">
        <v>0</v>
      </c>
      <c r="G153" s="6" t="n">
        <v>0</v>
      </c>
      <c r="H153" s="6" t="n">
        <v>0</v>
      </c>
      <c r="I153" s="6" t="n">
        <v>0</v>
      </c>
      <c r="J153" s="50" t="n">
        <v>1</v>
      </c>
      <c r="K153" s="51" t="n">
        <v>2.08</v>
      </c>
      <c r="L153" s="50" t="n">
        <v>1.04</v>
      </c>
    </row>
    <row r="154" ht="22" customHeight="1" s="39">
      <c r="A154" s="6" t="inlineStr">
        <is>
          <t>西协乙4</t>
        </is>
      </c>
      <c r="B154" s="6" t="n">
        <v>1</v>
      </c>
      <c r="C154" s="6" t="n">
        <v>1</v>
      </c>
      <c r="D154" s="6" t="n">
        <v>0</v>
      </c>
      <c r="E154" s="6" t="n">
        <v>1</v>
      </c>
      <c r="F154" s="6" t="n">
        <v>0</v>
      </c>
      <c r="G154" s="6" t="n">
        <v>0</v>
      </c>
      <c r="H154" s="6" t="n">
        <v>0</v>
      </c>
      <c r="I154" s="6" t="n">
        <v>0</v>
      </c>
      <c r="J154" s="50" t="n">
        <v>1</v>
      </c>
      <c r="K154" s="51" t="n">
        <v>1.11</v>
      </c>
      <c r="L154" s="50" t="n">
        <v>1.11</v>
      </c>
    </row>
    <row r="155" ht="22" customHeight="1" s="39">
      <c r="A155" s="6" t="inlineStr">
        <is>
          <t>西协甲</t>
        </is>
      </c>
      <c r="B155" s="6" t="n">
        <v>3</v>
      </c>
      <c r="C155" s="6" t="n">
        <v>3</v>
      </c>
      <c r="D155" s="6" t="n">
        <v>0</v>
      </c>
      <c r="E155" s="6" t="n">
        <v>0</v>
      </c>
      <c r="F155" s="6" t="n">
        <v>0</v>
      </c>
      <c r="G155" s="6" t="n">
        <v>0</v>
      </c>
      <c r="H155" s="6" t="n">
        <v>1</v>
      </c>
      <c r="I155" s="6" t="n">
        <v>2</v>
      </c>
      <c r="J155" s="50" t="n">
        <v>0</v>
      </c>
      <c r="K155" s="51" t="n">
        <v>-2.5</v>
      </c>
      <c r="L155" s="50" t="n">
        <v>-0.833333333333333</v>
      </c>
    </row>
    <row r="156" ht="22" customHeight="1" s="39">
      <c r="A156" s="6" t="inlineStr">
        <is>
          <t>西女超</t>
        </is>
      </c>
      <c r="B156" s="6" t="n">
        <v>1</v>
      </c>
      <c r="C156" s="6" t="n">
        <v>1</v>
      </c>
      <c r="D156" s="6" t="n">
        <v>0</v>
      </c>
      <c r="E156" s="6" t="n">
        <v>0</v>
      </c>
      <c r="F156" s="6" t="n">
        <v>0</v>
      </c>
      <c r="G156" s="6" t="n">
        <v>0</v>
      </c>
      <c r="H156" s="6" t="n">
        <v>0</v>
      </c>
      <c r="I156" s="6" t="n">
        <v>1</v>
      </c>
      <c r="J156" s="50" t="n">
        <v>0</v>
      </c>
      <c r="K156" s="51" t="n">
        <v>-1</v>
      </c>
      <c r="L156" s="50" t="n">
        <v>-1</v>
      </c>
    </row>
    <row r="157" ht="22" customHeight="1" s="39">
      <c r="A157" s="6" t="inlineStr">
        <is>
          <t>西甲</t>
        </is>
      </c>
      <c r="B157" s="6" t="n">
        <v>12</v>
      </c>
      <c r="C157" s="6" t="n">
        <v>12</v>
      </c>
      <c r="D157" s="6" t="n">
        <v>0</v>
      </c>
      <c r="E157" s="6" t="n">
        <v>7</v>
      </c>
      <c r="F157" s="6" t="n">
        <v>1</v>
      </c>
      <c r="G157" s="6" t="n">
        <v>0</v>
      </c>
      <c r="H157" s="6" t="n">
        <v>2</v>
      </c>
      <c r="I157" s="6" t="n">
        <v>2</v>
      </c>
      <c r="J157" s="50" t="n">
        <v>0.714285714285714</v>
      </c>
      <c r="K157" s="51" t="n">
        <v>4.935</v>
      </c>
      <c r="L157" s="50" t="n">
        <v>0.41125</v>
      </c>
    </row>
    <row r="158" ht="22" customHeight="1" s="39">
      <c r="A158" s="6" t="inlineStr">
        <is>
          <t>解放者杯</t>
        </is>
      </c>
      <c r="B158" s="6" t="n">
        <v>1</v>
      </c>
      <c r="C158" s="6" t="n">
        <v>1</v>
      </c>
      <c r="D158" s="6" t="n">
        <v>0</v>
      </c>
      <c r="E158" s="6" t="n">
        <v>0</v>
      </c>
      <c r="F158" s="6" t="n">
        <v>0</v>
      </c>
      <c r="G158" s="6" t="n">
        <v>0</v>
      </c>
      <c r="H158" s="6" t="n">
        <v>0</v>
      </c>
      <c r="I158" s="6" t="n">
        <v>1</v>
      </c>
      <c r="J158" s="50" t="n">
        <v>0</v>
      </c>
      <c r="K158" s="51" t="n">
        <v>-1</v>
      </c>
      <c r="L158" s="50" t="n">
        <v>-1</v>
      </c>
    </row>
    <row r="159" ht="22" customHeight="1" s="39">
      <c r="A159" s="6" t="inlineStr">
        <is>
          <t>阿乙</t>
        </is>
      </c>
      <c r="B159" s="6" t="n">
        <v>4</v>
      </c>
      <c r="C159" s="6" t="n">
        <v>4</v>
      </c>
      <c r="D159" s="6" t="n">
        <v>0</v>
      </c>
      <c r="E159" s="6" t="n">
        <v>1</v>
      </c>
      <c r="F159" s="6" t="n">
        <v>1</v>
      </c>
      <c r="G159" s="6" t="n">
        <v>0</v>
      </c>
      <c r="H159" s="6" t="n">
        <v>0</v>
      </c>
      <c r="I159" s="6" t="n">
        <v>2</v>
      </c>
      <c r="J159" s="50" t="n">
        <v>0.428571428571428</v>
      </c>
      <c r="K159" s="51" t="n">
        <v>-0.42</v>
      </c>
      <c r="L159" s="50" t="n">
        <v>-0.105</v>
      </c>
    </row>
    <row r="160" ht="22" customHeight="1" s="39">
      <c r="A160" s="6" t="inlineStr">
        <is>
          <t>阿乙曼特秋</t>
        </is>
      </c>
      <c r="B160" s="6" t="n">
        <v>1</v>
      </c>
      <c r="C160" s="6" t="n">
        <v>1</v>
      </c>
      <c r="D160" s="6" t="n">
        <v>0</v>
      </c>
      <c r="E160" s="6" t="n">
        <v>0</v>
      </c>
      <c r="F160" s="6" t="n">
        <v>0</v>
      </c>
      <c r="G160" s="6" t="n">
        <v>0</v>
      </c>
      <c r="H160" s="6" t="n">
        <v>0</v>
      </c>
      <c r="I160" s="6" t="n">
        <v>1</v>
      </c>
      <c r="J160" s="50" t="n">
        <v>0</v>
      </c>
      <c r="K160" s="51" t="n">
        <v>-1</v>
      </c>
      <c r="L160" s="50" t="n">
        <v>-1</v>
      </c>
    </row>
    <row r="161" ht="22" customHeight="1" s="39">
      <c r="A161" s="6" t="inlineStr">
        <is>
          <t>阿后备</t>
        </is>
      </c>
      <c r="B161" s="6" t="n">
        <v>2</v>
      </c>
      <c r="C161" s="6" t="n">
        <v>2</v>
      </c>
      <c r="D161" s="6" t="n">
        <v>0</v>
      </c>
      <c r="E161" s="6" t="n">
        <v>0</v>
      </c>
      <c r="F161" s="6" t="n">
        <v>0</v>
      </c>
      <c r="G161" s="6" t="n">
        <v>1</v>
      </c>
      <c r="H161" s="6" t="n">
        <v>0</v>
      </c>
      <c r="I161" s="6" t="n">
        <v>1</v>
      </c>
      <c r="J161" s="50" t="n">
        <v>0</v>
      </c>
      <c r="K161" s="51" t="n">
        <v>-1</v>
      </c>
      <c r="L161" s="50" t="n">
        <v>-0.5</v>
      </c>
    </row>
    <row r="162" ht="22" customHeight="1" s="39">
      <c r="A162" s="6" t="inlineStr">
        <is>
          <t>阿塞超</t>
        </is>
      </c>
      <c r="B162" s="6" t="n">
        <v>3</v>
      </c>
      <c r="C162" s="6" t="n">
        <v>3</v>
      </c>
      <c r="D162" s="6" t="n">
        <v>0</v>
      </c>
      <c r="E162" s="6" t="n">
        <v>0</v>
      </c>
      <c r="F162" s="6" t="n">
        <v>0</v>
      </c>
      <c r="G162" s="6" t="n">
        <v>0</v>
      </c>
      <c r="H162" s="6" t="n">
        <v>1</v>
      </c>
      <c r="I162" s="6" t="n">
        <v>2</v>
      </c>
      <c r="J162" s="50" t="n">
        <v>0</v>
      </c>
      <c r="K162" s="51" t="n">
        <v>-2.5</v>
      </c>
      <c r="L162" s="50" t="n">
        <v>-0.833333333333333</v>
      </c>
    </row>
    <row r="163" ht="22" customHeight="1" s="39">
      <c r="A163" s="6" t="inlineStr">
        <is>
          <t>阿尔甲</t>
        </is>
      </c>
      <c r="B163" s="6" t="n">
        <v>3</v>
      </c>
      <c r="C163" s="6" t="n">
        <v>3</v>
      </c>
      <c r="D163" s="6" t="n">
        <v>0</v>
      </c>
      <c r="E163" s="6" t="n">
        <v>1</v>
      </c>
      <c r="F163" s="6" t="n">
        <v>1</v>
      </c>
      <c r="G163" s="6" t="n">
        <v>0</v>
      </c>
      <c r="H163" s="6" t="n">
        <v>0</v>
      </c>
      <c r="I163" s="6" t="n">
        <v>1</v>
      </c>
      <c r="J163" s="50" t="n">
        <v>0.6</v>
      </c>
      <c r="K163" s="51" t="n">
        <v>0.57</v>
      </c>
      <c r="L163" s="50" t="n">
        <v>0.19</v>
      </c>
    </row>
    <row r="164" ht="22" customHeight="1" s="39">
      <c r="A164" s="6" t="inlineStr">
        <is>
          <t>阿甲</t>
        </is>
      </c>
      <c r="B164" s="6" t="n">
        <v>6</v>
      </c>
      <c r="C164" s="6" t="n">
        <v>6</v>
      </c>
      <c r="D164" s="6" t="n">
        <v>0</v>
      </c>
      <c r="E164" s="6" t="n">
        <v>3</v>
      </c>
      <c r="F164" s="6" t="n">
        <v>0</v>
      </c>
      <c r="G164" s="6" t="n">
        <v>1</v>
      </c>
      <c r="H164" s="6" t="n">
        <v>1</v>
      </c>
      <c r="I164" s="6" t="n">
        <v>1</v>
      </c>
      <c r="J164" s="50" t="n">
        <v>0.666666666666667</v>
      </c>
      <c r="K164" s="51" t="n">
        <v>1.5</v>
      </c>
      <c r="L164" s="50" t="n">
        <v>0.25</v>
      </c>
    </row>
    <row r="165" ht="22" customHeight="1" s="39">
      <c r="A165" s="6" t="inlineStr">
        <is>
          <t>阿联酋甲</t>
        </is>
      </c>
      <c r="B165" s="6" t="n">
        <v>3</v>
      </c>
      <c r="C165" s="6" t="n">
        <v>3</v>
      </c>
      <c r="D165" s="6" t="n">
        <v>0</v>
      </c>
      <c r="E165" s="6" t="n">
        <v>0</v>
      </c>
      <c r="F165" s="6" t="n">
        <v>0</v>
      </c>
      <c r="G165" s="6" t="n">
        <v>1</v>
      </c>
      <c r="H165" s="6" t="n">
        <v>0</v>
      </c>
      <c r="I165" s="6" t="n">
        <v>2</v>
      </c>
      <c r="J165" s="50" t="n">
        <v>0</v>
      </c>
      <c r="K165" s="51" t="n">
        <v>-2</v>
      </c>
      <c r="L165" s="50" t="n">
        <v>-0.666666666666667</v>
      </c>
    </row>
    <row r="166" ht="22" customHeight="1" s="39">
      <c r="A166" s="6" t="inlineStr">
        <is>
          <t>非青杯外</t>
        </is>
      </c>
      <c r="B166" s="6" t="n">
        <v>1</v>
      </c>
      <c r="C166" s="6" t="n">
        <v>1</v>
      </c>
      <c r="D166" s="6" t="n">
        <v>0</v>
      </c>
      <c r="E166" s="6" t="n">
        <v>0</v>
      </c>
      <c r="F166" s="6" t="n">
        <v>0</v>
      </c>
      <c r="G166" s="6" t="n">
        <v>1</v>
      </c>
      <c r="H166" s="6" t="n">
        <v>0</v>
      </c>
      <c r="I166" s="6" t="n">
        <v>0</v>
      </c>
      <c r="J166" s="50" t="n"/>
      <c r="K166" s="51" t="n">
        <v>0</v>
      </c>
      <c r="L166" s="50" t="n">
        <v>0</v>
      </c>
    </row>
    <row r="167" ht="22" customHeight="1" s="39">
      <c r="A167" s="6" t="inlineStr">
        <is>
          <t>韩K2联</t>
        </is>
      </c>
      <c r="B167" s="6" t="n">
        <v>1</v>
      </c>
      <c r="C167" s="6" t="n">
        <v>1</v>
      </c>
      <c r="D167" s="6" t="n">
        <v>0</v>
      </c>
      <c r="E167" s="6" t="n">
        <v>0</v>
      </c>
      <c r="F167" s="6" t="n">
        <v>0</v>
      </c>
      <c r="G167" s="6" t="n">
        <v>0</v>
      </c>
      <c r="H167" s="6" t="n">
        <v>0</v>
      </c>
      <c r="I167" s="6" t="n">
        <v>1</v>
      </c>
      <c r="J167" s="50" t="n">
        <v>0</v>
      </c>
      <c r="K167" s="51" t="n">
        <v>-1</v>
      </c>
      <c r="L167" s="50" t="n">
        <v>-1</v>
      </c>
    </row>
    <row r="168" ht="22" customHeight="1" s="39">
      <c r="A168" s="6" t="inlineStr">
        <is>
          <t>韩K3联</t>
        </is>
      </c>
      <c r="B168" s="6" t="n">
        <v>1</v>
      </c>
      <c r="C168" s="6" t="n">
        <v>1</v>
      </c>
      <c r="D168" s="6" t="n">
        <v>0</v>
      </c>
      <c r="E168" s="6" t="n">
        <v>1</v>
      </c>
      <c r="F168" s="6" t="n">
        <v>0</v>
      </c>
      <c r="G168" s="6" t="n">
        <v>0</v>
      </c>
      <c r="H168" s="6" t="n">
        <v>0</v>
      </c>
      <c r="I168" s="6" t="n">
        <v>0</v>
      </c>
      <c r="J168" s="50" t="n">
        <v>1</v>
      </c>
      <c r="K168" s="51" t="n">
        <v>1.01</v>
      </c>
      <c r="L168" s="50" t="n">
        <v>1.01</v>
      </c>
    </row>
    <row r="169" ht="22" customHeight="1" s="39">
      <c r="A169" s="6" t="inlineStr">
        <is>
          <t>韩K联</t>
        </is>
      </c>
      <c r="B169" s="6" t="n">
        <v>2</v>
      </c>
      <c r="C169" s="6" t="n">
        <v>2</v>
      </c>
      <c r="D169" s="6" t="n">
        <v>0</v>
      </c>
      <c r="E169" s="6" t="n">
        <v>2</v>
      </c>
      <c r="F169" s="6" t="n">
        <v>0</v>
      </c>
      <c r="G169" s="6" t="n">
        <v>0</v>
      </c>
      <c r="H169" s="6" t="n">
        <v>0</v>
      </c>
      <c r="I169" s="6" t="n">
        <v>0</v>
      </c>
      <c r="J169" s="50" t="n">
        <v>1</v>
      </c>
      <c r="K169" s="51" t="n">
        <v>2.05</v>
      </c>
      <c r="L169" s="50" t="n">
        <v>1.025</v>
      </c>
    </row>
    <row r="170" ht="22" customHeight="1" s="39">
      <c r="A170" s="6" t="inlineStr">
        <is>
          <t>首相杯</t>
        </is>
      </c>
      <c r="B170" s="6" t="n">
        <v>1</v>
      </c>
      <c r="C170" s="6" t="n">
        <v>0</v>
      </c>
      <c r="D170" s="6" t="n">
        <v>1</v>
      </c>
      <c r="E170" s="6" t="n">
        <v>0</v>
      </c>
      <c r="F170" s="6" t="n">
        <v>0</v>
      </c>
      <c r="G170" s="6" t="n">
        <v>0</v>
      </c>
      <c r="H170" s="6" t="n">
        <v>0</v>
      </c>
      <c r="I170" s="6" t="n">
        <v>0</v>
      </c>
      <c r="J170" s="50" t="n"/>
      <c r="K170" s="51" t="n">
        <v>0</v>
      </c>
      <c r="L170" s="50" t="n"/>
    </row>
  </sheetData>
  <mergeCells count="4">
    <mergeCell ref="A3:L3"/>
    <mergeCell ref="A22:L22"/>
    <mergeCell ref="A1:L1"/>
    <mergeCell ref="A17:L17"/>
  </mergeCell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8" defaultColWidth="9" defaultRowHeight="13.8"/>
  <cols>
    <col width="27" customWidth="1" style="39" min="1" max="1"/>
    <col width="11" customWidth="1" style="39" min="2" max="2"/>
    <col width="12" customWidth="1" style="39" min="3" max="4"/>
    <col width="9" customWidth="1" style="39" min="5" max="9"/>
    <col width="14" customWidth="1" style="39" min="10" max="10"/>
    <col width="13" customWidth="1" style="39" min="11" max="11"/>
    <col width="12" customWidth="1" style="39" min="12" max="12"/>
  </cols>
  <sheetData>
    <row r="1" ht="28" customHeight="1" s="39">
      <c r="A1" s="1" t="inlineStr">
        <is>
          <t>V4等级统计（A/B/C候选）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3" customHeight="1" s="39">
      <c r="A3" s="5" t="inlineStr">
        <is>
          <t>等级表现</t>
        </is>
      </c>
    </row>
    <row r="4" ht="26" customHeight="1" s="39">
      <c r="A4" s="3" t="inlineStr">
        <is>
          <t>分类</t>
        </is>
      </c>
      <c r="B4" s="3" t="inlineStr">
        <is>
          <t>候选</t>
        </is>
      </c>
      <c r="C4" s="3" t="inlineStr">
        <is>
          <t>已结算</t>
        </is>
      </c>
      <c r="D4" s="3" t="inlineStr">
        <is>
          <t>未结算</t>
        </is>
      </c>
      <c r="E4" s="3" t="inlineStr">
        <is>
          <t>红</t>
        </is>
      </c>
      <c r="F4" s="3" t="inlineStr">
        <is>
          <t>半红</t>
        </is>
      </c>
      <c r="G4" s="3" t="inlineStr">
        <is>
          <t>走</t>
        </is>
      </c>
      <c r="H4" s="3" t="inlineStr">
        <is>
          <t>半黑</t>
        </is>
      </c>
      <c r="I4" s="3" t="inlineStr">
        <is>
          <t>黑</t>
        </is>
      </c>
      <c r="J4" s="3" t="inlineStr">
        <is>
          <t>有效胜率</t>
        </is>
      </c>
      <c r="K4" s="3" t="inlineStr">
        <is>
          <t>盈亏(u)</t>
        </is>
      </c>
      <c r="L4" s="3" t="inlineStr">
        <is>
          <t>ROI</t>
        </is>
      </c>
    </row>
    <row r="5" ht="22" customHeight="1" s="39">
      <c r="A5" s="6" t="inlineStr">
        <is>
          <t>等级A</t>
        </is>
      </c>
      <c r="B5" s="6" t="n">
        <v>5</v>
      </c>
      <c r="C5" s="6" t="n">
        <v>5</v>
      </c>
      <c r="D5" s="6" t="n">
        <v>0</v>
      </c>
      <c r="E5" s="6" t="n">
        <v>3</v>
      </c>
      <c r="F5" s="6" t="n">
        <v>0</v>
      </c>
      <c r="G5" s="6" t="n">
        <v>0</v>
      </c>
      <c r="H5" s="6" t="n">
        <v>0</v>
      </c>
      <c r="I5" s="6" t="n">
        <v>2</v>
      </c>
      <c r="J5" s="50" t="n">
        <v>0.6</v>
      </c>
      <c r="K5" s="51" t="n">
        <v>1.05</v>
      </c>
      <c r="L5" s="50" t="n">
        <v>0.21</v>
      </c>
    </row>
    <row r="6" ht="22" customHeight="1" s="39">
      <c r="A6" s="6" t="inlineStr">
        <is>
          <t>等级B</t>
        </is>
      </c>
      <c r="B6" s="6" t="n">
        <v>22</v>
      </c>
      <c r="C6" s="6" t="n">
        <v>22</v>
      </c>
      <c r="D6" s="6" t="n">
        <v>0</v>
      </c>
      <c r="E6" s="6" t="n">
        <v>9</v>
      </c>
      <c r="F6" s="6" t="n">
        <v>1</v>
      </c>
      <c r="G6" s="6" t="n">
        <v>2</v>
      </c>
      <c r="H6" s="6" t="n">
        <v>2</v>
      </c>
      <c r="I6" s="6" t="n">
        <v>8</v>
      </c>
      <c r="J6" s="50" t="n">
        <v>0.513513513513513</v>
      </c>
      <c r="K6" s="51" t="n">
        <v>1.085</v>
      </c>
      <c r="L6" s="50" t="n">
        <v>0.0493181818181818</v>
      </c>
    </row>
    <row r="7" ht="22" customHeight="1" s="39">
      <c r="A7" s="6" t="inlineStr">
        <is>
          <t>等级C</t>
        </is>
      </c>
      <c r="B7" s="6" t="n">
        <v>324</v>
      </c>
      <c r="C7" s="6" t="n">
        <v>319</v>
      </c>
      <c r="D7" s="6" t="n">
        <v>5</v>
      </c>
      <c r="E7" s="6" t="n">
        <v>128</v>
      </c>
      <c r="F7" s="6" t="n">
        <v>26</v>
      </c>
      <c r="G7" s="6" t="n">
        <v>14</v>
      </c>
      <c r="H7" s="6" t="n">
        <v>21</v>
      </c>
      <c r="I7" s="6" t="n">
        <v>130</v>
      </c>
      <c r="J7" s="50" t="n">
        <v>0.50088809946714</v>
      </c>
      <c r="K7" s="51" t="n">
        <v>1.995</v>
      </c>
      <c r="L7" s="50" t="n">
        <v>0.00625391849529782</v>
      </c>
    </row>
    <row r="8" ht="23" customHeight="1" s="39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3" customHeight="1" s="39">
      <c r="A9" s="5" t="inlineStr">
        <is>
          <t>列表日表现</t>
        </is>
      </c>
    </row>
    <row r="10" ht="26" customHeight="1" s="39">
      <c r="A10" s="3" t="inlineStr">
        <is>
          <t>分类</t>
        </is>
      </c>
      <c r="B10" s="3" t="inlineStr">
        <is>
          <t>候选</t>
        </is>
      </c>
      <c r="C10" s="3" t="inlineStr">
        <is>
          <t>已结算</t>
        </is>
      </c>
      <c r="D10" s="3" t="inlineStr">
        <is>
          <t>未结算</t>
        </is>
      </c>
      <c r="E10" s="3" t="inlineStr">
        <is>
          <t>红</t>
        </is>
      </c>
      <c r="F10" s="3" t="inlineStr">
        <is>
          <t>半红</t>
        </is>
      </c>
      <c r="G10" s="3" t="inlineStr">
        <is>
          <t>走</t>
        </is>
      </c>
      <c r="H10" s="3" t="inlineStr">
        <is>
          <t>半黑</t>
        </is>
      </c>
      <c r="I10" s="3" t="inlineStr">
        <is>
          <t>黑</t>
        </is>
      </c>
      <c r="J10" s="3" t="inlineStr">
        <is>
          <t>有效胜率</t>
        </is>
      </c>
      <c r="K10" s="3" t="inlineStr">
        <is>
          <t>盈亏(u)</t>
        </is>
      </c>
      <c r="L10" s="3" t="inlineStr">
        <is>
          <t>ROI</t>
        </is>
      </c>
    </row>
    <row r="11" ht="22" customHeight="1" s="39">
      <c r="A11" s="6" t="inlineStr">
        <is>
          <t>2026-09-13</t>
        </is>
      </c>
      <c r="B11" s="6" t="n">
        <v>33</v>
      </c>
      <c r="C11" s="6" t="n">
        <v>33</v>
      </c>
      <c r="D11" s="6" t="n">
        <v>0</v>
      </c>
      <c r="E11" s="6" t="n">
        <v>14</v>
      </c>
      <c r="F11" s="6" t="n">
        <v>1</v>
      </c>
      <c r="G11" s="6" t="n">
        <v>1</v>
      </c>
      <c r="H11" s="6" t="n">
        <v>4</v>
      </c>
      <c r="I11" s="6" t="n">
        <v>13</v>
      </c>
      <c r="J11" s="50" t="n">
        <v>0.491525423728814</v>
      </c>
      <c r="K11" s="51" t="n">
        <v>-0.6850000000000001</v>
      </c>
      <c r="L11" s="50" t="n">
        <v>-0.0207575757575757</v>
      </c>
    </row>
    <row r="12" ht="22" customHeight="1" s="39">
      <c r="A12" s="6" t="inlineStr">
        <is>
          <t>2026-09-14</t>
        </is>
      </c>
      <c r="B12" s="6" t="n">
        <v>19</v>
      </c>
      <c r="C12" s="6" t="n">
        <v>19</v>
      </c>
      <c r="D12" s="6" t="n">
        <v>0</v>
      </c>
      <c r="E12" s="6" t="n">
        <v>10</v>
      </c>
      <c r="F12" s="6" t="n">
        <v>2</v>
      </c>
      <c r="G12" s="6" t="n">
        <v>1</v>
      </c>
      <c r="H12" s="6" t="n">
        <v>0</v>
      </c>
      <c r="I12" s="6" t="n">
        <v>6</v>
      </c>
      <c r="J12" s="50" t="n">
        <v>0.647058823529412</v>
      </c>
      <c r="K12" s="51" t="n">
        <v>5.005</v>
      </c>
      <c r="L12" s="50" t="n">
        <v>0.263421052631579</v>
      </c>
    </row>
    <row r="13" ht="22" customHeight="1" s="39">
      <c r="A13" s="6" t="inlineStr">
        <is>
          <t>2026-09-15</t>
        </is>
      </c>
      <c r="B13" s="6" t="n">
        <v>32</v>
      </c>
      <c r="C13" s="6" t="n">
        <v>32</v>
      </c>
      <c r="D13" s="6" t="n">
        <v>0</v>
      </c>
      <c r="E13" s="6" t="n">
        <v>15</v>
      </c>
      <c r="F13" s="6" t="n">
        <v>0</v>
      </c>
      <c r="G13" s="6" t="n">
        <v>1</v>
      </c>
      <c r="H13" s="6" t="n">
        <v>3</v>
      </c>
      <c r="I13" s="6" t="n">
        <v>13</v>
      </c>
      <c r="J13" s="50" t="n">
        <v>0.508474576271186</v>
      </c>
      <c r="K13" s="51" t="n">
        <v>0.41</v>
      </c>
      <c r="L13" s="50" t="n">
        <v>0.0128125</v>
      </c>
    </row>
    <row r="14" ht="22" customHeight="1" s="39">
      <c r="A14" s="6" t="inlineStr">
        <is>
          <t>2026-09-16</t>
        </is>
      </c>
      <c r="B14" s="6" t="n">
        <v>31</v>
      </c>
      <c r="C14" s="6" t="n">
        <v>30</v>
      </c>
      <c r="D14" s="6" t="n">
        <v>1</v>
      </c>
      <c r="E14" s="6" t="n">
        <v>11</v>
      </c>
      <c r="F14" s="6" t="n">
        <v>3</v>
      </c>
      <c r="G14" s="6" t="n">
        <v>0</v>
      </c>
      <c r="H14" s="6" t="n">
        <v>4</v>
      </c>
      <c r="I14" s="6" t="n">
        <v>12</v>
      </c>
      <c r="J14" s="50" t="n">
        <v>0.471698113207547</v>
      </c>
      <c r="K14" s="51" t="n">
        <v>-1.77</v>
      </c>
      <c r="L14" s="50" t="n">
        <v>-0.059</v>
      </c>
    </row>
    <row r="15" ht="22" customHeight="1" s="39">
      <c r="A15" s="6" t="inlineStr">
        <is>
          <t>2026-09-17</t>
        </is>
      </c>
      <c r="B15" s="6" t="n">
        <v>19</v>
      </c>
      <c r="C15" s="6" t="n">
        <v>18</v>
      </c>
      <c r="D15" s="6" t="n">
        <v>1</v>
      </c>
      <c r="E15" s="6" t="n">
        <v>8</v>
      </c>
      <c r="F15" s="6" t="n">
        <v>1</v>
      </c>
      <c r="G15" s="6" t="n">
        <v>0</v>
      </c>
      <c r="H15" s="6" t="n">
        <v>0</v>
      </c>
      <c r="I15" s="6" t="n">
        <v>9</v>
      </c>
      <c r="J15" s="50" t="n">
        <v>0.485714285714286</v>
      </c>
      <c r="K15" s="51" t="n">
        <v>-0.38</v>
      </c>
      <c r="L15" s="50" t="n">
        <v>-0.0211111111111111</v>
      </c>
    </row>
    <row r="16" ht="22" customHeight="1" s="39">
      <c r="A16" s="6" t="inlineStr">
        <is>
          <t>2026-09-18</t>
        </is>
      </c>
      <c r="B16" s="6" t="n">
        <v>55</v>
      </c>
      <c r="C16" s="6" t="n">
        <v>55</v>
      </c>
      <c r="D16" s="6" t="n">
        <v>0</v>
      </c>
      <c r="E16" s="6" t="n">
        <v>14</v>
      </c>
      <c r="F16" s="6" t="n">
        <v>6</v>
      </c>
      <c r="G16" s="6" t="n">
        <v>3</v>
      </c>
      <c r="H16" s="6" t="n">
        <v>6</v>
      </c>
      <c r="I16" s="6" t="n">
        <v>26</v>
      </c>
      <c r="J16" s="50" t="n">
        <v>0.369565217391304</v>
      </c>
      <c r="K16" s="51" t="n">
        <v>-11.705</v>
      </c>
      <c r="L16" s="50" t="n">
        <v>-0.212818181818182</v>
      </c>
    </row>
    <row r="17" ht="22" customHeight="1" s="39">
      <c r="A17" s="6" t="inlineStr">
        <is>
          <t>2026-09-19</t>
        </is>
      </c>
      <c r="B17" s="6" t="n">
        <v>92</v>
      </c>
      <c r="C17" s="6" t="n">
        <v>92</v>
      </c>
      <c r="D17" s="6" t="n">
        <v>0</v>
      </c>
      <c r="E17" s="6" t="n">
        <v>34</v>
      </c>
      <c r="F17" s="6" t="n">
        <v>8</v>
      </c>
      <c r="G17" s="6" t="n">
        <v>7</v>
      </c>
      <c r="H17" s="6" t="n">
        <v>3</v>
      </c>
      <c r="I17" s="6" t="n">
        <v>40</v>
      </c>
      <c r="J17" s="50" t="n">
        <v>0.477987421383648</v>
      </c>
      <c r="K17" s="51" t="n">
        <v>-2.28</v>
      </c>
      <c r="L17" s="50" t="n">
        <v>-0.0247826086956522</v>
      </c>
    </row>
    <row r="18" ht="22" customHeight="1" s="39">
      <c r="A18" s="6" t="inlineStr">
        <is>
          <t>2026-09-20</t>
        </is>
      </c>
      <c r="B18" s="6" t="n">
        <v>67</v>
      </c>
      <c r="C18" s="6" t="n">
        <v>67</v>
      </c>
      <c r="D18" s="6" t="n">
        <v>0</v>
      </c>
      <c r="E18" s="6" t="n">
        <v>34</v>
      </c>
      <c r="F18" s="6" t="n">
        <v>6</v>
      </c>
      <c r="G18" s="6" t="n">
        <v>3</v>
      </c>
      <c r="H18" s="6" t="n">
        <v>3</v>
      </c>
      <c r="I18" s="6" t="n">
        <v>21</v>
      </c>
      <c r="J18" s="50" t="n">
        <v>0.621848739495798</v>
      </c>
      <c r="K18" s="51" t="n">
        <v>15.535</v>
      </c>
      <c r="L18" s="50" t="n">
        <v>0.231865671641791</v>
      </c>
    </row>
    <row r="19" ht="22" customHeight="1" s="39">
      <c r="A19" s="6" t="inlineStr">
        <is>
          <t>2026-09-21</t>
        </is>
      </c>
      <c r="B19" s="6" t="n">
        <v>3</v>
      </c>
      <c r="C19" s="6" t="n">
        <v>0</v>
      </c>
      <c r="D19" s="6" t="n">
        <v>3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50" t="n"/>
      <c r="K19" s="51" t="n">
        <v>0</v>
      </c>
      <c r="L19" s="50" t="n"/>
    </row>
  </sheetData>
  <mergeCells count="3">
    <mergeCell ref="A3:L3"/>
    <mergeCell ref="A1:L1"/>
    <mergeCell ref="A9:L9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:M1"/>
    </sheetView>
  </sheetViews>
  <sheetFormatPr baseColWidth="8" defaultColWidth="9" defaultRowHeight="13.8"/>
  <cols>
    <col width="20" customWidth="1" style="39" min="1" max="1"/>
    <col width="13" customWidth="1" style="39" min="2" max="2"/>
    <col width="18" customWidth="1" style="39" min="3" max="3"/>
    <col width="12" customWidth="1" style="39" min="4" max="4"/>
    <col width="14" customWidth="1" style="39" min="5" max="5"/>
    <col width="18" customWidth="1" style="39" min="6" max="6"/>
    <col width="10" customWidth="1" style="39" min="7" max="8"/>
    <col width="12" customWidth="1" style="39" min="9" max="10"/>
    <col width="30" customWidth="1" style="39" min="11" max="11"/>
    <col width="12" customWidth="1" style="39" min="12" max="13"/>
  </cols>
  <sheetData>
    <row r="1" ht="28" customHeight="1" s="39">
      <c r="A1" s="1" t="inlineStr">
        <is>
          <t>V4模型统计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3" customHeight="1" s="39">
      <c r="A3" s="5" t="inlineStr">
        <is>
          <t>页面计算状态</t>
        </is>
      </c>
    </row>
    <row r="4" ht="26" customHeight="1" s="39">
      <c r="A4" s="3" t="inlineStr">
        <is>
          <t>列表日</t>
        </is>
      </c>
      <c r="B4" s="3" t="inlineStr">
        <is>
          <t>总赛事</t>
        </is>
      </c>
      <c r="C4" s="3" t="inlineStr">
        <is>
          <t>真实计算</t>
        </is>
      </c>
      <c r="D4" s="3" t="inlineStr">
        <is>
          <t>A</t>
        </is>
      </c>
      <c r="E4" s="3" t="inlineStr">
        <is>
          <t>B</t>
        </is>
      </c>
      <c r="F4" s="3" t="inlineStr">
        <is>
          <t>C</t>
        </is>
      </c>
      <c r="G4" s="3" t="inlineStr">
        <is>
          <t>N</t>
        </is>
      </c>
      <c r="H4" s="3" t="inlineStr">
        <is>
          <t>中性</t>
        </is>
      </c>
      <c r="I4" s="3" t="inlineStr">
        <is>
          <t>数据缺失</t>
        </is>
      </c>
      <c r="J4" s="3" t="inlineStr">
        <is>
          <t>非赛前</t>
        </is>
      </c>
      <c r="K4" s="3" t="inlineStr">
        <is>
          <t>生成时间</t>
        </is>
      </c>
      <c r="L4" s="2" t="n"/>
      <c r="M4" s="2" t="n"/>
    </row>
    <row r="5" ht="22" customHeight="1" s="39">
      <c r="A5" s="6" t="inlineStr">
        <is>
          <t>2026-09-13</t>
        </is>
      </c>
      <c r="B5" s="6" t="n">
        <v>192</v>
      </c>
      <c r="C5" s="6" t="n">
        <v>160</v>
      </c>
      <c r="D5" s="6" t="n">
        <v>0</v>
      </c>
      <c r="E5" s="6" t="n">
        <v>3</v>
      </c>
      <c r="F5" s="6" t="n">
        <v>30</v>
      </c>
      <c r="G5" s="6" t="n">
        <v>127</v>
      </c>
      <c r="H5" s="6" t="n">
        <v>29</v>
      </c>
      <c r="I5" s="6" t="n">
        <v>0</v>
      </c>
      <c r="J5" s="6" t="n">
        <v>3</v>
      </c>
      <c r="K5" s="6" t="inlineStr">
        <is>
          <t>2026-09-13 13:36:05.043202 北京时间</t>
        </is>
      </c>
      <c r="L5" s="2" t="n"/>
      <c r="M5" s="2" t="n"/>
    </row>
    <row r="6" ht="22" customHeight="1" s="39">
      <c r="A6" s="6" t="inlineStr">
        <is>
          <t>2026-09-14</t>
        </is>
      </c>
      <c r="B6" s="6" t="n">
        <v>208</v>
      </c>
      <c r="C6" s="6" t="n">
        <v>72</v>
      </c>
      <c r="D6" s="6" t="n">
        <v>0</v>
      </c>
      <c r="E6" s="6" t="n">
        <v>1</v>
      </c>
      <c r="F6" s="6" t="n">
        <v>18</v>
      </c>
      <c r="G6" s="6" t="n">
        <v>53</v>
      </c>
      <c r="H6" s="6" t="n">
        <v>30</v>
      </c>
      <c r="I6" s="6" t="n">
        <v>52</v>
      </c>
      <c r="J6" s="6" t="n">
        <v>54</v>
      </c>
      <c r="K6" s="6" t="inlineStr">
        <is>
          <t>2026-09-14 22:16:27.477271 北京时间</t>
        </is>
      </c>
      <c r="L6" s="2" t="n"/>
      <c r="M6" s="2" t="n"/>
    </row>
    <row r="7" ht="22" customHeight="1" s="39">
      <c r="A7" s="6" t="inlineStr">
        <is>
          <t>2026-09-15</t>
        </is>
      </c>
      <c r="B7" s="6" t="n">
        <v>327</v>
      </c>
      <c r="C7" s="6" t="n">
        <v>116</v>
      </c>
      <c r="D7" s="6" t="n">
        <v>1</v>
      </c>
      <c r="E7" s="6" t="n">
        <v>3</v>
      </c>
      <c r="F7" s="6" t="n">
        <v>28</v>
      </c>
      <c r="G7" s="6" t="n">
        <v>84</v>
      </c>
      <c r="H7" s="6" t="n">
        <v>41</v>
      </c>
      <c r="I7" s="6" t="n">
        <v>140</v>
      </c>
      <c r="J7" s="6" t="n">
        <v>30</v>
      </c>
      <c r="K7" s="6" t="inlineStr">
        <is>
          <t>2026-09-15 18:10:05.341285 北京时间</t>
        </is>
      </c>
      <c r="L7" s="2" t="n"/>
      <c r="M7" s="2" t="n"/>
    </row>
    <row r="8" ht="22" customHeight="1" s="39">
      <c r="A8" s="6" t="inlineStr">
        <is>
          <t>2026-09-16</t>
        </is>
      </c>
      <c r="B8" s="6" t="n">
        <v>510</v>
      </c>
      <c r="C8" s="6" t="n">
        <v>161</v>
      </c>
      <c r="D8" s="6" t="n">
        <v>1</v>
      </c>
      <c r="E8" s="6" t="n">
        <v>1</v>
      </c>
      <c r="F8" s="6" t="n">
        <v>29</v>
      </c>
      <c r="G8" s="6" t="n">
        <v>130</v>
      </c>
      <c r="H8" s="6" t="n">
        <v>28</v>
      </c>
      <c r="I8" s="6" t="n">
        <v>128</v>
      </c>
      <c r="J8" s="6" t="n">
        <v>193</v>
      </c>
      <c r="K8" s="6" t="inlineStr">
        <is>
          <t>2026-09-16 23:55:21.710510 北京时间</t>
        </is>
      </c>
      <c r="L8" s="2" t="n"/>
      <c r="M8" s="2" t="n"/>
    </row>
    <row r="9" ht="23" customHeight="1" s="39">
      <c r="A9" s="5" t="inlineStr">
        <is>
          <t>候选等级模型指标</t>
        </is>
      </c>
      <c r="G9" s="6" t="n">
        <v>64</v>
      </c>
      <c r="H9" s="6" t="n">
        <v>22</v>
      </c>
      <c r="I9" s="6" t="n">
        <v>70</v>
      </c>
      <c r="J9" s="6" t="n">
        <v>94</v>
      </c>
      <c r="K9" s="6" t="inlineStr">
        <is>
          <t>2026-09-17 22:29:30.141242 北京时间</t>
        </is>
      </c>
      <c r="L9" s="2" t="n"/>
      <c r="M9" s="2" t="n"/>
    </row>
    <row r="10" ht="26" customHeight="1" s="39">
      <c r="A10" s="3" t="inlineStr">
        <is>
          <t>等级</t>
        </is>
      </c>
      <c r="B10" s="3" t="inlineStr">
        <is>
          <t>候选场次</t>
        </is>
      </c>
      <c r="C10" s="3" t="inlineStr">
        <is>
          <t>平均模型有效胜率</t>
        </is>
      </c>
      <c r="D10" s="3" t="inlineStr">
        <is>
          <t>平均EV</t>
        </is>
      </c>
      <c r="E10" s="3" t="inlineStr">
        <is>
          <t>平均EV P10</t>
        </is>
      </c>
      <c r="F10" s="3" t="inlineStr">
        <is>
          <t>平均P(EV&gt;0)</t>
        </is>
      </c>
      <c r="G10" s="6" t="n">
        <v>107</v>
      </c>
      <c r="H10" s="6" t="n">
        <v>49</v>
      </c>
      <c r="I10" s="6" t="n">
        <v>285</v>
      </c>
      <c r="J10" s="6" t="n">
        <v>13</v>
      </c>
      <c r="K10" s="6" t="inlineStr">
        <is>
          <t>2026-09-18 16:00:27.683383 北京时间</t>
        </is>
      </c>
      <c r="L10" s="2" t="n"/>
      <c r="M10" s="2" t="n"/>
    </row>
    <row r="11" ht="22" customHeight="1" s="39">
      <c r="A11" s="6" t="inlineStr">
        <is>
          <t>等级A</t>
        </is>
      </c>
      <c r="B11" s="6" t="n">
        <v>5</v>
      </c>
      <c r="C11" s="50" t="n">
        <v>0.644357800484989</v>
      </c>
      <c r="D11" s="52" t="n">
        <v>0.293049108206509</v>
      </c>
      <c r="E11" s="52" t="n">
        <v>0.117756475844188</v>
      </c>
      <c r="F11" s="50" t="n">
        <v>0.97176</v>
      </c>
      <c r="G11" s="6" t="n">
        <v>287</v>
      </c>
      <c r="H11" s="6" t="n">
        <v>119</v>
      </c>
      <c r="I11" s="6" t="n">
        <v>212</v>
      </c>
      <c r="J11" s="6" t="n">
        <v>1114</v>
      </c>
      <c r="K11" s="6" t="inlineStr">
        <is>
          <t>2026-09-19 14:12:46.996540 北京时间</t>
        </is>
      </c>
      <c r="L11" s="2" t="n"/>
      <c r="M11" s="2" t="n"/>
    </row>
    <row r="12" ht="22" customHeight="1" s="39">
      <c r="A12" s="6" t="inlineStr">
        <is>
          <t>等级B</t>
        </is>
      </c>
      <c r="B12" s="6" t="n">
        <v>22</v>
      </c>
      <c r="C12" s="50" t="n">
        <v>0.572440068860142</v>
      </c>
      <c r="D12" s="52" t="n">
        <v>0.170298777246146</v>
      </c>
      <c r="E12" s="52" t="n">
        <v>-0.0159838534756892</v>
      </c>
      <c r="F12" s="50" t="n">
        <v>0.8804272727272729</v>
      </c>
      <c r="G12" s="6" t="n">
        <v>164</v>
      </c>
      <c r="H12" s="6" t="n">
        <v>68</v>
      </c>
      <c r="I12" s="6" t="n">
        <v>2</v>
      </c>
      <c r="J12" s="6" t="n">
        <v>1047</v>
      </c>
      <c r="K12" s="6" t="inlineStr">
        <is>
          <t>2026-09-20 21:55:39.015063 北京时间</t>
        </is>
      </c>
      <c r="L12" s="2" t="n"/>
      <c r="M12" s="2" t="n"/>
    </row>
    <row r="13" ht="22" customHeight="1" s="39">
      <c r="A13" s="6" t="inlineStr">
        <is>
          <t>等级C</t>
        </is>
      </c>
      <c r="B13" s="6" t="n">
        <v>324</v>
      </c>
      <c r="C13" s="50" t="n">
        <v>0.521147830566033</v>
      </c>
      <c r="D13" s="52" t="n">
        <v>0.0375456689790838</v>
      </c>
      <c r="E13" s="52" t="n">
        <v>-0.08421056995534031</v>
      </c>
      <c r="F13" s="50" t="n">
        <v>0.634594444444444</v>
      </c>
      <c r="G13" s="6" t="n">
        <v>9</v>
      </c>
      <c r="H13" s="6" t="n">
        <v>39</v>
      </c>
      <c r="I13" s="6" t="n">
        <v>118</v>
      </c>
      <c r="J13" s="6" t="n">
        <v>0</v>
      </c>
      <c r="K13" s="6" t="inlineStr">
        <is>
          <t>2026-09-21 08:20:31.444281 北京时间</t>
        </is>
      </c>
      <c r="L13" s="2" t="n"/>
      <c r="M13" s="2" t="n"/>
    </row>
    <row r="14" ht="42" customHeight="1" s="39">
      <c r="A14" s="10" t="inlineStr">
        <is>
          <t>V4使用市场结果的Dirichlet分布计算 W/HW/P/HL/L 与EV分位数，不沿用V3的Delta_Conv字段。模型有效胜率按结算概率计算；P(EV&gt;0)仅表示期望收益为正的后验概率。页面定义：A=EV均值&gt;0、EV P10&gt;0且P(EV&gt;0)≥95%；B=EV均值&gt;0且P(EV&gt;0)≥85%；C=EV均值&gt;0但未达到A/B；N=EV均值≤0。</t>
        </is>
      </c>
    </row>
    <row r="15" ht="42" customHeight="1" s="39"/>
    <row r="16" ht="42" customHeight="1" s="39"/>
  </sheetData>
  <mergeCells count="4">
    <mergeCell ref="A1:M1"/>
    <mergeCell ref="A3:M3"/>
    <mergeCell ref="A9:F9"/>
    <mergeCell ref="A14:M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:L1"/>
    </sheetView>
  </sheetViews>
  <sheetFormatPr baseColWidth="8" defaultColWidth="9" defaultRowHeight="13.8"/>
  <cols>
    <col width="27" customWidth="1" style="39" min="1" max="1"/>
    <col width="11" customWidth="1" style="39" min="2" max="2"/>
    <col width="12" customWidth="1" style="39" min="3" max="4"/>
    <col width="9" customWidth="1" style="39" min="5" max="9"/>
    <col width="14" customWidth="1" style="39" min="10" max="10"/>
    <col width="13" customWidth="1" style="39" min="11" max="11"/>
    <col width="12" customWidth="1" style="39" min="12" max="12"/>
  </cols>
  <sheetData>
    <row r="1" ht="28" customHeight="1" s="39">
      <c r="A1" s="1" t="inlineStr">
        <is>
          <t>V4盘口统计（周中/周末）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3" customHeight="1" s="39">
      <c r="A3" s="5" t="inlineStr">
        <is>
          <t>按列表日划分：周中=周一至周五，周末=周六、周日</t>
        </is>
      </c>
    </row>
    <row r="4" ht="26" customHeight="1" s="39">
      <c r="A4" s="3" t="inlineStr">
        <is>
          <t>分类</t>
        </is>
      </c>
      <c r="B4" s="3" t="inlineStr">
        <is>
          <t>候选</t>
        </is>
      </c>
      <c r="C4" s="3" t="inlineStr">
        <is>
          <t>已结算</t>
        </is>
      </c>
      <c r="D4" s="3" t="inlineStr">
        <is>
          <t>未结算</t>
        </is>
      </c>
      <c r="E4" s="3" t="inlineStr">
        <is>
          <t>红</t>
        </is>
      </c>
      <c r="F4" s="3" t="inlineStr">
        <is>
          <t>半红</t>
        </is>
      </c>
      <c r="G4" s="3" t="inlineStr">
        <is>
          <t>走</t>
        </is>
      </c>
      <c r="H4" s="3" t="inlineStr">
        <is>
          <t>半黑</t>
        </is>
      </c>
      <c r="I4" s="3" t="inlineStr">
        <is>
          <t>黑</t>
        </is>
      </c>
      <c r="J4" s="3" t="inlineStr">
        <is>
          <t>有效胜率</t>
        </is>
      </c>
      <c r="K4" s="3" t="inlineStr">
        <is>
          <t>盈亏(u)</t>
        </is>
      </c>
      <c r="L4" s="3" t="inlineStr">
        <is>
          <t>ROI</t>
        </is>
      </c>
    </row>
    <row r="5" ht="22" customHeight="1" s="39">
      <c r="A5" s="6" t="inlineStr">
        <is>
          <t>周中（周一至周五）｜受让0.25球</t>
        </is>
      </c>
      <c r="B5" s="6" t="n">
        <v>25</v>
      </c>
      <c r="C5" s="6" t="n">
        <v>24</v>
      </c>
      <c r="D5" s="6" t="n">
        <v>1</v>
      </c>
      <c r="E5" s="6" t="n">
        <v>4</v>
      </c>
      <c r="F5" s="6" t="n">
        <v>7</v>
      </c>
      <c r="G5" s="6" t="n">
        <v>0</v>
      </c>
      <c r="H5" s="6" t="n">
        <v>0</v>
      </c>
      <c r="I5" s="6" t="n">
        <v>13</v>
      </c>
      <c r="J5" s="50" t="n">
        <v>0.365853658536585</v>
      </c>
      <c r="K5" s="51" t="n">
        <v>-5.22</v>
      </c>
      <c r="L5" s="50" t="n">
        <v>-0.2175</v>
      </c>
    </row>
    <row r="6" ht="22" customHeight="1" s="39">
      <c r="A6" s="6" t="inlineStr">
        <is>
          <t>周中（周一至周五）｜受让0.5球</t>
        </is>
      </c>
      <c r="B6" s="6" t="n">
        <v>23</v>
      </c>
      <c r="C6" s="6" t="n">
        <v>23</v>
      </c>
      <c r="D6" s="6" t="n">
        <v>0</v>
      </c>
      <c r="E6" s="6" t="n">
        <v>11</v>
      </c>
      <c r="F6" s="6" t="n">
        <v>0</v>
      </c>
      <c r="G6" s="6" t="n">
        <v>0</v>
      </c>
      <c r="H6" s="6" t="n">
        <v>0</v>
      </c>
      <c r="I6" s="6" t="n">
        <v>12</v>
      </c>
      <c r="J6" s="50" t="n">
        <v>0.478260869565217</v>
      </c>
      <c r="K6" s="51" t="n">
        <v>-0.54</v>
      </c>
      <c r="L6" s="50" t="n">
        <v>-0.0234782608695652</v>
      </c>
    </row>
    <row r="7" ht="22" customHeight="1" s="39">
      <c r="A7" s="6" t="inlineStr">
        <is>
          <t>周中（周一至周五）｜受让0.75球</t>
        </is>
      </c>
      <c r="B7" s="6" t="n">
        <v>15</v>
      </c>
      <c r="C7" s="6" t="n">
        <v>15</v>
      </c>
      <c r="D7" s="6" t="n">
        <v>0</v>
      </c>
      <c r="E7" s="6" t="n">
        <v>6</v>
      </c>
      <c r="F7" s="6" t="n">
        <v>0</v>
      </c>
      <c r="G7" s="6" t="n">
        <v>0</v>
      </c>
      <c r="H7" s="6" t="n">
        <v>5</v>
      </c>
      <c r="I7" s="6" t="n">
        <v>4</v>
      </c>
      <c r="J7" s="50" t="n">
        <v>0.48</v>
      </c>
      <c r="K7" s="51" t="n">
        <v>-0.14</v>
      </c>
      <c r="L7" s="50" t="n">
        <v>-0.00933333333333331</v>
      </c>
    </row>
    <row r="8" ht="22" customHeight="1" s="39">
      <c r="A8" s="6" t="inlineStr">
        <is>
          <t>周中（周一至周五）｜受让1.25球</t>
        </is>
      </c>
      <c r="B8" s="6" t="n">
        <v>4</v>
      </c>
      <c r="C8" s="6" t="n">
        <v>4</v>
      </c>
      <c r="D8" s="6" t="n">
        <v>0</v>
      </c>
      <c r="E8" s="6" t="n">
        <v>0</v>
      </c>
      <c r="F8" s="6" t="n">
        <v>3</v>
      </c>
      <c r="G8" s="6" t="n">
        <v>0</v>
      </c>
      <c r="H8" s="6" t="n">
        <v>0</v>
      </c>
      <c r="I8" s="6" t="n">
        <v>1</v>
      </c>
      <c r="J8" s="50" t="n">
        <v>0.6</v>
      </c>
      <c r="K8" s="51" t="n">
        <v>0.595</v>
      </c>
      <c r="L8" s="50" t="n">
        <v>0.14875</v>
      </c>
    </row>
    <row r="9" ht="22" customHeight="1" s="39">
      <c r="A9" s="6" t="inlineStr">
        <is>
          <t>周中（周一至周五）｜受让1.75球</t>
        </is>
      </c>
      <c r="B9" s="6" t="n">
        <v>1</v>
      </c>
      <c r="C9" s="6" t="n">
        <v>0</v>
      </c>
      <c r="D9" s="6" t="n">
        <v>1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50" t="n"/>
      <c r="K9" s="51" t="n">
        <v>0</v>
      </c>
      <c r="L9" s="50" t="n"/>
    </row>
    <row r="10" ht="22" customHeight="1" s="39">
      <c r="A10" s="6" t="inlineStr">
        <is>
          <t>周中（周一至周五）｜受让1球</t>
        </is>
      </c>
      <c r="B10" s="6" t="n">
        <v>26</v>
      </c>
      <c r="C10" s="6" t="n">
        <v>25</v>
      </c>
      <c r="D10" s="6" t="n">
        <v>1</v>
      </c>
      <c r="E10" s="6" t="n">
        <v>9</v>
      </c>
      <c r="F10" s="6" t="n">
        <v>0</v>
      </c>
      <c r="G10" s="6" t="n">
        <v>4</v>
      </c>
      <c r="H10" s="6" t="n">
        <v>0</v>
      </c>
      <c r="I10" s="6" t="n">
        <v>12</v>
      </c>
      <c r="J10" s="50" t="n">
        <v>0.428571428571428</v>
      </c>
      <c r="K10" s="51" t="n">
        <v>-3.56</v>
      </c>
      <c r="L10" s="50" t="n">
        <v>-0.1424</v>
      </c>
    </row>
    <row r="11" ht="22" customHeight="1" s="39">
      <c r="A11" s="6" t="inlineStr">
        <is>
          <t>周中（周一至周五）｜受让2.5球</t>
        </is>
      </c>
      <c r="B11" s="6" t="n">
        <v>2</v>
      </c>
      <c r="C11" s="6" t="n">
        <v>2</v>
      </c>
      <c r="D11" s="6" t="n">
        <v>0</v>
      </c>
      <c r="E11" s="6" t="n">
        <v>1</v>
      </c>
      <c r="F11" s="6" t="n">
        <v>0</v>
      </c>
      <c r="G11" s="6" t="n">
        <v>0</v>
      </c>
      <c r="H11" s="6" t="n">
        <v>0</v>
      </c>
      <c r="I11" s="6" t="n">
        <v>1</v>
      </c>
      <c r="J11" s="50" t="n">
        <v>0.5</v>
      </c>
      <c r="K11" s="51" t="n">
        <v>-0.24</v>
      </c>
      <c r="L11" s="50" t="n">
        <v>-0.12</v>
      </c>
    </row>
    <row r="12" ht="22" customHeight="1" s="39">
      <c r="A12" s="6" t="inlineStr">
        <is>
          <t>周中（周一至周五）｜受让3.25球</t>
        </is>
      </c>
      <c r="B12" s="6" t="n">
        <v>1</v>
      </c>
      <c r="C12" s="6" t="n">
        <v>1</v>
      </c>
      <c r="D12" s="6" t="n">
        <v>0</v>
      </c>
      <c r="E12" s="6" t="n">
        <v>1</v>
      </c>
      <c r="F12" s="6" t="n">
        <v>0</v>
      </c>
      <c r="G12" s="6" t="n">
        <v>0</v>
      </c>
      <c r="H12" s="6" t="n">
        <v>0</v>
      </c>
      <c r="I12" s="6" t="n">
        <v>0</v>
      </c>
      <c r="J12" s="50" t="n">
        <v>1</v>
      </c>
      <c r="K12" s="51" t="n">
        <v>0.99</v>
      </c>
      <c r="L12" s="50" t="n">
        <v>0.99</v>
      </c>
    </row>
    <row r="13" ht="22" customHeight="1" s="39">
      <c r="A13" s="6" t="inlineStr">
        <is>
          <t>周中（周一至周五）｜受让4球</t>
        </is>
      </c>
      <c r="B13" s="6" t="n">
        <v>1</v>
      </c>
      <c r="C13" s="6" t="n">
        <v>1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1</v>
      </c>
      <c r="J13" s="50" t="n">
        <v>0</v>
      </c>
      <c r="K13" s="51" t="n">
        <v>-1</v>
      </c>
      <c r="L13" s="50" t="n">
        <v>-1</v>
      </c>
    </row>
    <row r="14" ht="22" customHeight="1" s="39">
      <c r="A14" s="6" t="inlineStr">
        <is>
          <t>周中（周一至周五）｜让0.25球</t>
        </is>
      </c>
      <c r="B14" s="6" t="n">
        <v>12</v>
      </c>
      <c r="C14" s="6" t="n">
        <v>12</v>
      </c>
      <c r="D14" s="6" t="n">
        <v>0</v>
      </c>
      <c r="E14" s="6" t="n">
        <v>3</v>
      </c>
      <c r="F14" s="6" t="n">
        <v>0</v>
      </c>
      <c r="G14" s="6" t="n">
        <v>0</v>
      </c>
      <c r="H14" s="6" t="n">
        <v>4</v>
      </c>
      <c r="I14" s="6" t="n">
        <v>5</v>
      </c>
      <c r="J14" s="50" t="n">
        <v>0.3</v>
      </c>
      <c r="K14" s="51" t="n">
        <v>-3.87</v>
      </c>
      <c r="L14" s="50" t="n">
        <v>-0.3225</v>
      </c>
    </row>
    <row r="15" ht="22" customHeight="1" s="39">
      <c r="A15" s="6" t="inlineStr">
        <is>
          <t>周中（周一至周五）｜让0.5球</t>
        </is>
      </c>
      <c r="B15" s="6" t="n">
        <v>6</v>
      </c>
      <c r="C15" s="6" t="n">
        <v>5</v>
      </c>
      <c r="D15" s="6" t="n">
        <v>1</v>
      </c>
      <c r="E15" s="6" t="n">
        <v>3</v>
      </c>
      <c r="F15" s="6" t="n">
        <v>0</v>
      </c>
      <c r="G15" s="6" t="n">
        <v>0</v>
      </c>
      <c r="H15" s="6" t="n">
        <v>0</v>
      </c>
      <c r="I15" s="6" t="n">
        <v>2</v>
      </c>
      <c r="J15" s="50" t="n">
        <v>0.6</v>
      </c>
      <c r="K15" s="51" t="n">
        <v>1.09</v>
      </c>
      <c r="L15" s="50" t="n">
        <v>0.218</v>
      </c>
    </row>
    <row r="16" ht="22" customHeight="1" s="39">
      <c r="A16" s="6" t="inlineStr">
        <is>
          <t>周中（周一至周五）｜让0.75球</t>
        </is>
      </c>
      <c r="B16" s="6" t="n">
        <v>5</v>
      </c>
      <c r="C16" s="6" t="n">
        <v>5</v>
      </c>
      <c r="D16" s="6" t="n">
        <v>0</v>
      </c>
      <c r="E16" s="6" t="n">
        <v>1</v>
      </c>
      <c r="F16" s="6" t="n">
        <v>2</v>
      </c>
      <c r="G16" s="6" t="n">
        <v>0</v>
      </c>
      <c r="H16" s="6" t="n">
        <v>0</v>
      </c>
      <c r="I16" s="6" t="n">
        <v>2</v>
      </c>
      <c r="J16" s="50" t="n">
        <v>0.5</v>
      </c>
      <c r="K16" s="51" t="n">
        <v>0.105</v>
      </c>
      <c r="L16" s="50" t="n">
        <v>0.021</v>
      </c>
    </row>
    <row r="17" ht="22" customHeight="1" s="39">
      <c r="A17" s="6" t="inlineStr">
        <is>
          <t>周中（周一至周五）｜让1.25球</t>
        </is>
      </c>
      <c r="B17" s="6" t="n">
        <v>11</v>
      </c>
      <c r="C17" s="6" t="n">
        <v>11</v>
      </c>
      <c r="D17" s="6" t="n">
        <v>0</v>
      </c>
      <c r="E17" s="6" t="n">
        <v>5</v>
      </c>
      <c r="F17" s="6" t="n">
        <v>0</v>
      </c>
      <c r="G17" s="6" t="n">
        <v>0</v>
      </c>
      <c r="H17" s="6" t="n">
        <v>4</v>
      </c>
      <c r="I17" s="6" t="n">
        <v>2</v>
      </c>
      <c r="J17" s="50" t="n">
        <v>0.555555555555556</v>
      </c>
      <c r="K17" s="51" t="n">
        <v>1.15</v>
      </c>
      <c r="L17" s="50" t="n">
        <v>0.104545454545455</v>
      </c>
    </row>
    <row r="18" ht="22" customHeight="1" s="39">
      <c r="A18" s="6" t="inlineStr">
        <is>
          <t>周中（周一至周五）｜让1.5球</t>
        </is>
      </c>
      <c r="B18" s="6" t="n">
        <v>13</v>
      </c>
      <c r="C18" s="6" t="n">
        <v>12</v>
      </c>
      <c r="D18" s="6" t="n">
        <v>1</v>
      </c>
      <c r="E18" s="6" t="n">
        <v>5</v>
      </c>
      <c r="F18" s="6" t="n">
        <v>0</v>
      </c>
      <c r="G18" s="6" t="n">
        <v>0</v>
      </c>
      <c r="H18" s="6" t="n">
        <v>0</v>
      </c>
      <c r="I18" s="6" t="n">
        <v>7</v>
      </c>
      <c r="J18" s="50" t="n">
        <v>0.416666666666667</v>
      </c>
      <c r="K18" s="51" t="n">
        <v>-2.09</v>
      </c>
      <c r="L18" s="50" t="n">
        <v>-0.174166666666667</v>
      </c>
    </row>
    <row r="19" ht="22" customHeight="1" s="39">
      <c r="A19" s="6" t="inlineStr">
        <is>
          <t>周中（周一至周五）｜让1.75球</t>
        </is>
      </c>
      <c r="B19" s="6" t="n">
        <v>1</v>
      </c>
      <c r="C19" s="6" t="n">
        <v>1</v>
      </c>
      <c r="D19" s="6" t="n">
        <v>0</v>
      </c>
      <c r="E19" s="6" t="n">
        <v>1</v>
      </c>
      <c r="F19" s="6" t="n">
        <v>0</v>
      </c>
      <c r="G19" s="6" t="n">
        <v>0</v>
      </c>
      <c r="H19" s="6" t="n">
        <v>0</v>
      </c>
      <c r="I19" s="6" t="n">
        <v>0</v>
      </c>
      <c r="J19" s="50" t="n">
        <v>1</v>
      </c>
      <c r="K19" s="51" t="n">
        <v>0.99</v>
      </c>
      <c r="L19" s="50" t="n">
        <v>0.99</v>
      </c>
    </row>
    <row r="20" ht="22" customHeight="1" s="39">
      <c r="A20" s="6" t="inlineStr">
        <is>
          <t>周中（周一至周五）｜让2.25球</t>
        </is>
      </c>
      <c r="B20" s="6" t="n">
        <v>3</v>
      </c>
      <c r="C20" s="6" t="n">
        <v>3</v>
      </c>
      <c r="D20" s="6" t="n">
        <v>0</v>
      </c>
      <c r="E20" s="6" t="n">
        <v>2</v>
      </c>
      <c r="F20" s="6" t="n">
        <v>0</v>
      </c>
      <c r="G20" s="6" t="n">
        <v>0</v>
      </c>
      <c r="H20" s="6" t="n">
        <v>0</v>
      </c>
      <c r="I20" s="6" t="n">
        <v>1</v>
      </c>
      <c r="J20" s="50" t="n">
        <v>0.666666666666667</v>
      </c>
      <c r="K20" s="51" t="n">
        <v>0.9</v>
      </c>
      <c r="L20" s="50" t="n">
        <v>0.3</v>
      </c>
    </row>
    <row r="21" ht="22" customHeight="1" s="39">
      <c r="A21" s="6" t="inlineStr">
        <is>
          <t>周中（周一至周五）｜让2.75球</t>
        </is>
      </c>
      <c r="B21" s="6" t="n">
        <v>2</v>
      </c>
      <c r="C21" s="6" t="n">
        <v>2</v>
      </c>
      <c r="D21" s="6" t="n">
        <v>0</v>
      </c>
      <c r="E21" s="6" t="n">
        <v>2</v>
      </c>
      <c r="F21" s="6" t="n">
        <v>0</v>
      </c>
      <c r="G21" s="6" t="n">
        <v>0</v>
      </c>
      <c r="H21" s="6" t="n">
        <v>0</v>
      </c>
      <c r="I21" s="6" t="n">
        <v>0</v>
      </c>
      <c r="J21" s="50" t="n">
        <v>1</v>
      </c>
      <c r="K21" s="51" t="n">
        <v>1.91</v>
      </c>
      <c r="L21" s="50" t="n">
        <v>0.955</v>
      </c>
    </row>
    <row r="22" ht="22" customHeight="1" s="39">
      <c r="A22" s="6" t="inlineStr">
        <is>
          <t>周中（周一至周五）｜让2球</t>
        </is>
      </c>
      <c r="B22" s="6" t="n">
        <v>6</v>
      </c>
      <c r="C22" s="6" t="n">
        <v>6</v>
      </c>
      <c r="D22" s="6" t="n">
        <v>0</v>
      </c>
      <c r="E22" s="6" t="n">
        <v>3</v>
      </c>
      <c r="F22" s="6" t="n">
        <v>0</v>
      </c>
      <c r="G22" s="6" t="n">
        <v>1</v>
      </c>
      <c r="H22" s="6" t="n">
        <v>0</v>
      </c>
      <c r="I22" s="6" t="n">
        <v>2</v>
      </c>
      <c r="J22" s="50" t="n">
        <v>0.6</v>
      </c>
      <c r="K22" s="51" t="n">
        <v>0.48</v>
      </c>
      <c r="L22" s="50" t="n">
        <v>0.08</v>
      </c>
    </row>
    <row r="23" ht="22" customHeight="1" s="39">
      <c r="A23" s="6" t="inlineStr">
        <is>
          <t>周中（周一至周五）｜让3.75球</t>
        </is>
      </c>
      <c r="B23" s="6" t="n">
        <v>1</v>
      </c>
      <c r="C23" s="6" t="n">
        <v>1</v>
      </c>
      <c r="D23" s="6" t="n">
        <v>0</v>
      </c>
      <c r="E23" s="6" t="n">
        <v>1</v>
      </c>
      <c r="F23" s="6" t="n">
        <v>0</v>
      </c>
      <c r="G23" s="6" t="n">
        <v>0</v>
      </c>
      <c r="H23" s="6" t="n">
        <v>0</v>
      </c>
      <c r="I23" s="6" t="n">
        <v>0</v>
      </c>
      <c r="J23" s="50" t="n">
        <v>1</v>
      </c>
      <c r="K23" s="51" t="n">
        <v>1.01</v>
      </c>
      <c r="L23" s="50" t="n">
        <v>1.01</v>
      </c>
    </row>
    <row r="24" ht="22" customHeight="1" s="39">
      <c r="A24" s="6" t="inlineStr">
        <is>
          <t>周中（周一至周五）｜让3球</t>
        </is>
      </c>
      <c r="B24" s="6" t="n">
        <v>1</v>
      </c>
      <c r="C24" s="6" t="n">
        <v>1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1</v>
      </c>
      <c r="J24" s="50" t="n">
        <v>0</v>
      </c>
      <c r="K24" s="51" t="n">
        <v>-1</v>
      </c>
      <c r="L24" s="50" t="n">
        <v>-1</v>
      </c>
    </row>
    <row r="25" ht="22" customHeight="1" s="39">
      <c r="A25" s="6" t="inlineStr">
        <is>
          <t>周末（周六、周日）｜受让0.25球</t>
        </is>
      </c>
      <c r="B25" s="6" t="n">
        <v>36</v>
      </c>
      <c r="C25" s="6" t="n">
        <v>36</v>
      </c>
      <c r="D25" s="6" t="n">
        <v>0</v>
      </c>
      <c r="E25" s="6" t="n">
        <v>9</v>
      </c>
      <c r="F25" s="6" t="n">
        <v>11</v>
      </c>
      <c r="G25" s="6" t="n">
        <v>0</v>
      </c>
      <c r="H25" s="6" t="n">
        <v>0</v>
      </c>
      <c r="I25" s="6" t="n">
        <v>16</v>
      </c>
      <c r="J25" s="50" t="n">
        <v>0.475409836065574</v>
      </c>
      <c r="K25" s="51" t="n">
        <v>-0.889999999999999</v>
      </c>
      <c r="L25" s="50" t="n">
        <v>-0.0247222222222222</v>
      </c>
    </row>
    <row r="26" ht="22" customHeight="1" s="39">
      <c r="A26" s="6" t="inlineStr">
        <is>
          <t>周末（周六、周日）｜受让0.5球</t>
        </is>
      </c>
      <c r="B26" s="6" t="n">
        <v>19</v>
      </c>
      <c r="C26" s="6" t="n">
        <v>19</v>
      </c>
      <c r="D26" s="6" t="n">
        <v>0</v>
      </c>
      <c r="E26" s="6" t="n">
        <v>8</v>
      </c>
      <c r="F26" s="6" t="n">
        <v>0</v>
      </c>
      <c r="G26" s="6" t="n">
        <v>0</v>
      </c>
      <c r="H26" s="6" t="n">
        <v>0</v>
      </c>
      <c r="I26" s="6" t="n">
        <v>11</v>
      </c>
      <c r="J26" s="50" t="n">
        <v>0.421052631578947</v>
      </c>
      <c r="K26" s="51" t="n">
        <v>-2.92</v>
      </c>
      <c r="L26" s="50" t="n">
        <v>-0.153684210526316</v>
      </c>
    </row>
    <row r="27" ht="22" customHeight="1" s="39">
      <c r="A27" s="6" t="inlineStr">
        <is>
          <t>周末（周六、周日）｜受让0.75球</t>
        </is>
      </c>
      <c r="B27" s="6" t="n">
        <v>21</v>
      </c>
      <c r="C27" s="6" t="n">
        <v>21</v>
      </c>
      <c r="D27" s="6" t="n">
        <v>0</v>
      </c>
      <c r="E27" s="6" t="n">
        <v>13</v>
      </c>
      <c r="F27" s="6" t="n">
        <v>0</v>
      </c>
      <c r="G27" s="6" t="n">
        <v>0</v>
      </c>
      <c r="H27" s="6" t="n">
        <v>4</v>
      </c>
      <c r="I27" s="6" t="n">
        <v>4</v>
      </c>
      <c r="J27" s="50" t="n">
        <v>0.684210526315789</v>
      </c>
      <c r="K27" s="51" t="n">
        <v>7.7</v>
      </c>
      <c r="L27" s="50" t="n">
        <v>0.366666666666667</v>
      </c>
    </row>
    <row r="28" ht="22" customHeight="1" s="39">
      <c r="A28" s="6" t="inlineStr">
        <is>
          <t>周末（周六、周日）｜受让1.25球</t>
        </is>
      </c>
      <c r="B28" s="6" t="n">
        <v>4</v>
      </c>
      <c r="C28" s="6" t="n">
        <v>4</v>
      </c>
      <c r="D28" s="6" t="n">
        <v>0</v>
      </c>
      <c r="E28" s="6" t="n">
        <v>2</v>
      </c>
      <c r="F28" s="6" t="n">
        <v>1</v>
      </c>
      <c r="G28" s="6" t="n">
        <v>0</v>
      </c>
      <c r="H28" s="6" t="n">
        <v>0</v>
      </c>
      <c r="I28" s="6" t="n">
        <v>1</v>
      </c>
      <c r="J28" s="50" t="n">
        <v>0.714285714285714</v>
      </c>
      <c r="K28" s="51" t="n">
        <v>1.72</v>
      </c>
      <c r="L28" s="50" t="n">
        <v>0.43</v>
      </c>
    </row>
    <row r="29" ht="22" customHeight="1" s="39">
      <c r="A29" s="6" t="inlineStr">
        <is>
          <t>周末（周六、周日）｜受让1球</t>
        </is>
      </c>
      <c r="B29" s="6" t="n">
        <v>27</v>
      </c>
      <c r="C29" s="6" t="n">
        <v>27</v>
      </c>
      <c r="D29" s="6" t="n">
        <v>0</v>
      </c>
      <c r="E29" s="6" t="n">
        <v>8</v>
      </c>
      <c r="F29" s="6" t="n">
        <v>0</v>
      </c>
      <c r="G29" s="6" t="n">
        <v>10</v>
      </c>
      <c r="H29" s="6" t="n">
        <v>0</v>
      </c>
      <c r="I29" s="6" t="n">
        <v>9</v>
      </c>
      <c r="J29" s="50" t="n">
        <v>0.470588235294118</v>
      </c>
      <c r="K29" s="51" t="n">
        <v>-0.8100000000000001</v>
      </c>
      <c r="L29" s="50" t="n">
        <v>-0.03</v>
      </c>
    </row>
    <row r="30" ht="22" customHeight="1" s="39">
      <c r="A30" s="6" t="inlineStr">
        <is>
          <t>周末（周六、周日）｜让0.25球</t>
        </is>
      </c>
      <c r="B30" s="6" t="n">
        <v>23</v>
      </c>
      <c r="C30" s="6" t="n">
        <v>23</v>
      </c>
      <c r="D30" s="6" t="n">
        <v>0</v>
      </c>
      <c r="E30" s="6" t="n">
        <v>13</v>
      </c>
      <c r="F30" s="6" t="n">
        <v>0</v>
      </c>
      <c r="G30" s="6" t="n">
        <v>0</v>
      </c>
      <c r="H30" s="6" t="n">
        <v>3</v>
      </c>
      <c r="I30" s="6" t="n">
        <v>7</v>
      </c>
      <c r="J30" s="50" t="n">
        <v>0.604651162790698</v>
      </c>
      <c r="K30" s="51" t="n">
        <v>5.21</v>
      </c>
      <c r="L30" s="50" t="n">
        <v>0.226521739130435</v>
      </c>
    </row>
    <row r="31" ht="22" customHeight="1" s="39">
      <c r="A31" s="6" t="inlineStr">
        <is>
          <t>周末（周六、周日）｜让0.5球</t>
        </is>
      </c>
      <c r="B31" s="6" t="n">
        <v>12</v>
      </c>
      <c r="C31" s="6" t="n">
        <v>12</v>
      </c>
      <c r="D31" s="6" t="n">
        <v>0</v>
      </c>
      <c r="E31" s="6" t="n">
        <v>7</v>
      </c>
      <c r="F31" s="6" t="n">
        <v>0</v>
      </c>
      <c r="G31" s="6" t="n">
        <v>0</v>
      </c>
      <c r="H31" s="6" t="n">
        <v>0</v>
      </c>
      <c r="I31" s="6" t="n">
        <v>5</v>
      </c>
      <c r="J31" s="50" t="n">
        <v>0.583333333333333</v>
      </c>
      <c r="K31" s="51" t="n">
        <v>2.3</v>
      </c>
      <c r="L31" s="50" t="n">
        <v>0.191666666666667</v>
      </c>
    </row>
    <row r="32" ht="22" customHeight="1" s="39">
      <c r="A32" s="6" t="inlineStr">
        <is>
          <t>周末（周六、周日）｜让0.75球</t>
        </is>
      </c>
      <c r="B32" s="6" t="n">
        <v>7</v>
      </c>
      <c r="C32" s="6" t="n">
        <v>7</v>
      </c>
      <c r="D32" s="6" t="n">
        <v>0</v>
      </c>
      <c r="E32" s="6" t="n">
        <v>3</v>
      </c>
      <c r="F32" s="6" t="n">
        <v>1</v>
      </c>
      <c r="G32" s="6" t="n">
        <v>0</v>
      </c>
      <c r="H32" s="6" t="n">
        <v>0</v>
      </c>
      <c r="I32" s="6" t="n">
        <v>3</v>
      </c>
      <c r="J32" s="50" t="n">
        <v>0.538461538461538</v>
      </c>
      <c r="K32" s="51" t="n">
        <v>0.665</v>
      </c>
      <c r="L32" s="50" t="n">
        <v>0.095</v>
      </c>
    </row>
    <row r="33" ht="22" customHeight="1" s="39">
      <c r="A33" s="6" t="inlineStr">
        <is>
          <t>周末（周六、周日）｜让1.25球</t>
        </is>
      </c>
      <c r="B33" s="6" t="n">
        <v>8</v>
      </c>
      <c r="C33" s="6" t="n">
        <v>8</v>
      </c>
      <c r="D33" s="6" t="n">
        <v>0</v>
      </c>
      <c r="E33" s="6" t="n">
        <v>5</v>
      </c>
      <c r="F33" s="6" t="n">
        <v>0</v>
      </c>
      <c r="G33" s="6" t="n">
        <v>0</v>
      </c>
      <c r="H33" s="6" t="n">
        <v>0</v>
      </c>
      <c r="I33" s="6" t="n">
        <v>3</v>
      </c>
      <c r="J33" s="50" t="n">
        <v>0.625</v>
      </c>
      <c r="K33" s="51" t="n">
        <v>2.23</v>
      </c>
      <c r="L33" s="50" t="n">
        <v>0.27875</v>
      </c>
    </row>
    <row r="34" ht="22" customHeight="1" s="39">
      <c r="A34" s="6" t="inlineStr">
        <is>
          <t>周末（周六、周日）｜让1.5球</t>
        </is>
      </c>
      <c r="B34" s="6" t="n">
        <v>15</v>
      </c>
      <c r="C34" s="6" t="n">
        <v>15</v>
      </c>
      <c r="D34" s="6" t="n">
        <v>0</v>
      </c>
      <c r="E34" s="6" t="n">
        <v>8</v>
      </c>
      <c r="F34" s="6" t="n">
        <v>0</v>
      </c>
      <c r="G34" s="6" t="n">
        <v>0</v>
      </c>
      <c r="H34" s="6" t="n">
        <v>0</v>
      </c>
      <c r="I34" s="6" t="n">
        <v>7</v>
      </c>
      <c r="J34" s="50" t="n">
        <v>0.533333333333333</v>
      </c>
      <c r="K34" s="51" t="n">
        <v>0.29</v>
      </c>
      <c r="L34" s="50" t="n">
        <v>0.0193333333333333</v>
      </c>
    </row>
    <row r="35" ht="22" customHeight="1" s="39">
      <c r="A35" s="6" t="inlineStr">
        <is>
          <t>周末（周六、周日）｜让1.75球</t>
        </is>
      </c>
      <c r="B35" s="6" t="n">
        <v>10</v>
      </c>
      <c r="C35" s="6" t="n">
        <v>10</v>
      </c>
      <c r="D35" s="6" t="n">
        <v>0</v>
      </c>
      <c r="E35" s="6" t="n">
        <v>4</v>
      </c>
      <c r="F35" s="6" t="n">
        <v>2</v>
      </c>
      <c r="G35" s="6" t="n">
        <v>0</v>
      </c>
      <c r="H35" s="6" t="n">
        <v>0</v>
      </c>
      <c r="I35" s="6" t="n">
        <v>4</v>
      </c>
      <c r="J35" s="50" t="n">
        <v>0.555555555555556</v>
      </c>
      <c r="K35" s="51" t="n">
        <v>0.855</v>
      </c>
      <c r="L35" s="50" t="n">
        <v>0.08550000000000001</v>
      </c>
    </row>
    <row r="36" ht="22" customHeight="1" s="39">
      <c r="A36" s="6" t="inlineStr">
        <is>
          <t>周末（周六、周日）｜让2.25球</t>
        </is>
      </c>
      <c r="B36" s="6" t="n">
        <v>5</v>
      </c>
      <c r="C36" s="6" t="n">
        <v>5</v>
      </c>
      <c r="D36" s="6" t="n">
        <v>0</v>
      </c>
      <c r="E36" s="6" t="n">
        <v>1</v>
      </c>
      <c r="F36" s="6" t="n">
        <v>0</v>
      </c>
      <c r="G36" s="6" t="n">
        <v>0</v>
      </c>
      <c r="H36" s="6" t="n">
        <v>3</v>
      </c>
      <c r="I36" s="6" t="n">
        <v>1</v>
      </c>
      <c r="J36" s="50" t="n">
        <v>0.285714285714286</v>
      </c>
      <c r="K36" s="51" t="n">
        <v>-1.55</v>
      </c>
      <c r="L36" s="50" t="n">
        <v>-0.31</v>
      </c>
    </row>
    <row r="37" ht="22" customHeight="1" s="39">
      <c r="A37" s="6" t="inlineStr">
        <is>
          <t>周末（周六、周日）｜让2.75球</t>
        </is>
      </c>
      <c r="B37" s="6" t="n">
        <v>1</v>
      </c>
      <c r="C37" s="6" t="n">
        <v>1</v>
      </c>
      <c r="D37" s="6" t="n">
        <v>0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1</v>
      </c>
      <c r="J37" s="50" t="n">
        <v>0</v>
      </c>
      <c r="K37" s="51" t="n">
        <v>-1</v>
      </c>
      <c r="L37" s="50" t="n">
        <v>-1</v>
      </c>
    </row>
    <row r="38" ht="22" customHeight="1" s="39">
      <c r="A38" s="6" t="inlineStr">
        <is>
          <t>周末（周六、周日）｜让2球</t>
        </is>
      </c>
      <c r="B38" s="6" t="n">
        <v>4</v>
      </c>
      <c r="C38" s="6" t="n">
        <v>4</v>
      </c>
      <c r="D38" s="6" t="n">
        <v>0</v>
      </c>
      <c r="E38" s="6" t="n">
        <v>1</v>
      </c>
      <c r="F38" s="6" t="n">
        <v>0</v>
      </c>
      <c r="G38" s="6" t="n">
        <v>1</v>
      </c>
      <c r="H38" s="6" t="n">
        <v>0</v>
      </c>
      <c r="I38" s="6" t="n">
        <v>2</v>
      </c>
      <c r="J38" s="50" t="n">
        <v>0.333333333333333</v>
      </c>
      <c r="K38" s="51" t="n">
        <v>-1.23</v>
      </c>
      <c r="L38" s="50" t="n">
        <v>-0.3075</v>
      </c>
    </row>
  </sheetData>
  <mergeCells count="2">
    <mergeCell ref="A3:L3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8" defaultColWidth="9" defaultRowHeight="13.8"/>
  <cols>
    <col width="20" customWidth="1" style="39" min="1" max="1"/>
    <col width="82" customWidth="1" style="39" min="2" max="2"/>
  </cols>
  <sheetData>
    <row r="1" ht="28" customHeight="1" s="39">
      <c r="A1" s="1" t="inlineStr">
        <is>
          <t>V4账本说明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26" customHeight="1" s="39">
      <c r="A3" s="3" t="inlineStr">
        <is>
          <t>项目</t>
        </is>
      </c>
      <c r="B3" s="3" t="inlineStr">
        <is>
          <t>说明</t>
        </is>
      </c>
      <c r="C3" s="2" t="n"/>
      <c r="D3" s="2" t="n"/>
      <c r="E3" s="2" t="n"/>
      <c r="F3" s="2" t="n"/>
      <c r="G3" s="2" t="n"/>
      <c r="H3" s="2" t="n"/>
    </row>
    <row r="4" ht="30" customHeight="1" s="39">
      <c r="A4" s="4" t="inlineStr">
        <is>
          <t>候选范围</t>
        </is>
      </c>
      <c r="B4" s="4" t="inlineStr">
        <is>
          <t>V4中EVALUATED或FROZEN_PREMATCH_DECISION且等级A/B/C；保留冻结的赛前选择</t>
        </is>
      </c>
      <c r="C4" s="2" t="n"/>
      <c r="D4" s="2" t="n"/>
      <c r="E4" s="2" t="n"/>
      <c r="F4" s="2" t="n"/>
      <c r="G4" s="2" t="n"/>
      <c r="H4" s="2" t="n"/>
    </row>
    <row r="5" ht="30" customHeight="1" s="39">
      <c r="A5" s="4" t="inlineStr">
        <is>
          <t>投注性质</t>
        </is>
      </c>
      <c r="B5" s="4" t="inlineStr">
        <is>
          <t>V4 Shadow Only；real_money=false</t>
        </is>
      </c>
      <c r="C5" s="2" t="n"/>
      <c r="D5" s="2" t="n"/>
      <c r="E5" s="2" t="n"/>
      <c r="F5" s="2" t="n"/>
      <c r="G5" s="2" t="n"/>
      <c r="H5" s="2" t="n"/>
    </row>
    <row r="6" ht="30" customHeight="1" s="39">
      <c r="A6" s="4" t="inlineStr">
        <is>
          <t>比赛胜率</t>
        </is>
      </c>
      <c r="B6" s="4" t="inlineStr">
        <is>
          <t>“模型有效胜率”由W/HW/HL/L结算概率换算</t>
        </is>
      </c>
      <c r="C6" s="2" t="n"/>
      <c r="D6" s="2" t="n"/>
      <c r="E6" s="2" t="n"/>
      <c r="F6" s="2" t="n"/>
      <c r="G6" s="2" t="n"/>
      <c r="H6" s="2" t="n"/>
    </row>
    <row r="7" ht="30" customHeight="1" s="39">
      <c r="A7" s="4" t="inlineStr">
        <is>
          <t>P(EV&gt;0)</t>
        </is>
      </c>
      <c r="B7" s="4" t="inlineStr">
        <is>
          <t>期望收益为正的后验概率，不是比赛胜率</t>
        </is>
      </c>
      <c r="C7" s="2" t="n"/>
      <c r="D7" s="2" t="n"/>
      <c r="E7" s="2" t="n"/>
      <c r="F7" s="2" t="n"/>
      <c r="G7" s="2" t="n"/>
      <c r="H7" s="2" t="n"/>
    </row>
    <row r="8" ht="30" customHeight="1" s="39">
      <c r="A8" s="4" t="inlineStr">
        <is>
          <t>亚盘结算</t>
        </is>
      </c>
      <c r="B8" s="4" t="inlineStr">
        <is>
          <t>以selected_handicap_signed为唯一带符号结算盘口，拆分0.25/0.75盘</t>
        </is>
      </c>
      <c r="C8" s="2" t="n"/>
      <c r="D8" s="2" t="n"/>
      <c r="E8" s="2" t="n"/>
      <c r="F8" s="2" t="n"/>
      <c r="G8" s="2" t="n"/>
      <c r="H8" s="2" t="n"/>
    </row>
    <row r="9" ht="30" customHeight="1" s="39">
      <c r="A9" s="4" t="inlineStr">
        <is>
          <t>盈亏口径</t>
        </is>
      </c>
      <c r="B9" s="4" t="inlineStr">
        <is>
          <t>红=+水位；半红=+0.5×水位；走=0；半黑=-0.5；黑=-1</t>
        </is>
      </c>
      <c r="C9" s="2" t="n"/>
      <c r="D9" s="2" t="n"/>
      <c r="E9" s="2" t="n"/>
      <c r="F9" s="2" t="n"/>
      <c r="G9" s="2" t="n"/>
      <c r="H9" s="2" t="n"/>
    </row>
    <row r="10" ht="30" customHeight="1" s="39">
      <c r="A10" s="4" t="inlineStr">
        <is>
          <t>比分来源</t>
        </is>
      </c>
      <c r="B10" s="4" t="inlineStr">
        <is>
          <t>官方俱乐部、赛事结果页及独立比分页交叉核对；不再把终场前停止的即时流当最终比分</t>
        </is>
      </c>
      <c r="C10" s="2" t="n"/>
      <c r="D10" s="2" t="n"/>
      <c r="E10" s="2" t="n"/>
      <c r="F10" s="2" t="n"/>
      <c r="G10" s="2" t="n"/>
      <c r="H10" s="2" t="n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2026-10-03T15:16:49Z</dcterms:created>
  <dcterms:modified xmlns:dcterms="http://purl.org/dc/terms/" xmlns:xsi="http://www.w3.org/2001/XMLSchema-instance" xsi:type="dcterms:W3CDTF">2026-10-07T23:51:11Z</dcterms:modified>
  <cp:lastModifiedBy>simon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7AE612ED3F0A4395A8044158A27C17CA_13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